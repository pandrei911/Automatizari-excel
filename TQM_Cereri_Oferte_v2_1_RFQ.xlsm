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5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6.xml" ContentType="application/vnd.openxmlformats-officedocument.drawing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drawings/drawing7.xml" ContentType="application/vnd.openxmlformats-officedocument.drawing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drawings/drawing8.xml" ContentType="application/vnd.openxmlformats-officedocument.drawing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drawings/drawing9.xml" ContentType="application/vnd.openxmlformats-officedocument.drawing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  <Override PartName="/xl/drawings/drawing11.xml" ContentType="application/vnd.openxmlformats-officedocument.drawing+xml"/>
  <Override PartName="/xl/worksheets/sheet40.xml" ContentType="application/vnd.openxmlformats-officedocument.spreadsheetml.worksheet+xml"/>
  <Override PartName="/xl/tables/table36.xml" ContentType="application/vnd.openxmlformats-officedocument.spreadsheetml.table+xml"/>
  <Override PartName="/xl/worksheets/sheet41.xml" ContentType="application/vnd.openxmlformats-officedocument.spreadsheetml.worksheet+xml"/>
  <Override PartName="/xl/tables/table37.xml" ContentType="application/vnd.openxmlformats-officedocument.spreadsheetml.table+xml"/>
  <Override PartName="/xl/worksheets/sheet42.xml" ContentType="application/vnd.openxmlformats-officedocument.spreadsheetml.worksheet+xml"/>
  <Override PartName="/xl/tables/table38.xml" ContentType="application/vnd.openxmlformats-officedocument.spreadsheetml.table+xml"/>
  <Override PartName="/xl/worksheets/sheet43.xml" ContentType="application/vnd.openxmlformats-officedocument.spreadsheetml.worksheet+xml"/>
  <Override PartName="/xl/tables/table39.xml" ContentType="application/vnd.openxmlformats-officedocument.spreadsheetml.table+xml"/>
  <Override PartName="/xl/worksheets/sheet44.xml" ContentType="application/vnd.openxmlformats-officedocument.spreadsheetml.worksheet+xml"/>
  <Override PartName="/xl/tables/table40.xml" ContentType="application/vnd.openxmlformats-officedocument.spreadsheetml.table+xml"/>
  <Override PartName="/xl/worksheets/sheet45.xml" ContentType="application/vnd.openxmlformats-officedocument.spreadsheetml.worksheet+xml"/>
  <Override PartName="/xl/tables/table41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Lenovo\Documents\"/>
    </mc:Choice>
  </mc:AlternateContent>
  <xr:revisionPtr revIDLastSave="0" documentId="8_{416B9714-2CF5-4D09-945B-14965D3E5EF7}" xr6:coauthVersionLast="47" xr6:coauthVersionMax="47" xr10:uidLastSave="{00000000-0000-0000-0000-000000000000}"/>
  <bookViews>
    <workbookView xWindow="-108" yWindow="-108" windowWidth="23256" windowHeight="12576" firstSheet="3" activeTab="3" xr2:uid="{174674B2-38EF-4935-9001-14D7ACA57CF1}"/>
  </bookViews>
  <sheets>
    <sheet name="00_DASHBOARD" sheetId="42" r:id="rId1"/>
    <sheet name="Control_Achizitii" sheetId="2" r:id="rId2"/>
    <sheet name="02_CERERI_SI_OFERTE" sheetId="4" r:id="rId3"/>
    <sheet name="03_COMENZI_FURNIZORI" sheetId="5" r:id="rId4"/>
    <sheet name="_TQM_CF_POZ" sheetId="6" state="veryHidden" r:id="rId5"/>
    <sheet name="_TQM_CF_REC" sheetId="7" state="veryHidden" r:id="rId6"/>
    <sheet name="04_LIVRARI_SI_STOC" sheetId="8" r:id="rId7"/>
    <sheet name="_TQM_ST_MAT" sheetId="9" state="veryHidden" r:id="rId8"/>
    <sheet name="_TQM_ST_LOC" sheetId="10" state="veryHidden" r:id="rId9"/>
    <sheet name="_TQM_ST_MISC" sheetId="11" state="veryHidden" r:id="rId10"/>
    <sheet name="05_FACTURI_SI_PLATI" sheetId="12" r:id="rId11"/>
    <sheet name="_TQM_FP_REP" sheetId="13" state="veryHidden" r:id="rId12"/>
    <sheet name="_TQM_FP_PLATI" sheetId="14" state="veryHidden" r:id="rId13"/>
    <sheet name="06_NOMENCLATOARE" sheetId="15" r:id="rId14"/>
    <sheet name="_TQM_NM_PART" sheetId="16" state="veryHidden" r:id="rId15"/>
    <sheet name="_TQM_NM_PROJ" sheetId="17" state="veryHidden" r:id="rId16"/>
    <sheet name="_TQM_NM_LOC" sheetId="18" state="veryHidden" r:id="rId17"/>
    <sheet name="_TQM_NM_ATR" sheetId="19" state="veryHidden" r:id="rId18"/>
    <sheet name="_TQM_NM_LOG" sheetId="20" state="veryHidden" r:id="rId19"/>
    <sheet name="07_SETARI_LISTE" sheetId="21" r:id="rId20"/>
    <sheet name="_TQM_SL_LISTE" sheetId="22" state="veryHidden" r:id="rId21"/>
    <sheet name="_TQM_SL_REGULI" sheetId="23" state="veryHidden" r:id="rId22"/>
    <sheet name="_TQM_SL_LOG" sheetId="24" state="veryHidden" r:id="rId23"/>
    <sheet name="08_PROIECTE_BUGETE" sheetId="25" r:id="rId24"/>
    <sheet name="_TQM_PB_BU" sheetId="26" state="veryHidden" r:id="rId25"/>
    <sheet name="_TQM_PB_POS" sheetId="27" state="veryHidden" r:id="rId26"/>
    <sheet name="_TQM_PB_COM" sheetId="28" state="veryHidden" r:id="rId27"/>
    <sheet name="_TQM_PB_FACT" sheetId="29" state="veryHidden" r:id="rId28"/>
    <sheet name="_TQM_PB_LEG" sheetId="30" state="veryHidden" r:id="rId29"/>
    <sheet name="_TQM_PB_NUME" sheetId="31" state="veryHidden" r:id="rId30"/>
    <sheet name="_TQM_PB_LOG" sheetId="32" state="veryHidden" r:id="rId31"/>
    <sheet name="09_DOCUMENTE" sheetId="33" r:id="rId32"/>
    <sheet name="CO_backup_20261013_121538" sheetId="38" r:id="rId33"/>
    <sheet name="_TQM_DOC_LEG" sheetId="34" state="veryHidden" r:id="rId34"/>
    <sheet name="_TQM_DOC_SURSE" sheetId="35" state="veryHidden" r:id="rId35"/>
    <sheet name="_TQM_DOC_DOS" sheetId="36" state="veryHidden" r:id="rId36"/>
    <sheet name="_TQM_DOC_LOG" sheetId="37" state="veryHidden" r:id="rId37"/>
    <sheet name="PB_UI_20261013_170313" sheetId="39" r:id="rId38"/>
    <sheet name="DOC_UI_20261013_170340" sheetId="40" r:id="rId39"/>
    <sheet name="_TQM_RFQ" sheetId="43" state="veryHidden" r:id="rId46"/>
    <sheet name="_TQM_RFQ_POZ" sheetId="44" state="veryHidden" r:id="rId47"/>
    <sheet name="_TQM_RFQ_OF" sheetId="45" state="veryHidden" r:id="rId48"/>
    <sheet name="_TQM_RFQ_OFL" sheetId="46" state="veryHidden" r:id="rId49"/>
    <sheet name="_TQM_RFQ_ATR" sheetId="47" state="veryHidden" r:id="rId50"/>
    <sheet name="_TQM_RFQ_INV" sheetId="48" state="veryHidden" r:id="rId51"/>
  </sheets>
  <functionGroups builtInGroupCount="19"/>
  <definedNames>
    <definedName name="_xlnm._FilterDatabase" localSheetId="1" hidden="1">Control_Achizitii!$A$12:$Z$500</definedName>
    <definedName name="_xlnm.Print_Area" localSheetId="0">'00_DASHBOARD'!$B$2:$S$50</definedName>
    <definedName name="_xlnm.Print_Area" localSheetId="2">'02_CERERI_SI_OFERTE'!$A$2:$L$46</definedName>
    <definedName name="_xlnm.Print_Area" localSheetId="32">CO_backup_20261013_121538!$A$2:$L$46</definedName>
    <definedName name="TQM_SL_CONFORM_TEHNIC">_TQM_SL_LISTE!$S$2:$S$4</definedName>
    <definedName name="TQM_SL_PRIORITATE">_TQM_SL_LISTE!$R$2:$R$4</definedName>
    <definedName name="TQM_SL_STATUT_DOCUMENT">_TQM_SL_LISTE!$O$2:$O$4</definedName>
    <definedName name="TQM_SL_TIP_INTRARE">_TQM_SL_LISTE!$N$2:$N$3</definedName>
    <definedName name="TQM_SL_TIP_PARTENER_CONTROL">_TQM_SL_LISTE!$M$2:$M$5</definedName>
  </definedNames>
  <calcPr calcId="191029" forceFullCalc="1" fullCalcOn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warnBelowVersion="2" setVersion="2"/>
    </ext>
  </extLst>
</workbook>
</file>

<file path=xl/calcChain.xml><?xml version="1.0" encoding="utf-8"?>
<calcChain xmlns="http://schemas.openxmlformats.org/spreadsheetml/2006/main">
  <c r="A9" i="33" l="1"/>
  <c r="G13" i="36"/>
  <c r="Q13" i="36" s="1"/>
  <c r="G14" i="36"/>
  <c r="Q14" i="36" s="1"/>
  <c r="G15" i="36"/>
  <c r="Q15" i="36" s="1"/>
  <c r="G16" i="36"/>
  <c r="Q16" i="36" s="1"/>
  <c r="P13" i="34"/>
  <c r="J13" i="33"/>
  <c r="F9" i="33" s="1"/>
  <c r="K13" i="33"/>
  <c r="U13" i="33"/>
  <c r="A9" i="25"/>
  <c r="Y13" i="29"/>
  <c r="Y14" i="29"/>
  <c r="X13" i="29"/>
  <c r="X14" i="29"/>
  <c r="W13" i="29"/>
  <c r="W14" i="29"/>
  <c r="V13" i="29"/>
  <c r="V14" i="29"/>
  <c r="L13" i="29"/>
  <c r="L14" i="29"/>
  <c r="K13" i="29"/>
  <c r="K14" i="29"/>
  <c r="J13" i="29"/>
  <c r="J14" i="29"/>
  <c r="M13" i="28"/>
  <c r="M14" i="28"/>
  <c r="L13" i="28"/>
  <c r="L14" i="28"/>
  <c r="K13" i="28"/>
  <c r="K14" i="28"/>
  <c r="J13" i="28"/>
  <c r="J14" i="28"/>
  <c r="I13" i="28"/>
  <c r="I14" i="28"/>
  <c r="H13" i="28"/>
  <c r="H14" i="28"/>
  <c r="N13" i="27"/>
  <c r="N14" i="27"/>
  <c r="M13" i="27"/>
  <c r="M14" i="27"/>
  <c r="O13" i="27"/>
  <c r="O14" i="27"/>
  <c r="L13" i="27"/>
  <c r="L14" i="27"/>
  <c r="I13" i="25"/>
  <c r="I14" i="25"/>
  <c r="T13" i="25"/>
  <c r="T14" i="25"/>
  <c r="J13" i="25"/>
  <c r="J14" i="25"/>
  <c r="H14" i="25"/>
  <c r="G14" i="25"/>
  <c r="F14" i="25"/>
  <c r="E14" i="25"/>
  <c r="S13" i="25"/>
  <c r="S14" i="25"/>
  <c r="R13" i="25"/>
  <c r="E13" i="25" s="1"/>
  <c r="R14" i="25"/>
  <c r="Q13" i="25"/>
  <c r="Q14" i="25"/>
  <c r="P13" i="25"/>
  <c r="P14" i="25"/>
  <c r="O13" i="25"/>
  <c r="O14" i="25"/>
  <c r="N13" i="25"/>
  <c r="N14" i="25"/>
  <c r="M13" i="25"/>
  <c r="M14" i="25"/>
  <c r="L13" i="25"/>
  <c r="L14" i="25"/>
  <c r="K13" i="25"/>
  <c r="K14" i="25"/>
  <c r="D13" i="25"/>
  <c r="D14" i="25"/>
  <c r="C13" i="25"/>
  <c r="C14" i="25"/>
  <c r="N13" i="5"/>
  <c r="I9" i="5" s="1"/>
  <c r="M13" i="5"/>
  <c r="L13" i="5"/>
  <c r="K13" i="5"/>
  <c r="J13" i="5"/>
  <c r="N2" i="6"/>
  <c r="N3" i="6"/>
  <c r="M2" i="6"/>
  <c r="M3" i="6"/>
  <c r="L2" i="6"/>
  <c r="L3" i="6"/>
  <c r="J2" i="6"/>
  <c r="J3" i="6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J161" i="2"/>
  <c r="J162" i="2"/>
  <c r="J163" i="2"/>
  <c r="J164" i="2"/>
  <c r="J165" i="2"/>
  <c r="J166" i="2"/>
  <c r="J167" i="2"/>
  <c r="J168" i="2"/>
  <c r="J169" i="2"/>
  <c r="J170" i="2"/>
  <c r="J171" i="2"/>
  <c r="J172" i="2"/>
  <c r="J173" i="2"/>
  <c r="J174" i="2"/>
  <c r="J175" i="2"/>
  <c r="J176" i="2"/>
  <c r="J177" i="2"/>
  <c r="J178" i="2"/>
  <c r="J179" i="2"/>
  <c r="J180" i="2"/>
  <c r="J181" i="2"/>
  <c r="J182" i="2"/>
  <c r="J183" i="2"/>
  <c r="J184" i="2"/>
  <c r="J185" i="2"/>
  <c r="J186" i="2"/>
  <c r="J187" i="2"/>
  <c r="J188" i="2"/>
  <c r="J189" i="2"/>
  <c r="J190" i="2"/>
  <c r="J191" i="2"/>
  <c r="J192" i="2"/>
  <c r="J193" i="2"/>
  <c r="J194" i="2"/>
  <c r="J195" i="2"/>
  <c r="J196" i="2"/>
  <c r="J197" i="2"/>
  <c r="J198" i="2"/>
  <c r="J199" i="2"/>
  <c r="J200" i="2"/>
  <c r="J201" i="2"/>
  <c r="J202" i="2"/>
  <c r="J203" i="2"/>
  <c r="J204" i="2"/>
  <c r="J205" i="2"/>
  <c r="J206" i="2"/>
  <c r="J207" i="2"/>
  <c r="J208" i="2"/>
  <c r="J209" i="2"/>
  <c r="J210" i="2"/>
  <c r="J211" i="2"/>
  <c r="J212" i="2"/>
  <c r="J213" i="2"/>
  <c r="J214" i="2"/>
  <c r="J215" i="2"/>
  <c r="J216" i="2"/>
  <c r="J217" i="2"/>
  <c r="J218" i="2"/>
  <c r="J219" i="2"/>
  <c r="J220" i="2"/>
  <c r="J221" i="2"/>
  <c r="J222" i="2"/>
  <c r="J223" i="2"/>
  <c r="J224" i="2"/>
  <c r="J225" i="2"/>
  <c r="J226" i="2"/>
  <c r="J227" i="2"/>
  <c r="J228" i="2"/>
  <c r="J229" i="2"/>
  <c r="J230" i="2"/>
  <c r="J231" i="2"/>
  <c r="J232" i="2"/>
  <c r="J233" i="2"/>
  <c r="J234" i="2"/>
  <c r="J235" i="2"/>
  <c r="J236" i="2"/>
  <c r="J237" i="2"/>
  <c r="J238" i="2"/>
  <c r="J239" i="2"/>
  <c r="J240" i="2"/>
  <c r="J241" i="2"/>
  <c r="J242" i="2"/>
  <c r="J243" i="2"/>
  <c r="J244" i="2"/>
  <c r="J245" i="2"/>
  <c r="J246" i="2"/>
  <c r="J247" i="2"/>
  <c r="J248" i="2"/>
  <c r="J249" i="2"/>
  <c r="J250" i="2"/>
  <c r="J251" i="2"/>
  <c r="J252" i="2"/>
  <c r="J253" i="2"/>
  <c r="J254" i="2"/>
  <c r="J255" i="2"/>
  <c r="J256" i="2"/>
  <c r="J257" i="2"/>
  <c r="J258" i="2"/>
  <c r="J259" i="2"/>
  <c r="J260" i="2"/>
  <c r="J261" i="2"/>
  <c r="J262" i="2"/>
  <c r="J263" i="2"/>
  <c r="J264" i="2"/>
  <c r="J265" i="2"/>
  <c r="J266" i="2"/>
  <c r="J267" i="2"/>
  <c r="J268" i="2"/>
  <c r="J269" i="2"/>
  <c r="J270" i="2"/>
  <c r="J271" i="2"/>
  <c r="J272" i="2"/>
  <c r="J273" i="2"/>
  <c r="J274" i="2"/>
  <c r="J275" i="2"/>
  <c r="J276" i="2"/>
  <c r="J277" i="2"/>
  <c r="J278" i="2"/>
  <c r="J279" i="2"/>
  <c r="J280" i="2"/>
  <c r="J281" i="2"/>
  <c r="J282" i="2"/>
  <c r="J283" i="2"/>
  <c r="J284" i="2"/>
  <c r="J285" i="2"/>
  <c r="J286" i="2"/>
  <c r="J287" i="2"/>
  <c r="J288" i="2"/>
  <c r="J289" i="2"/>
  <c r="J290" i="2"/>
  <c r="J291" i="2"/>
  <c r="J292" i="2"/>
  <c r="J293" i="2"/>
  <c r="J294" i="2"/>
  <c r="J295" i="2"/>
  <c r="J296" i="2"/>
  <c r="J297" i="2"/>
  <c r="J298" i="2"/>
  <c r="J299" i="2"/>
  <c r="J300" i="2"/>
  <c r="J301" i="2"/>
  <c r="J302" i="2"/>
  <c r="J303" i="2"/>
  <c r="J304" i="2"/>
  <c r="J305" i="2"/>
  <c r="J306" i="2"/>
  <c r="J307" i="2"/>
  <c r="J308" i="2"/>
  <c r="J309" i="2"/>
  <c r="J310" i="2"/>
  <c r="J311" i="2"/>
  <c r="J312" i="2"/>
  <c r="J313" i="2"/>
  <c r="J314" i="2"/>
  <c r="J315" i="2"/>
  <c r="J316" i="2"/>
  <c r="J317" i="2"/>
  <c r="J318" i="2"/>
  <c r="J319" i="2"/>
  <c r="J320" i="2"/>
  <c r="J321" i="2"/>
  <c r="J322" i="2"/>
  <c r="J323" i="2"/>
  <c r="J324" i="2"/>
  <c r="J325" i="2"/>
  <c r="J326" i="2"/>
  <c r="J327" i="2"/>
  <c r="J328" i="2"/>
  <c r="J329" i="2"/>
  <c r="J330" i="2"/>
  <c r="J331" i="2"/>
  <c r="J332" i="2"/>
  <c r="J333" i="2"/>
  <c r="J334" i="2"/>
  <c r="J335" i="2"/>
  <c r="J336" i="2"/>
  <c r="J337" i="2"/>
  <c r="J338" i="2"/>
  <c r="J339" i="2"/>
  <c r="J340" i="2"/>
  <c r="J341" i="2"/>
  <c r="J342" i="2"/>
  <c r="J343" i="2"/>
  <c r="J344" i="2"/>
  <c r="J345" i="2"/>
  <c r="J346" i="2"/>
  <c r="J347" i="2"/>
  <c r="J348" i="2"/>
  <c r="J349" i="2"/>
  <c r="J350" i="2"/>
  <c r="J351" i="2"/>
  <c r="J352" i="2"/>
  <c r="J353" i="2"/>
  <c r="J354" i="2"/>
  <c r="J355" i="2"/>
  <c r="J356" i="2"/>
  <c r="J357" i="2"/>
  <c r="J358" i="2"/>
  <c r="J359" i="2"/>
  <c r="J360" i="2"/>
  <c r="J361" i="2"/>
  <c r="J362" i="2"/>
  <c r="J363" i="2"/>
  <c r="J364" i="2"/>
  <c r="J365" i="2"/>
  <c r="J366" i="2"/>
  <c r="J367" i="2"/>
  <c r="J368" i="2"/>
  <c r="J369" i="2"/>
  <c r="J370" i="2"/>
  <c r="J371" i="2"/>
  <c r="J372" i="2"/>
  <c r="J373" i="2"/>
  <c r="J374" i="2"/>
  <c r="J375" i="2"/>
  <c r="J376" i="2"/>
  <c r="J377" i="2"/>
  <c r="J378" i="2"/>
  <c r="J379" i="2"/>
  <c r="J380" i="2"/>
  <c r="J381" i="2"/>
  <c r="J382" i="2"/>
  <c r="J383" i="2"/>
  <c r="J384" i="2"/>
  <c r="J385" i="2"/>
  <c r="J386" i="2"/>
  <c r="J387" i="2"/>
  <c r="J388" i="2"/>
  <c r="J389" i="2"/>
  <c r="J390" i="2"/>
  <c r="J391" i="2"/>
  <c r="J392" i="2"/>
  <c r="J393" i="2"/>
  <c r="J394" i="2"/>
  <c r="J395" i="2"/>
  <c r="J396" i="2"/>
  <c r="J397" i="2"/>
  <c r="J398" i="2"/>
  <c r="J399" i="2"/>
  <c r="J400" i="2"/>
  <c r="J401" i="2"/>
  <c r="J402" i="2"/>
  <c r="J403" i="2"/>
  <c r="J404" i="2"/>
  <c r="J405" i="2"/>
  <c r="J406" i="2"/>
  <c r="J407" i="2"/>
  <c r="J408" i="2"/>
  <c r="J409" i="2"/>
  <c r="J410" i="2"/>
  <c r="J411" i="2"/>
  <c r="J412" i="2"/>
  <c r="J413" i="2"/>
  <c r="J414" i="2"/>
  <c r="J415" i="2"/>
  <c r="J416" i="2"/>
  <c r="J417" i="2"/>
  <c r="J418" i="2"/>
  <c r="J419" i="2"/>
  <c r="J420" i="2"/>
  <c r="J421" i="2"/>
  <c r="J422" i="2"/>
  <c r="J423" i="2"/>
  <c r="J424" i="2"/>
  <c r="J425" i="2"/>
  <c r="J426" i="2"/>
  <c r="J427" i="2"/>
  <c r="J428" i="2"/>
  <c r="J429" i="2"/>
  <c r="J430" i="2"/>
  <c r="J431" i="2"/>
  <c r="J432" i="2"/>
  <c r="J433" i="2"/>
  <c r="J434" i="2"/>
  <c r="J435" i="2"/>
  <c r="J436" i="2"/>
  <c r="J437" i="2"/>
  <c r="J438" i="2"/>
  <c r="J439" i="2"/>
  <c r="J440" i="2"/>
  <c r="J441" i="2"/>
  <c r="J442" i="2"/>
  <c r="J443" i="2"/>
  <c r="J444" i="2"/>
  <c r="J445" i="2"/>
  <c r="J446" i="2"/>
  <c r="J447" i="2"/>
  <c r="J448" i="2"/>
  <c r="J449" i="2"/>
  <c r="J450" i="2"/>
  <c r="J451" i="2"/>
  <c r="J452" i="2"/>
  <c r="J453" i="2"/>
  <c r="J454" i="2"/>
  <c r="J455" i="2"/>
  <c r="J456" i="2"/>
  <c r="J457" i="2"/>
  <c r="J458" i="2"/>
  <c r="J459" i="2"/>
  <c r="J460" i="2"/>
  <c r="J461" i="2"/>
  <c r="J462" i="2"/>
  <c r="J463" i="2"/>
  <c r="J464" i="2"/>
  <c r="J465" i="2"/>
  <c r="J466" i="2"/>
  <c r="J467" i="2"/>
  <c r="J468" i="2"/>
  <c r="J469" i="2"/>
  <c r="J470" i="2"/>
  <c r="J471" i="2"/>
  <c r="J472" i="2"/>
  <c r="J473" i="2"/>
  <c r="J474" i="2"/>
  <c r="J475" i="2"/>
  <c r="J476" i="2"/>
  <c r="J477" i="2"/>
  <c r="J478" i="2"/>
  <c r="J479" i="2"/>
  <c r="J480" i="2"/>
  <c r="J481" i="2"/>
  <c r="J482" i="2"/>
  <c r="J483" i="2"/>
  <c r="J484" i="2"/>
  <c r="J485" i="2"/>
  <c r="J486" i="2"/>
  <c r="J487" i="2"/>
  <c r="J488" i="2"/>
  <c r="J489" i="2"/>
  <c r="J490" i="2"/>
  <c r="J491" i="2"/>
  <c r="J492" i="2"/>
  <c r="J493" i="2"/>
  <c r="J494" i="2"/>
  <c r="J495" i="2"/>
  <c r="J496" i="2"/>
  <c r="J497" i="2"/>
  <c r="J498" i="2"/>
  <c r="J499" i="2"/>
  <c r="J500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K161" i="2"/>
  <c r="K162" i="2"/>
  <c r="K163" i="2"/>
  <c r="K164" i="2"/>
  <c r="K165" i="2"/>
  <c r="K166" i="2"/>
  <c r="K167" i="2"/>
  <c r="K168" i="2"/>
  <c r="K169" i="2"/>
  <c r="K170" i="2"/>
  <c r="K171" i="2"/>
  <c r="K172" i="2"/>
  <c r="K173" i="2"/>
  <c r="K174" i="2"/>
  <c r="K175" i="2"/>
  <c r="K176" i="2"/>
  <c r="K177" i="2"/>
  <c r="K178" i="2"/>
  <c r="K179" i="2"/>
  <c r="K180" i="2"/>
  <c r="K181" i="2"/>
  <c r="K182" i="2"/>
  <c r="K183" i="2"/>
  <c r="K184" i="2"/>
  <c r="K185" i="2"/>
  <c r="K186" i="2"/>
  <c r="K187" i="2"/>
  <c r="K188" i="2"/>
  <c r="K189" i="2"/>
  <c r="K190" i="2"/>
  <c r="K191" i="2"/>
  <c r="K192" i="2"/>
  <c r="K193" i="2"/>
  <c r="K194" i="2"/>
  <c r="K195" i="2"/>
  <c r="K196" i="2"/>
  <c r="K197" i="2"/>
  <c r="K198" i="2"/>
  <c r="K199" i="2"/>
  <c r="K200" i="2"/>
  <c r="K201" i="2"/>
  <c r="K202" i="2"/>
  <c r="K203" i="2"/>
  <c r="K204" i="2"/>
  <c r="K205" i="2"/>
  <c r="K206" i="2"/>
  <c r="K207" i="2"/>
  <c r="K208" i="2"/>
  <c r="K209" i="2"/>
  <c r="K210" i="2"/>
  <c r="K211" i="2"/>
  <c r="K212" i="2"/>
  <c r="K213" i="2"/>
  <c r="K214" i="2"/>
  <c r="K215" i="2"/>
  <c r="K216" i="2"/>
  <c r="K217" i="2"/>
  <c r="K218" i="2"/>
  <c r="K219" i="2"/>
  <c r="K220" i="2"/>
  <c r="K221" i="2"/>
  <c r="K222" i="2"/>
  <c r="K223" i="2"/>
  <c r="K224" i="2"/>
  <c r="K225" i="2"/>
  <c r="K226" i="2"/>
  <c r="K227" i="2"/>
  <c r="K228" i="2"/>
  <c r="K229" i="2"/>
  <c r="K230" i="2"/>
  <c r="K231" i="2"/>
  <c r="K232" i="2"/>
  <c r="K233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K252" i="2"/>
  <c r="K253" i="2"/>
  <c r="K254" i="2"/>
  <c r="K255" i="2"/>
  <c r="K256" i="2"/>
  <c r="K257" i="2"/>
  <c r="K258" i="2"/>
  <c r="K259" i="2"/>
  <c r="K260" i="2"/>
  <c r="K261" i="2"/>
  <c r="K262" i="2"/>
  <c r="K263" i="2"/>
  <c r="K264" i="2"/>
  <c r="K265" i="2"/>
  <c r="K266" i="2"/>
  <c r="K267" i="2"/>
  <c r="K268" i="2"/>
  <c r="K269" i="2"/>
  <c r="K270" i="2"/>
  <c r="K271" i="2"/>
  <c r="K272" i="2"/>
  <c r="K273" i="2"/>
  <c r="K274" i="2"/>
  <c r="K275" i="2"/>
  <c r="K276" i="2"/>
  <c r="K277" i="2"/>
  <c r="K278" i="2"/>
  <c r="K279" i="2"/>
  <c r="K280" i="2"/>
  <c r="K281" i="2"/>
  <c r="K282" i="2"/>
  <c r="K283" i="2"/>
  <c r="K284" i="2"/>
  <c r="K285" i="2"/>
  <c r="K286" i="2"/>
  <c r="K287" i="2"/>
  <c r="K288" i="2"/>
  <c r="K289" i="2"/>
  <c r="K290" i="2"/>
  <c r="K291" i="2"/>
  <c r="K292" i="2"/>
  <c r="K293" i="2"/>
  <c r="K294" i="2"/>
  <c r="K295" i="2"/>
  <c r="K296" i="2"/>
  <c r="K297" i="2"/>
  <c r="K298" i="2"/>
  <c r="K299" i="2"/>
  <c r="K300" i="2"/>
  <c r="K301" i="2"/>
  <c r="K302" i="2"/>
  <c r="K303" i="2"/>
  <c r="K304" i="2"/>
  <c r="K305" i="2"/>
  <c r="K306" i="2"/>
  <c r="K307" i="2"/>
  <c r="K308" i="2"/>
  <c r="K309" i="2"/>
  <c r="K310" i="2"/>
  <c r="K311" i="2"/>
  <c r="K312" i="2"/>
  <c r="K313" i="2"/>
  <c r="K314" i="2"/>
  <c r="K315" i="2"/>
  <c r="K316" i="2"/>
  <c r="K317" i="2"/>
  <c r="K318" i="2"/>
  <c r="K319" i="2"/>
  <c r="K320" i="2"/>
  <c r="K321" i="2"/>
  <c r="K322" i="2"/>
  <c r="K323" i="2"/>
  <c r="K324" i="2"/>
  <c r="K325" i="2"/>
  <c r="K326" i="2"/>
  <c r="K327" i="2"/>
  <c r="K328" i="2"/>
  <c r="K329" i="2"/>
  <c r="K330" i="2"/>
  <c r="K331" i="2"/>
  <c r="K332" i="2"/>
  <c r="K333" i="2"/>
  <c r="K334" i="2"/>
  <c r="K335" i="2"/>
  <c r="K336" i="2"/>
  <c r="K337" i="2"/>
  <c r="K338" i="2"/>
  <c r="K339" i="2"/>
  <c r="K340" i="2"/>
  <c r="K341" i="2"/>
  <c r="K342" i="2"/>
  <c r="K343" i="2"/>
  <c r="K344" i="2"/>
  <c r="K345" i="2"/>
  <c r="K346" i="2"/>
  <c r="K347" i="2"/>
  <c r="K348" i="2"/>
  <c r="K349" i="2"/>
  <c r="K350" i="2"/>
  <c r="K351" i="2"/>
  <c r="K352" i="2"/>
  <c r="K353" i="2"/>
  <c r="K354" i="2"/>
  <c r="K355" i="2"/>
  <c r="K356" i="2"/>
  <c r="K357" i="2"/>
  <c r="K358" i="2"/>
  <c r="K359" i="2"/>
  <c r="K360" i="2"/>
  <c r="K361" i="2"/>
  <c r="K362" i="2"/>
  <c r="K363" i="2"/>
  <c r="K364" i="2"/>
  <c r="K365" i="2"/>
  <c r="K366" i="2"/>
  <c r="K367" i="2"/>
  <c r="K368" i="2"/>
  <c r="K369" i="2"/>
  <c r="K370" i="2"/>
  <c r="K371" i="2"/>
  <c r="K372" i="2"/>
  <c r="K373" i="2"/>
  <c r="K374" i="2"/>
  <c r="K375" i="2"/>
  <c r="K376" i="2"/>
  <c r="K377" i="2"/>
  <c r="K378" i="2"/>
  <c r="K379" i="2"/>
  <c r="K380" i="2"/>
  <c r="K381" i="2"/>
  <c r="K382" i="2"/>
  <c r="K383" i="2"/>
  <c r="K384" i="2"/>
  <c r="K385" i="2"/>
  <c r="K386" i="2"/>
  <c r="K387" i="2"/>
  <c r="K388" i="2"/>
  <c r="K389" i="2"/>
  <c r="K390" i="2"/>
  <c r="K391" i="2"/>
  <c r="K392" i="2"/>
  <c r="K393" i="2"/>
  <c r="K394" i="2"/>
  <c r="K395" i="2"/>
  <c r="K396" i="2"/>
  <c r="K397" i="2"/>
  <c r="K398" i="2"/>
  <c r="K399" i="2"/>
  <c r="K400" i="2"/>
  <c r="K401" i="2"/>
  <c r="K402" i="2"/>
  <c r="K403" i="2"/>
  <c r="K404" i="2"/>
  <c r="K405" i="2"/>
  <c r="K406" i="2"/>
  <c r="K407" i="2"/>
  <c r="K408" i="2"/>
  <c r="K409" i="2"/>
  <c r="K410" i="2"/>
  <c r="K411" i="2"/>
  <c r="K412" i="2"/>
  <c r="K413" i="2"/>
  <c r="K414" i="2"/>
  <c r="K415" i="2"/>
  <c r="K416" i="2"/>
  <c r="K417" i="2"/>
  <c r="K418" i="2"/>
  <c r="K419" i="2"/>
  <c r="K420" i="2"/>
  <c r="K421" i="2"/>
  <c r="K422" i="2"/>
  <c r="K423" i="2"/>
  <c r="K424" i="2"/>
  <c r="K425" i="2"/>
  <c r="K426" i="2"/>
  <c r="K427" i="2"/>
  <c r="K428" i="2"/>
  <c r="K429" i="2"/>
  <c r="K430" i="2"/>
  <c r="K431" i="2"/>
  <c r="K432" i="2"/>
  <c r="K433" i="2"/>
  <c r="K434" i="2"/>
  <c r="K435" i="2"/>
  <c r="K436" i="2"/>
  <c r="K437" i="2"/>
  <c r="K438" i="2"/>
  <c r="K439" i="2"/>
  <c r="K440" i="2"/>
  <c r="K441" i="2"/>
  <c r="K442" i="2"/>
  <c r="K443" i="2"/>
  <c r="K444" i="2"/>
  <c r="K445" i="2"/>
  <c r="K446" i="2"/>
  <c r="K447" i="2"/>
  <c r="K448" i="2"/>
  <c r="K449" i="2"/>
  <c r="K450" i="2"/>
  <c r="K451" i="2"/>
  <c r="K452" i="2"/>
  <c r="K453" i="2"/>
  <c r="K454" i="2"/>
  <c r="K455" i="2"/>
  <c r="K456" i="2"/>
  <c r="K457" i="2"/>
  <c r="K458" i="2"/>
  <c r="K459" i="2"/>
  <c r="K460" i="2"/>
  <c r="K461" i="2"/>
  <c r="K462" i="2"/>
  <c r="K463" i="2"/>
  <c r="K464" i="2"/>
  <c r="K465" i="2"/>
  <c r="K466" i="2"/>
  <c r="K467" i="2"/>
  <c r="K468" i="2"/>
  <c r="K469" i="2"/>
  <c r="K470" i="2"/>
  <c r="K471" i="2"/>
  <c r="K472" i="2"/>
  <c r="K473" i="2"/>
  <c r="K474" i="2"/>
  <c r="K475" i="2"/>
  <c r="K476" i="2"/>
  <c r="K477" i="2"/>
  <c r="K478" i="2"/>
  <c r="K479" i="2"/>
  <c r="K480" i="2"/>
  <c r="K481" i="2"/>
  <c r="K482" i="2"/>
  <c r="K483" i="2"/>
  <c r="K484" i="2"/>
  <c r="K485" i="2"/>
  <c r="K486" i="2"/>
  <c r="K487" i="2"/>
  <c r="K488" i="2"/>
  <c r="K489" i="2"/>
  <c r="K490" i="2"/>
  <c r="K491" i="2"/>
  <c r="K492" i="2"/>
  <c r="K493" i="2"/>
  <c r="K494" i="2"/>
  <c r="K495" i="2"/>
  <c r="K496" i="2"/>
  <c r="K497" i="2"/>
  <c r="K498" i="2"/>
  <c r="K499" i="2"/>
  <c r="K500" i="2"/>
  <c r="Y17" i="2"/>
  <c r="Y18" i="2"/>
  <c r="Y19" i="2"/>
  <c r="Y20" i="2"/>
  <c r="Y21" i="2"/>
  <c r="Y22" i="2"/>
  <c r="Y23" i="2"/>
  <c r="Y24" i="2"/>
  <c r="Y25" i="2"/>
  <c r="Y26" i="2"/>
  <c r="Y27" i="2"/>
  <c r="Y28" i="2"/>
  <c r="Y29" i="2"/>
  <c r="Y30" i="2"/>
  <c r="Y31" i="2"/>
  <c r="Y32" i="2"/>
  <c r="Y33" i="2"/>
  <c r="Y34" i="2"/>
  <c r="Y35" i="2"/>
  <c r="Y36" i="2"/>
  <c r="Y37" i="2"/>
  <c r="Y38" i="2"/>
  <c r="Y39" i="2"/>
  <c r="Y40" i="2"/>
  <c r="Y41" i="2"/>
  <c r="Y42" i="2"/>
  <c r="Y43" i="2"/>
  <c r="Y44" i="2"/>
  <c r="Y45" i="2"/>
  <c r="Y46" i="2"/>
  <c r="Y47" i="2"/>
  <c r="Y48" i="2"/>
  <c r="Y49" i="2"/>
  <c r="Y50" i="2"/>
  <c r="Y51" i="2"/>
  <c r="Y52" i="2"/>
  <c r="Y53" i="2"/>
  <c r="Y54" i="2"/>
  <c r="Y55" i="2"/>
  <c r="Y56" i="2"/>
  <c r="Y57" i="2"/>
  <c r="Y58" i="2"/>
  <c r="Y59" i="2"/>
  <c r="Y60" i="2"/>
  <c r="Y61" i="2"/>
  <c r="Y62" i="2"/>
  <c r="Y63" i="2"/>
  <c r="Y64" i="2"/>
  <c r="Y65" i="2"/>
  <c r="Y66" i="2"/>
  <c r="Y67" i="2"/>
  <c r="Y68" i="2"/>
  <c r="Y69" i="2"/>
  <c r="Y70" i="2"/>
  <c r="Y71" i="2"/>
  <c r="Y72" i="2"/>
  <c r="Y73" i="2"/>
  <c r="Y74" i="2"/>
  <c r="Y75" i="2"/>
  <c r="Y76" i="2"/>
  <c r="Y77" i="2"/>
  <c r="Y78" i="2"/>
  <c r="Y79" i="2"/>
  <c r="Y80" i="2"/>
  <c r="Y81" i="2"/>
  <c r="Y82" i="2"/>
  <c r="Y83" i="2"/>
  <c r="Y84" i="2"/>
  <c r="Y85" i="2"/>
  <c r="Y86" i="2"/>
  <c r="Y87" i="2"/>
  <c r="Y88" i="2"/>
  <c r="Y89" i="2"/>
  <c r="Y90" i="2"/>
  <c r="Y91" i="2"/>
  <c r="Y92" i="2"/>
  <c r="Y93" i="2"/>
  <c r="Y94" i="2"/>
  <c r="Y95" i="2"/>
  <c r="Y96" i="2"/>
  <c r="Y97" i="2"/>
  <c r="Y98" i="2"/>
  <c r="Y99" i="2"/>
  <c r="Y100" i="2"/>
  <c r="Y101" i="2"/>
  <c r="Y102" i="2"/>
  <c r="Y103" i="2"/>
  <c r="Y104" i="2"/>
  <c r="Y105" i="2"/>
  <c r="Y106" i="2"/>
  <c r="Y107" i="2"/>
  <c r="Y108" i="2"/>
  <c r="Y109" i="2"/>
  <c r="Y110" i="2"/>
  <c r="Y111" i="2"/>
  <c r="Y112" i="2"/>
  <c r="Y113" i="2"/>
  <c r="Y114" i="2"/>
  <c r="Y115" i="2"/>
  <c r="Y116" i="2"/>
  <c r="Y117" i="2"/>
  <c r="Y118" i="2"/>
  <c r="Y119" i="2"/>
  <c r="Y120" i="2"/>
  <c r="Y121" i="2"/>
  <c r="Y122" i="2"/>
  <c r="Y123" i="2"/>
  <c r="Y124" i="2"/>
  <c r="Y125" i="2"/>
  <c r="Y126" i="2"/>
  <c r="Y127" i="2"/>
  <c r="Y128" i="2"/>
  <c r="Y129" i="2"/>
  <c r="Y130" i="2"/>
  <c r="Y131" i="2"/>
  <c r="Y132" i="2"/>
  <c r="Y133" i="2"/>
  <c r="Y134" i="2"/>
  <c r="Y135" i="2"/>
  <c r="Y136" i="2"/>
  <c r="Y137" i="2"/>
  <c r="Y138" i="2"/>
  <c r="Y139" i="2"/>
  <c r="Y140" i="2"/>
  <c r="Y141" i="2"/>
  <c r="Y142" i="2"/>
  <c r="Y143" i="2"/>
  <c r="Y144" i="2"/>
  <c r="Y145" i="2"/>
  <c r="Y146" i="2"/>
  <c r="Y147" i="2"/>
  <c r="Y148" i="2"/>
  <c r="Y149" i="2"/>
  <c r="Y150" i="2"/>
  <c r="Y151" i="2"/>
  <c r="Y152" i="2"/>
  <c r="Y153" i="2"/>
  <c r="Y154" i="2"/>
  <c r="Y155" i="2"/>
  <c r="Y156" i="2"/>
  <c r="Y157" i="2"/>
  <c r="Y158" i="2"/>
  <c r="Y159" i="2"/>
  <c r="Y160" i="2"/>
  <c r="Y161" i="2"/>
  <c r="Y162" i="2"/>
  <c r="Y163" i="2"/>
  <c r="Y164" i="2"/>
  <c r="Y165" i="2"/>
  <c r="Y166" i="2"/>
  <c r="Y167" i="2"/>
  <c r="Y168" i="2"/>
  <c r="Y169" i="2"/>
  <c r="Y170" i="2"/>
  <c r="Y171" i="2"/>
  <c r="Y172" i="2"/>
  <c r="Y173" i="2"/>
  <c r="Y174" i="2"/>
  <c r="Y175" i="2"/>
  <c r="Y176" i="2"/>
  <c r="Y177" i="2"/>
  <c r="Y178" i="2"/>
  <c r="Y179" i="2"/>
  <c r="Y180" i="2"/>
  <c r="Y181" i="2"/>
  <c r="Y182" i="2"/>
  <c r="Y183" i="2"/>
  <c r="Y184" i="2"/>
  <c r="Y185" i="2"/>
  <c r="Y186" i="2"/>
  <c r="Y187" i="2"/>
  <c r="Y188" i="2"/>
  <c r="Y189" i="2"/>
  <c r="Y190" i="2"/>
  <c r="Y191" i="2"/>
  <c r="Y192" i="2"/>
  <c r="Y193" i="2"/>
  <c r="Y194" i="2"/>
  <c r="Y195" i="2"/>
  <c r="Y196" i="2"/>
  <c r="Y197" i="2"/>
  <c r="Y198" i="2"/>
  <c r="Y199" i="2"/>
  <c r="Y200" i="2"/>
  <c r="Y201" i="2"/>
  <c r="Y202" i="2"/>
  <c r="Y203" i="2"/>
  <c r="Y204" i="2"/>
  <c r="Y205" i="2"/>
  <c r="Y206" i="2"/>
  <c r="Y207" i="2"/>
  <c r="Y208" i="2"/>
  <c r="Y209" i="2"/>
  <c r="Y210" i="2"/>
  <c r="Y211" i="2"/>
  <c r="Y212" i="2"/>
  <c r="Y213" i="2"/>
  <c r="Y214" i="2"/>
  <c r="Y215" i="2"/>
  <c r="Y216" i="2"/>
  <c r="Y217" i="2"/>
  <c r="Y218" i="2"/>
  <c r="Y219" i="2"/>
  <c r="Y220" i="2"/>
  <c r="Y221" i="2"/>
  <c r="Y222" i="2"/>
  <c r="Y223" i="2"/>
  <c r="Y224" i="2"/>
  <c r="Y225" i="2"/>
  <c r="Y226" i="2"/>
  <c r="Y227" i="2"/>
  <c r="Y228" i="2"/>
  <c r="Y229" i="2"/>
  <c r="Y230" i="2"/>
  <c r="Y231" i="2"/>
  <c r="Y232" i="2"/>
  <c r="Y233" i="2"/>
  <c r="Y234" i="2"/>
  <c r="Y235" i="2"/>
  <c r="Y236" i="2"/>
  <c r="Y237" i="2"/>
  <c r="Y238" i="2"/>
  <c r="Y239" i="2"/>
  <c r="Y240" i="2"/>
  <c r="Y241" i="2"/>
  <c r="Y242" i="2"/>
  <c r="Y243" i="2"/>
  <c r="Y244" i="2"/>
  <c r="Y245" i="2"/>
  <c r="Y246" i="2"/>
  <c r="Y247" i="2"/>
  <c r="Y248" i="2"/>
  <c r="Y249" i="2"/>
  <c r="Y250" i="2"/>
  <c r="Y251" i="2"/>
  <c r="Y252" i="2"/>
  <c r="Y253" i="2"/>
  <c r="Y254" i="2"/>
  <c r="Y255" i="2"/>
  <c r="Y256" i="2"/>
  <c r="Y257" i="2"/>
  <c r="Y258" i="2"/>
  <c r="Y259" i="2"/>
  <c r="Y260" i="2"/>
  <c r="Y261" i="2"/>
  <c r="Y262" i="2"/>
  <c r="Y263" i="2"/>
  <c r="Y264" i="2"/>
  <c r="Y265" i="2"/>
  <c r="Y266" i="2"/>
  <c r="Y267" i="2"/>
  <c r="Y268" i="2"/>
  <c r="Y269" i="2"/>
  <c r="Y270" i="2"/>
  <c r="Y271" i="2"/>
  <c r="Y272" i="2"/>
  <c r="Y273" i="2"/>
  <c r="Y274" i="2"/>
  <c r="Y275" i="2"/>
  <c r="Y276" i="2"/>
  <c r="Y277" i="2"/>
  <c r="Y278" i="2"/>
  <c r="Y279" i="2"/>
  <c r="Y280" i="2"/>
  <c r="Y281" i="2"/>
  <c r="Y282" i="2"/>
  <c r="Y283" i="2"/>
  <c r="Y284" i="2"/>
  <c r="Y285" i="2"/>
  <c r="Y286" i="2"/>
  <c r="Y287" i="2"/>
  <c r="Y288" i="2"/>
  <c r="Y289" i="2"/>
  <c r="Y290" i="2"/>
  <c r="Y291" i="2"/>
  <c r="Y292" i="2"/>
  <c r="Y293" i="2"/>
  <c r="Y294" i="2"/>
  <c r="Y295" i="2"/>
  <c r="Y296" i="2"/>
  <c r="Y297" i="2"/>
  <c r="Y298" i="2"/>
  <c r="Y299" i="2"/>
  <c r="Y300" i="2"/>
  <c r="Y301" i="2"/>
  <c r="Y302" i="2"/>
  <c r="Y303" i="2"/>
  <c r="Y304" i="2"/>
  <c r="Y305" i="2"/>
  <c r="Y306" i="2"/>
  <c r="Y307" i="2"/>
  <c r="Y308" i="2"/>
  <c r="Y309" i="2"/>
  <c r="Y310" i="2"/>
  <c r="Y311" i="2"/>
  <c r="Y312" i="2"/>
  <c r="Y313" i="2"/>
  <c r="Y314" i="2"/>
  <c r="Y315" i="2"/>
  <c r="Y316" i="2"/>
  <c r="Y317" i="2"/>
  <c r="Y318" i="2"/>
  <c r="Y319" i="2"/>
  <c r="Y320" i="2"/>
  <c r="Y321" i="2"/>
  <c r="Y322" i="2"/>
  <c r="Y323" i="2"/>
  <c r="Y324" i="2"/>
  <c r="Y325" i="2"/>
  <c r="Y326" i="2"/>
  <c r="Y327" i="2"/>
  <c r="Y328" i="2"/>
  <c r="Y329" i="2"/>
  <c r="Y330" i="2"/>
  <c r="Y331" i="2"/>
  <c r="Y332" i="2"/>
  <c r="Y333" i="2"/>
  <c r="Y334" i="2"/>
  <c r="Y335" i="2"/>
  <c r="Y336" i="2"/>
  <c r="Y337" i="2"/>
  <c r="Y338" i="2"/>
  <c r="Y339" i="2"/>
  <c r="Y340" i="2"/>
  <c r="Y341" i="2"/>
  <c r="Y342" i="2"/>
  <c r="Y343" i="2"/>
  <c r="Y344" i="2"/>
  <c r="Y345" i="2"/>
  <c r="Y346" i="2"/>
  <c r="Y347" i="2"/>
  <c r="Y348" i="2"/>
  <c r="Y349" i="2"/>
  <c r="Y350" i="2"/>
  <c r="Y351" i="2"/>
  <c r="Y352" i="2"/>
  <c r="Y353" i="2"/>
  <c r="Y354" i="2"/>
  <c r="Y355" i="2"/>
  <c r="Y356" i="2"/>
  <c r="Y357" i="2"/>
  <c r="Y358" i="2"/>
  <c r="Y359" i="2"/>
  <c r="Y360" i="2"/>
  <c r="Y361" i="2"/>
  <c r="Y362" i="2"/>
  <c r="Y363" i="2"/>
  <c r="Y364" i="2"/>
  <c r="Y365" i="2"/>
  <c r="Y366" i="2"/>
  <c r="Y367" i="2"/>
  <c r="Y368" i="2"/>
  <c r="Y369" i="2"/>
  <c r="Y370" i="2"/>
  <c r="Y371" i="2"/>
  <c r="Y372" i="2"/>
  <c r="Y373" i="2"/>
  <c r="Y374" i="2"/>
  <c r="Y375" i="2"/>
  <c r="Y376" i="2"/>
  <c r="Y377" i="2"/>
  <c r="Y378" i="2"/>
  <c r="Y379" i="2"/>
  <c r="Y380" i="2"/>
  <c r="Y381" i="2"/>
  <c r="Y382" i="2"/>
  <c r="Y383" i="2"/>
  <c r="Y384" i="2"/>
  <c r="Y385" i="2"/>
  <c r="Y386" i="2"/>
  <c r="Y387" i="2"/>
  <c r="Y388" i="2"/>
  <c r="Y389" i="2"/>
  <c r="Y390" i="2"/>
  <c r="Y391" i="2"/>
  <c r="Y392" i="2"/>
  <c r="Y393" i="2"/>
  <c r="Y394" i="2"/>
  <c r="Y395" i="2"/>
  <c r="Y396" i="2"/>
  <c r="Y397" i="2"/>
  <c r="Y398" i="2"/>
  <c r="Y399" i="2"/>
  <c r="Y400" i="2"/>
  <c r="Y401" i="2"/>
  <c r="Y402" i="2"/>
  <c r="Y403" i="2"/>
  <c r="Y404" i="2"/>
  <c r="Y405" i="2"/>
  <c r="Y406" i="2"/>
  <c r="Y407" i="2"/>
  <c r="Y408" i="2"/>
  <c r="Y409" i="2"/>
  <c r="Y410" i="2"/>
  <c r="Y411" i="2"/>
  <c r="Y412" i="2"/>
  <c r="Y413" i="2"/>
  <c r="Y414" i="2"/>
  <c r="Y415" i="2"/>
  <c r="Y416" i="2"/>
  <c r="Y417" i="2"/>
  <c r="Y418" i="2"/>
  <c r="Y419" i="2"/>
  <c r="Y420" i="2"/>
  <c r="Y421" i="2"/>
  <c r="Y422" i="2"/>
  <c r="Y423" i="2"/>
  <c r="Y424" i="2"/>
  <c r="Y425" i="2"/>
  <c r="Y426" i="2"/>
  <c r="Y427" i="2"/>
  <c r="Y428" i="2"/>
  <c r="Y429" i="2"/>
  <c r="Y430" i="2"/>
  <c r="Y431" i="2"/>
  <c r="Y432" i="2"/>
  <c r="Y433" i="2"/>
  <c r="Y434" i="2"/>
  <c r="Y435" i="2"/>
  <c r="Y436" i="2"/>
  <c r="Y437" i="2"/>
  <c r="Y438" i="2"/>
  <c r="Y439" i="2"/>
  <c r="Y440" i="2"/>
  <c r="Y441" i="2"/>
  <c r="Y442" i="2"/>
  <c r="Y443" i="2"/>
  <c r="Y444" i="2"/>
  <c r="Y445" i="2"/>
  <c r="Y446" i="2"/>
  <c r="Y447" i="2"/>
  <c r="Y448" i="2"/>
  <c r="Y449" i="2"/>
  <c r="Y450" i="2"/>
  <c r="Y451" i="2"/>
  <c r="Y452" i="2"/>
  <c r="Y453" i="2"/>
  <c r="Y454" i="2"/>
  <c r="Y455" i="2"/>
  <c r="Y456" i="2"/>
  <c r="Y457" i="2"/>
  <c r="Y458" i="2"/>
  <c r="Y459" i="2"/>
  <c r="Y460" i="2"/>
  <c r="Y461" i="2"/>
  <c r="Y462" i="2"/>
  <c r="Y463" i="2"/>
  <c r="Y464" i="2"/>
  <c r="Y465" i="2"/>
  <c r="Y466" i="2"/>
  <c r="Y467" i="2"/>
  <c r="Y468" i="2"/>
  <c r="Y469" i="2"/>
  <c r="Y470" i="2"/>
  <c r="Y471" i="2"/>
  <c r="Y472" i="2"/>
  <c r="Y473" i="2"/>
  <c r="Y474" i="2"/>
  <c r="Y475" i="2"/>
  <c r="Y476" i="2"/>
  <c r="Y477" i="2"/>
  <c r="Y478" i="2"/>
  <c r="Y479" i="2"/>
  <c r="Y480" i="2"/>
  <c r="Y481" i="2"/>
  <c r="Y482" i="2"/>
  <c r="Y483" i="2"/>
  <c r="Y484" i="2"/>
  <c r="Y485" i="2"/>
  <c r="Y486" i="2"/>
  <c r="Y487" i="2"/>
  <c r="Y488" i="2"/>
  <c r="Y489" i="2"/>
  <c r="Y490" i="2"/>
  <c r="Y491" i="2"/>
  <c r="Y492" i="2"/>
  <c r="Y493" i="2"/>
  <c r="Y494" i="2"/>
  <c r="Y495" i="2"/>
  <c r="Y496" i="2"/>
  <c r="Y497" i="2"/>
  <c r="Y498" i="2"/>
  <c r="Y499" i="2"/>
  <c r="Y500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87" i="2"/>
  <c r="F488" i="2"/>
  <c r="F489" i="2"/>
  <c r="F490" i="2"/>
  <c r="F491" i="2"/>
  <c r="F492" i="2"/>
  <c r="F493" i="2"/>
  <c r="F494" i="2"/>
  <c r="F495" i="2"/>
  <c r="F496" i="2"/>
  <c r="F497" i="2"/>
  <c r="F498" i="2"/>
  <c r="F499" i="2"/>
  <c r="F500" i="2"/>
  <c r="T17" i="2"/>
  <c r="U17" i="2" s="1"/>
  <c r="T18" i="2"/>
  <c r="U18" i="2" s="1"/>
  <c r="T19" i="2"/>
  <c r="U19" i="2" s="1"/>
  <c r="T20" i="2"/>
  <c r="U20" i="2" s="1"/>
  <c r="T21" i="2"/>
  <c r="U21" i="2" s="1"/>
  <c r="T22" i="2"/>
  <c r="U22" i="2" s="1"/>
  <c r="T23" i="2"/>
  <c r="U23" i="2" s="1"/>
  <c r="T24" i="2"/>
  <c r="U24" i="2" s="1"/>
  <c r="T25" i="2"/>
  <c r="U25" i="2" s="1"/>
  <c r="T26" i="2"/>
  <c r="U26" i="2" s="1"/>
  <c r="T27" i="2"/>
  <c r="U27" i="2" s="1"/>
  <c r="T28" i="2"/>
  <c r="U28" i="2" s="1"/>
  <c r="T29" i="2"/>
  <c r="U29" i="2" s="1"/>
  <c r="T30" i="2"/>
  <c r="U30" i="2" s="1"/>
  <c r="T31" i="2"/>
  <c r="U31" i="2" s="1"/>
  <c r="T32" i="2"/>
  <c r="U32" i="2" s="1"/>
  <c r="T33" i="2"/>
  <c r="U33" i="2" s="1"/>
  <c r="T34" i="2"/>
  <c r="U34" i="2" s="1"/>
  <c r="T35" i="2"/>
  <c r="U35" i="2" s="1"/>
  <c r="T36" i="2"/>
  <c r="U36" i="2" s="1"/>
  <c r="T37" i="2"/>
  <c r="U37" i="2" s="1"/>
  <c r="T38" i="2"/>
  <c r="U38" i="2" s="1"/>
  <c r="T39" i="2"/>
  <c r="U39" i="2" s="1"/>
  <c r="T40" i="2"/>
  <c r="U40" i="2" s="1"/>
  <c r="T41" i="2"/>
  <c r="U41" i="2" s="1"/>
  <c r="T42" i="2"/>
  <c r="U42" i="2" s="1"/>
  <c r="T43" i="2"/>
  <c r="U43" i="2" s="1"/>
  <c r="T44" i="2"/>
  <c r="U44" i="2" s="1"/>
  <c r="T45" i="2"/>
  <c r="U45" i="2" s="1"/>
  <c r="T46" i="2"/>
  <c r="U46" i="2" s="1"/>
  <c r="T47" i="2"/>
  <c r="U47" i="2" s="1"/>
  <c r="T48" i="2"/>
  <c r="U48" i="2" s="1"/>
  <c r="T49" i="2"/>
  <c r="U49" i="2" s="1"/>
  <c r="T50" i="2"/>
  <c r="U50" i="2" s="1"/>
  <c r="T51" i="2"/>
  <c r="U51" i="2" s="1"/>
  <c r="T52" i="2"/>
  <c r="U52" i="2" s="1"/>
  <c r="T53" i="2"/>
  <c r="U53" i="2" s="1"/>
  <c r="T54" i="2"/>
  <c r="U54" i="2" s="1"/>
  <c r="T55" i="2"/>
  <c r="U55" i="2" s="1"/>
  <c r="T56" i="2"/>
  <c r="U56" i="2" s="1"/>
  <c r="T57" i="2"/>
  <c r="U57" i="2" s="1"/>
  <c r="T58" i="2"/>
  <c r="U58" i="2" s="1"/>
  <c r="T59" i="2"/>
  <c r="U59" i="2" s="1"/>
  <c r="T60" i="2"/>
  <c r="U60" i="2" s="1"/>
  <c r="T61" i="2"/>
  <c r="U61" i="2" s="1"/>
  <c r="T62" i="2"/>
  <c r="U62" i="2" s="1"/>
  <c r="T63" i="2"/>
  <c r="U63" i="2" s="1"/>
  <c r="T64" i="2"/>
  <c r="U64" i="2" s="1"/>
  <c r="T65" i="2"/>
  <c r="U65" i="2" s="1"/>
  <c r="T66" i="2"/>
  <c r="U66" i="2" s="1"/>
  <c r="T67" i="2"/>
  <c r="U67" i="2" s="1"/>
  <c r="T68" i="2"/>
  <c r="U68" i="2" s="1"/>
  <c r="T69" i="2"/>
  <c r="U69" i="2" s="1"/>
  <c r="T70" i="2"/>
  <c r="U70" i="2" s="1"/>
  <c r="T71" i="2"/>
  <c r="U71" i="2" s="1"/>
  <c r="T72" i="2"/>
  <c r="U72" i="2" s="1"/>
  <c r="T73" i="2"/>
  <c r="U73" i="2" s="1"/>
  <c r="T74" i="2"/>
  <c r="U74" i="2" s="1"/>
  <c r="T75" i="2"/>
  <c r="U75" i="2" s="1"/>
  <c r="T76" i="2"/>
  <c r="U76" i="2" s="1"/>
  <c r="T77" i="2"/>
  <c r="U77" i="2" s="1"/>
  <c r="T78" i="2"/>
  <c r="U78" i="2" s="1"/>
  <c r="T79" i="2"/>
  <c r="U79" i="2" s="1"/>
  <c r="T80" i="2"/>
  <c r="U80" i="2" s="1"/>
  <c r="T81" i="2"/>
  <c r="U81" i="2" s="1"/>
  <c r="T82" i="2"/>
  <c r="U82" i="2" s="1"/>
  <c r="T83" i="2"/>
  <c r="U83" i="2" s="1"/>
  <c r="T84" i="2"/>
  <c r="U84" i="2" s="1"/>
  <c r="T85" i="2"/>
  <c r="U85" i="2" s="1"/>
  <c r="T86" i="2"/>
  <c r="U86" i="2" s="1"/>
  <c r="T87" i="2"/>
  <c r="U87" i="2" s="1"/>
  <c r="T88" i="2"/>
  <c r="U88" i="2" s="1"/>
  <c r="T89" i="2"/>
  <c r="U89" i="2" s="1"/>
  <c r="T90" i="2"/>
  <c r="U90" i="2" s="1"/>
  <c r="T91" i="2"/>
  <c r="U91" i="2" s="1"/>
  <c r="T92" i="2"/>
  <c r="U92" i="2" s="1"/>
  <c r="T93" i="2"/>
  <c r="U93" i="2" s="1"/>
  <c r="T94" i="2"/>
  <c r="U94" i="2" s="1"/>
  <c r="T95" i="2"/>
  <c r="U95" i="2" s="1"/>
  <c r="T96" i="2"/>
  <c r="U96" i="2" s="1"/>
  <c r="T97" i="2"/>
  <c r="U97" i="2" s="1"/>
  <c r="T98" i="2"/>
  <c r="U98" i="2" s="1"/>
  <c r="T99" i="2"/>
  <c r="U99" i="2" s="1"/>
  <c r="T100" i="2"/>
  <c r="U100" i="2" s="1"/>
  <c r="T101" i="2"/>
  <c r="U101" i="2" s="1"/>
  <c r="T102" i="2"/>
  <c r="U102" i="2" s="1"/>
  <c r="T103" i="2"/>
  <c r="U103" i="2" s="1"/>
  <c r="T104" i="2"/>
  <c r="U104" i="2" s="1"/>
  <c r="T105" i="2"/>
  <c r="U105" i="2" s="1"/>
  <c r="T106" i="2"/>
  <c r="U106" i="2" s="1"/>
  <c r="T107" i="2"/>
  <c r="U107" i="2" s="1"/>
  <c r="T108" i="2"/>
  <c r="U108" i="2" s="1"/>
  <c r="T109" i="2"/>
  <c r="U109" i="2" s="1"/>
  <c r="T110" i="2"/>
  <c r="U110" i="2" s="1"/>
  <c r="T111" i="2"/>
  <c r="U111" i="2" s="1"/>
  <c r="T112" i="2"/>
  <c r="U112" i="2" s="1"/>
  <c r="T113" i="2"/>
  <c r="U113" i="2" s="1"/>
  <c r="T114" i="2"/>
  <c r="U114" i="2" s="1"/>
  <c r="T115" i="2"/>
  <c r="U115" i="2" s="1"/>
  <c r="T116" i="2"/>
  <c r="U116" i="2" s="1"/>
  <c r="T117" i="2"/>
  <c r="U117" i="2" s="1"/>
  <c r="T118" i="2"/>
  <c r="U118" i="2" s="1"/>
  <c r="T119" i="2"/>
  <c r="U119" i="2" s="1"/>
  <c r="T120" i="2"/>
  <c r="U120" i="2" s="1"/>
  <c r="T121" i="2"/>
  <c r="U121" i="2" s="1"/>
  <c r="T122" i="2"/>
  <c r="U122" i="2" s="1"/>
  <c r="T123" i="2"/>
  <c r="U123" i="2" s="1"/>
  <c r="T124" i="2"/>
  <c r="U124" i="2" s="1"/>
  <c r="T125" i="2"/>
  <c r="U125" i="2" s="1"/>
  <c r="T126" i="2"/>
  <c r="U126" i="2" s="1"/>
  <c r="T127" i="2"/>
  <c r="U127" i="2" s="1"/>
  <c r="T128" i="2"/>
  <c r="U128" i="2" s="1"/>
  <c r="T129" i="2"/>
  <c r="U129" i="2" s="1"/>
  <c r="T130" i="2"/>
  <c r="U130" i="2" s="1"/>
  <c r="T131" i="2"/>
  <c r="U131" i="2" s="1"/>
  <c r="T132" i="2"/>
  <c r="U132" i="2" s="1"/>
  <c r="T133" i="2"/>
  <c r="U133" i="2" s="1"/>
  <c r="T134" i="2"/>
  <c r="U134" i="2" s="1"/>
  <c r="T135" i="2"/>
  <c r="U135" i="2" s="1"/>
  <c r="T136" i="2"/>
  <c r="U136" i="2" s="1"/>
  <c r="T137" i="2"/>
  <c r="U137" i="2" s="1"/>
  <c r="T138" i="2"/>
  <c r="U138" i="2" s="1"/>
  <c r="T139" i="2"/>
  <c r="U139" i="2" s="1"/>
  <c r="T140" i="2"/>
  <c r="U140" i="2" s="1"/>
  <c r="T141" i="2"/>
  <c r="U141" i="2" s="1"/>
  <c r="T142" i="2"/>
  <c r="U142" i="2" s="1"/>
  <c r="T143" i="2"/>
  <c r="U143" i="2" s="1"/>
  <c r="T144" i="2"/>
  <c r="U144" i="2" s="1"/>
  <c r="T145" i="2"/>
  <c r="U145" i="2" s="1"/>
  <c r="T146" i="2"/>
  <c r="U146" i="2" s="1"/>
  <c r="T147" i="2"/>
  <c r="U147" i="2" s="1"/>
  <c r="T148" i="2"/>
  <c r="U148" i="2" s="1"/>
  <c r="T149" i="2"/>
  <c r="U149" i="2" s="1"/>
  <c r="T150" i="2"/>
  <c r="U150" i="2" s="1"/>
  <c r="T151" i="2"/>
  <c r="U151" i="2" s="1"/>
  <c r="T152" i="2"/>
  <c r="U152" i="2" s="1"/>
  <c r="T153" i="2"/>
  <c r="U153" i="2" s="1"/>
  <c r="T154" i="2"/>
  <c r="U154" i="2" s="1"/>
  <c r="T155" i="2"/>
  <c r="U155" i="2" s="1"/>
  <c r="T156" i="2"/>
  <c r="U156" i="2" s="1"/>
  <c r="T157" i="2"/>
  <c r="U157" i="2" s="1"/>
  <c r="T158" i="2"/>
  <c r="U158" i="2" s="1"/>
  <c r="T159" i="2"/>
  <c r="U159" i="2" s="1"/>
  <c r="T160" i="2"/>
  <c r="U160" i="2" s="1"/>
  <c r="T161" i="2"/>
  <c r="U161" i="2" s="1"/>
  <c r="T162" i="2"/>
  <c r="U162" i="2" s="1"/>
  <c r="T163" i="2"/>
  <c r="U163" i="2" s="1"/>
  <c r="T164" i="2"/>
  <c r="U164" i="2" s="1"/>
  <c r="T165" i="2"/>
  <c r="U165" i="2" s="1"/>
  <c r="T166" i="2"/>
  <c r="U166" i="2" s="1"/>
  <c r="T167" i="2"/>
  <c r="U167" i="2" s="1"/>
  <c r="T168" i="2"/>
  <c r="U168" i="2" s="1"/>
  <c r="T169" i="2"/>
  <c r="U169" i="2" s="1"/>
  <c r="T170" i="2"/>
  <c r="U170" i="2" s="1"/>
  <c r="T171" i="2"/>
  <c r="U171" i="2" s="1"/>
  <c r="T172" i="2"/>
  <c r="U172" i="2" s="1"/>
  <c r="T173" i="2"/>
  <c r="U173" i="2" s="1"/>
  <c r="T174" i="2"/>
  <c r="U174" i="2" s="1"/>
  <c r="T175" i="2"/>
  <c r="U175" i="2" s="1"/>
  <c r="T176" i="2"/>
  <c r="U176" i="2" s="1"/>
  <c r="T177" i="2"/>
  <c r="U177" i="2" s="1"/>
  <c r="T178" i="2"/>
  <c r="U178" i="2" s="1"/>
  <c r="T179" i="2"/>
  <c r="U179" i="2" s="1"/>
  <c r="T180" i="2"/>
  <c r="U180" i="2" s="1"/>
  <c r="T181" i="2"/>
  <c r="U181" i="2" s="1"/>
  <c r="T182" i="2"/>
  <c r="U182" i="2" s="1"/>
  <c r="T183" i="2"/>
  <c r="U183" i="2" s="1"/>
  <c r="T184" i="2"/>
  <c r="U184" i="2" s="1"/>
  <c r="T185" i="2"/>
  <c r="U185" i="2" s="1"/>
  <c r="T186" i="2"/>
  <c r="U186" i="2" s="1"/>
  <c r="T187" i="2"/>
  <c r="U187" i="2" s="1"/>
  <c r="T188" i="2"/>
  <c r="U188" i="2" s="1"/>
  <c r="T189" i="2"/>
  <c r="U189" i="2" s="1"/>
  <c r="T190" i="2"/>
  <c r="U190" i="2" s="1"/>
  <c r="T191" i="2"/>
  <c r="U191" i="2" s="1"/>
  <c r="T192" i="2"/>
  <c r="U192" i="2" s="1"/>
  <c r="T193" i="2"/>
  <c r="U193" i="2" s="1"/>
  <c r="T194" i="2"/>
  <c r="U194" i="2" s="1"/>
  <c r="T195" i="2"/>
  <c r="U195" i="2" s="1"/>
  <c r="T196" i="2"/>
  <c r="U196" i="2" s="1"/>
  <c r="T197" i="2"/>
  <c r="U197" i="2" s="1"/>
  <c r="T198" i="2"/>
  <c r="U198" i="2" s="1"/>
  <c r="T199" i="2"/>
  <c r="U199" i="2" s="1"/>
  <c r="T200" i="2"/>
  <c r="U200" i="2" s="1"/>
  <c r="T201" i="2"/>
  <c r="U201" i="2" s="1"/>
  <c r="T202" i="2"/>
  <c r="U202" i="2" s="1"/>
  <c r="T203" i="2"/>
  <c r="U203" i="2" s="1"/>
  <c r="T204" i="2"/>
  <c r="U204" i="2" s="1"/>
  <c r="T205" i="2"/>
  <c r="U205" i="2" s="1"/>
  <c r="T206" i="2"/>
  <c r="U206" i="2" s="1"/>
  <c r="T207" i="2"/>
  <c r="U207" i="2" s="1"/>
  <c r="T208" i="2"/>
  <c r="U208" i="2" s="1"/>
  <c r="T209" i="2"/>
  <c r="U209" i="2" s="1"/>
  <c r="T210" i="2"/>
  <c r="U210" i="2" s="1"/>
  <c r="T211" i="2"/>
  <c r="U211" i="2" s="1"/>
  <c r="T212" i="2"/>
  <c r="U212" i="2" s="1"/>
  <c r="T213" i="2"/>
  <c r="U213" i="2" s="1"/>
  <c r="T214" i="2"/>
  <c r="U214" i="2" s="1"/>
  <c r="T215" i="2"/>
  <c r="U215" i="2" s="1"/>
  <c r="T216" i="2"/>
  <c r="U216" i="2" s="1"/>
  <c r="T217" i="2"/>
  <c r="U217" i="2" s="1"/>
  <c r="T218" i="2"/>
  <c r="U218" i="2" s="1"/>
  <c r="T219" i="2"/>
  <c r="U219" i="2" s="1"/>
  <c r="T220" i="2"/>
  <c r="U220" i="2" s="1"/>
  <c r="T221" i="2"/>
  <c r="U221" i="2" s="1"/>
  <c r="T222" i="2"/>
  <c r="U222" i="2" s="1"/>
  <c r="T223" i="2"/>
  <c r="U223" i="2" s="1"/>
  <c r="T224" i="2"/>
  <c r="U224" i="2" s="1"/>
  <c r="T225" i="2"/>
  <c r="U225" i="2" s="1"/>
  <c r="T226" i="2"/>
  <c r="U226" i="2" s="1"/>
  <c r="T227" i="2"/>
  <c r="U227" i="2" s="1"/>
  <c r="T228" i="2"/>
  <c r="U228" i="2" s="1"/>
  <c r="T229" i="2"/>
  <c r="U229" i="2" s="1"/>
  <c r="T230" i="2"/>
  <c r="U230" i="2" s="1"/>
  <c r="T231" i="2"/>
  <c r="U231" i="2" s="1"/>
  <c r="T232" i="2"/>
  <c r="U232" i="2" s="1"/>
  <c r="T233" i="2"/>
  <c r="U233" i="2" s="1"/>
  <c r="T234" i="2"/>
  <c r="U234" i="2" s="1"/>
  <c r="T235" i="2"/>
  <c r="U235" i="2" s="1"/>
  <c r="T236" i="2"/>
  <c r="U236" i="2" s="1"/>
  <c r="T237" i="2"/>
  <c r="U237" i="2" s="1"/>
  <c r="T238" i="2"/>
  <c r="U238" i="2" s="1"/>
  <c r="T239" i="2"/>
  <c r="U239" i="2" s="1"/>
  <c r="T240" i="2"/>
  <c r="U240" i="2" s="1"/>
  <c r="T241" i="2"/>
  <c r="U241" i="2" s="1"/>
  <c r="T242" i="2"/>
  <c r="U242" i="2" s="1"/>
  <c r="T243" i="2"/>
  <c r="U243" i="2" s="1"/>
  <c r="T244" i="2"/>
  <c r="U244" i="2" s="1"/>
  <c r="T245" i="2"/>
  <c r="U245" i="2" s="1"/>
  <c r="T246" i="2"/>
  <c r="U246" i="2" s="1"/>
  <c r="T247" i="2"/>
  <c r="U247" i="2" s="1"/>
  <c r="T248" i="2"/>
  <c r="U248" i="2" s="1"/>
  <c r="T249" i="2"/>
  <c r="U249" i="2" s="1"/>
  <c r="T250" i="2"/>
  <c r="U250" i="2" s="1"/>
  <c r="T251" i="2"/>
  <c r="U251" i="2" s="1"/>
  <c r="T252" i="2"/>
  <c r="U252" i="2" s="1"/>
  <c r="T253" i="2"/>
  <c r="U253" i="2" s="1"/>
  <c r="T254" i="2"/>
  <c r="U254" i="2" s="1"/>
  <c r="T255" i="2"/>
  <c r="U255" i="2" s="1"/>
  <c r="T256" i="2"/>
  <c r="U256" i="2" s="1"/>
  <c r="T257" i="2"/>
  <c r="U257" i="2" s="1"/>
  <c r="T258" i="2"/>
  <c r="U258" i="2" s="1"/>
  <c r="T259" i="2"/>
  <c r="U259" i="2" s="1"/>
  <c r="T260" i="2"/>
  <c r="U260" i="2" s="1"/>
  <c r="T261" i="2"/>
  <c r="U261" i="2" s="1"/>
  <c r="T262" i="2"/>
  <c r="U262" i="2" s="1"/>
  <c r="T263" i="2"/>
  <c r="U263" i="2" s="1"/>
  <c r="T264" i="2"/>
  <c r="U264" i="2" s="1"/>
  <c r="T265" i="2"/>
  <c r="U265" i="2" s="1"/>
  <c r="T266" i="2"/>
  <c r="U266" i="2" s="1"/>
  <c r="T267" i="2"/>
  <c r="U267" i="2" s="1"/>
  <c r="T268" i="2"/>
  <c r="U268" i="2" s="1"/>
  <c r="T269" i="2"/>
  <c r="U269" i="2" s="1"/>
  <c r="T270" i="2"/>
  <c r="U270" i="2" s="1"/>
  <c r="T271" i="2"/>
  <c r="U271" i="2" s="1"/>
  <c r="T272" i="2"/>
  <c r="U272" i="2" s="1"/>
  <c r="T273" i="2"/>
  <c r="U273" i="2" s="1"/>
  <c r="T274" i="2"/>
  <c r="U274" i="2" s="1"/>
  <c r="T275" i="2"/>
  <c r="U275" i="2" s="1"/>
  <c r="T276" i="2"/>
  <c r="U276" i="2" s="1"/>
  <c r="T277" i="2"/>
  <c r="U277" i="2" s="1"/>
  <c r="T278" i="2"/>
  <c r="U278" i="2" s="1"/>
  <c r="T279" i="2"/>
  <c r="U279" i="2" s="1"/>
  <c r="T280" i="2"/>
  <c r="U280" i="2" s="1"/>
  <c r="T281" i="2"/>
  <c r="U281" i="2" s="1"/>
  <c r="T282" i="2"/>
  <c r="U282" i="2" s="1"/>
  <c r="T283" i="2"/>
  <c r="U283" i="2" s="1"/>
  <c r="T284" i="2"/>
  <c r="U284" i="2" s="1"/>
  <c r="T285" i="2"/>
  <c r="U285" i="2" s="1"/>
  <c r="T286" i="2"/>
  <c r="U286" i="2" s="1"/>
  <c r="T287" i="2"/>
  <c r="U287" i="2" s="1"/>
  <c r="T288" i="2"/>
  <c r="U288" i="2" s="1"/>
  <c r="T289" i="2"/>
  <c r="U289" i="2" s="1"/>
  <c r="T290" i="2"/>
  <c r="U290" i="2" s="1"/>
  <c r="T291" i="2"/>
  <c r="U291" i="2" s="1"/>
  <c r="T292" i="2"/>
  <c r="U292" i="2" s="1"/>
  <c r="T293" i="2"/>
  <c r="U293" i="2" s="1"/>
  <c r="T294" i="2"/>
  <c r="U294" i="2" s="1"/>
  <c r="T295" i="2"/>
  <c r="U295" i="2" s="1"/>
  <c r="T296" i="2"/>
  <c r="U296" i="2" s="1"/>
  <c r="T297" i="2"/>
  <c r="U297" i="2" s="1"/>
  <c r="T298" i="2"/>
  <c r="U298" i="2" s="1"/>
  <c r="T299" i="2"/>
  <c r="U299" i="2" s="1"/>
  <c r="T300" i="2"/>
  <c r="U300" i="2" s="1"/>
  <c r="T301" i="2"/>
  <c r="U301" i="2" s="1"/>
  <c r="T302" i="2"/>
  <c r="U302" i="2" s="1"/>
  <c r="T303" i="2"/>
  <c r="U303" i="2" s="1"/>
  <c r="T304" i="2"/>
  <c r="U304" i="2" s="1"/>
  <c r="T305" i="2"/>
  <c r="U305" i="2" s="1"/>
  <c r="T306" i="2"/>
  <c r="U306" i="2" s="1"/>
  <c r="T307" i="2"/>
  <c r="U307" i="2" s="1"/>
  <c r="T308" i="2"/>
  <c r="U308" i="2" s="1"/>
  <c r="T309" i="2"/>
  <c r="U309" i="2" s="1"/>
  <c r="T310" i="2"/>
  <c r="U310" i="2" s="1"/>
  <c r="T311" i="2"/>
  <c r="U311" i="2" s="1"/>
  <c r="T312" i="2"/>
  <c r="U312" i="2" s="1"/>
  <c r="T313" i="2"/>
  <c r="U313" i="2" s="1"/>
  <c r="T314" i="2"/>
  <c r="U314" i="2" s="1"/>
  <c r="T315" i="2"/>
  <c r="U315" i="2" s="1"/>
  <c r="T316" i="2"/>
  <c r="U316" i="2" s="1"/>
  <c r="T317" i="2"/>
  <c r="U317" i="2" s="1"/>
  <c r="T318" i="2"/>
  <c r="U318" i="2" s="1"/>
  <c r="T319" i="2"/>
  <c r="U319" i="2" s="1"/>
  <c r="T320" i="2"/>
  <c r="U320" i="2" s="1"/>
  <c r="T321" i="2"/>
  <c r="U321" i="2" s="1"/>
  <c r="T322" i="2"/>
  <c r="U322" i="2" s="1"/>
  <c r="T323" i="2"/>
  <c r="U323" i="2" s="1"/>
  <c r="T324" i="2"/>
  <c r="U324" i="2" s="1"/>
  <c r="T325" i="2"/>
  <c r="U325" i="2" s="1"/>
  <c r="T326" i="2"/>
  <c r="U326" i="2" s="1"/>
  <c r="T327" i="2"/>
  <c r="U327" i="2" s="1"/>
  <c r="T328" i="2"/>
  <c r="U328" i="2" s="1"/>
  <c r="T329" i="2"/>
  <c r="U329" i="2" s="1"/>
  <c r="T330" i="2"/>
  <c r="U330" i="2" s="1"/>
  <c r="T331" i="2"/>
  <c r="U331" i="2" s="1"/>
  <c r="T332" i="2"/>
  <c r="U332" i="2" s="1"/>
  <c r="T333" i="2"/>
  <c r="U333" i="2" s="1"/>
  <c r="T334" i="2"/>
  <c r="U334" i="2" s="1"/>
  <c r="T335" i="2"/>
  <c r="U335" i="2" s="1"/>
  <c r="T336" i="2"/>
  <c r="U336" i="2" s="1"/>
  <c r="T337" i="2"/>
  <c r="U337" i="2" s="1"/>
  <c r="T338" i="2"/>
  <c r="U338" i="2" s="1"/>
  <c r="T339" i="2"/>
  <c r="U339" i="2" s="1"/>
  <c r="T340" i="2"/>
  <c r="U340" i="2" s="1"/>
  <c r="T341" i="2"/>
  <c r="U341" i="2" s="1"/>
  <c r="T342" i="2"/>
  <c r="U342" i="2" s="1"/>
  <c r="T343" i="2"/>
  <c r="U343" i="2" s="1"/>
  <c r="T344" i="2"/>
  <c r="U344" i="2" s="1"/>
  <c r="T345" i="2"/>
  <c r="U345" i="2" s="1"/>
  <c r="T346" i="2"/>
  <c r="U346" i="2" s="1"/>
  <c r="T347" i="2"/>
  <c r="U347" i="2" s="1"/>
  <c r="T348" i="2"/>
  <c r="U348" i="2" s="1"/>
  <c r="T349" i="2"/>
  <c r="U349" i="2" s="1"/>
  <c r="T350" i="2"/>
  <c r="U350" i="2" s="1"/>
  <c r="T351" i="2"/>
  <c r="U351" i="2" s="1"/>
  <c r="T352" i="2"/>
  <c r="U352" i="2" s="1"/>
  <c r="T353" i="2"/>
  <c r="U353" i="2" s="1"/>
  <c r="T354" i="2"/>
  <c r="U354" i="2" s="1"/>
  <c r="T355" i="2"/>
  <c r="U355" i="2" s="1"/>
  <c r="T356" i="2"/>
  <c r="U356" i="2" s="1"/>
  <c r="T357" i="2"/>
  <c r="U357" i="2" s="1"/>
  <c r="T358" i="2"/>
  <c r="U358" i="2" s="1"/>
  <c r="T359" i="2"/>
  <c r="U359" i="2" s="1"/>
  <c r="T360" i="2"/>
  <c r="U360" i="2" s="1"/>
  <c r="T361" i="2"/>
  <c r="U361" i="2" s="1"/>
  <c r="T362" i="2"/>
  <c r="U362" i="2" s="1"/>
  <c r="T363" i="2"/>
  <c r="U363" i="2" s="1"/>
  <c r="T364" i="2"/>
  <c r="U364" i="2" s="1"/>
  <c r="T365" i="2"/>
  <c r="U365" i="2" s="1"/>
  <c r="T366" i="2"/>
  <c r="U366" i="2" s="1"/>
  <c r="T367" i="2"/>
  <c r="U367" i="2" s="1"/>
  <c r="T368" i="2"/>
  <c r="U368" i="2" s="1"/>
  <c r="T369" i="2"/>
  <c r="U369" i="2" s="1"/>
  <c r="T370" i="2"/>
  <c r="U370" i="2" s="1"/>
  <c r="T371" i="2"/>
  <c r="U371" i="2" s="1"/>
  <c r="T372" i="2"/>
  <c r="U372" i="2" s="1"/>
  <c r="T373" i="2"/>
  <c r="U373" i="2" s="1"/>
  <c r="T374" i="2"/>
  <c r="U374" i="2" s="1"/>
  <c r="T375" i="2"/>
  <c r="U375" i="2" s="1"/>
  <c r="T376" i="2"/>
  <c r="U376" i="2" s="1"/>
  <c r="T377" i="2"/>
  <c r="U377" i="2" s="1"/>
  <c r="T378" i="2"/>
  <c r="U378" i="2" s="1"/>
  <c r="T379" i="2"/>
  <c r="U379" i="2" s="1"/>
  <c r="T380" i="2"/>
  <c r="U380" i="2" s="1"/>
  <c r="T381" i="2"/>
  <c r="U381" i="2" s="1"/>
  <c r="T382" i="2"/>
  <c r="U382" i="2" s="1"/>
  <c r="T383" i="2"/>
  <c r="U383" i="2" s="1"/>
  <c r="T384" i="2"/>
  <c r="U384" i="2" s="1"/>
  <c r="T385" i="2"/>
  <c r="U385" i="2" s="1"/>
  <c r="T386" i="2"/>
  <c r="U386" i="2" s="1"/>
  <c r="T387" i="2"/>
  <c r="U387" i="2" s="1"/>
  <c r="T388" i="2"/>
  <c r="U388" i="2" s="1"/>
  <c r="T389" i="2"/>
  <c r="U389" i="2" s="1"/>
  <c r="T390" i="2"/>
  <c r="U390" i="2" s="1"/>
  <c r="T391" i="2"/>
  <c r="U391" i="2" s="1"/>
  <c r="T392" i="2"/>
  <c r="U392" i="2" s="1"/>
  <c r="T393" i="2"/>
  <c r="U393" i="2" s="1"/>
  <c r="T394" i="2"/>
  <c r="U394" i="2" s="1"/>
  <c r="T395" i="2"/>
  <c r="U395" i="2" s="1"/>
  <c r="T396" i="2"/>
  <c r="U396" i="2" s="1"/>
  <c r="T397" i="2"/>
  <c r="U397" i="2" s="1"/>
  <c r="T398" i="2"/>
  <c r="U398" i="2" s="1"/>
  <c r="T399" i="2"/>
  <c r="U399" i="2" s="1"/>
  <c r="T400" i="2"/>
  <c r="U400" i="2" s="1"/>
  <c r="T401" i="2"/>
  <c r="U401" i="2" s="1"/>
  <c r="T402" i="2"/>
  <c r="U402" i="2" s="1"/>
  <c r="T403" i="2"/>
  <c r="U403" i="2" s="1"/>
  <c r="T404" i="2"/>
  <c r="U404" i="2" s="1"/>
  <c r="T405" i="2"/>
  <c r="U405" i="2" s="1"/>
  <c r="T406" i="2"/>
  <c r="U406" i="2" s="1"/>
  <c r="T407" i="2"/>
  <c r="U407" i="2" s="1"/>
  <c r="T408" i="2"/>
  <c r="U408" i="2" s="1"/>
  <c r="T409" i="2"/>
  <c r="U409" i="2" s="1"/>
  <c r="T410" i="2"/>
  <c r="U410" i="2" s="1"/>
  <c r="T411" i="2"/>
  <c r="U411" i="2" s="1"/>
  <c r="T412" i="2"/>
  <c r="U412" i="2" s="1"/>
  <c r="T413" i="2"/>
  <c r="U413" i="2" s="1"/>
  <c r="T414" i="2"/>
  <c r="U414" i="2" s="1"/>
  <c r="T415" i="2"/>
  <c r="U415" i="2" s="1"/>
  <c r="T416" i="2"/>
  <c r="U416" i="2" s="1"/>
  <c r="T417" i="2"/>
  <c r="U417" i="2" s="1"/>
  <c r="T418" i="2"/>
  <c r="U418" i="2" s="1"/>
  <c r="T419" i="2"/>
  <c r="U419" i="2" s="1"/>
  <c r="T420" i="2"/>
  <c r="U420" i="2" s="1"/>
  <c r="T421" i="2"/>
  <c r="U421" i="2" s="1"/>
  <c r="T422" i="2"/>
  <c r="U422" i="2" s="1"/>
  <c r="T423" i="2"/>
  <c r="U423" i="2" s="1"/>
  <c r="T424" i="2"/>
  <c r="U424" i="2" s="1"/>
  <c r="T425" i="2"/>
  <c r="U425" i="2" s="1"/>
  <c r="T426" i="2"/>
  <c r="U426" i="2" s="1"/>
  <c r="T427" i="2"/>
  <c r="U427" i="2" s="1"/>
  <c r="T428" i="2"/>
  <c r="U428" i="2" s="1"/>
  <c r="T429" i="2"/>
  <c r="U429" i="2" s="1"/>
  <c r="T430" i="2"/>
  <c r="U430" i="2" s="1"/>
  <c r="T431" i="2"/>
  <c r="U431" i="2" s="1"/>
  <c r="T432" i="2"/>
  <c r="U432" i="2" s="1"/>
  <c r="T433" i="2"/>
  <c r="U433" i="2" s="1"/>
  <c r="T434" i="2"/>
  <c r="U434" i="2" s="1"/>
  <c r="T435" i="2"/>
  <c r="U435" i="2" s="1"/>
  <c r="T436" i="2"/>
  <c r="U436" i="2" s="1"/>
  <c r="T437" i="2"/>
  <c r="U437" i="2" s="1"/>
  <c r="T438" i="2"/>
  <c r="U438" i="2" s="1"/>
  <c r="T439" i="2"/>
  <c r="U439" i="2" s="1"/>
  <c r="T440" i="2"/>
  <c r="U440" i="2" s="1"/>
  <c r="T441" i="2"/>
  <c r="U441" i="2" s="1"/>
  <c r="T442" i="2"/>
  <c r="U442" i="2" s="1"/>
  <c r="T443" i="2"/>
  <c r="U443" i="2" s="1"/>
  <c r="T444" i="2"/>
  <c r="U444" i="2" s="1"/>
  <c r="T445" i="2"/>
  <c r="U445" i="2" s="1"/>
  <c r="T446" i="2"/>
  <c r="U446" i="2" s="1"/>
  <c r="T447" i="2"/>
  <c r="U447" i="2" s="1"/>
  <c r="T448" i="2"/>
  <c r="U448" i="2" s="1"/>
  <c r="T449" i="2"/>
  <c r="U449" i="2" s="1"/>
  <c r="T450" i="2"/>
  <c r="U450" i="2" s="1"/>
  <c r="T451" i="2"/>
  <c r="U451" i="2" s="1"/>
  <c r="T452" i="2"/>
  <c r="U452" i="2" s="1"/>
  <c r="T453" i="2"/>
  <c r="U453" i="2" s="1"/>
  <c r="T454" i="2"/>
  <c r="U454" i="2" s="1"/>
  <c r="T455" i="2"/>
  <c r="U455" i="2" s="1"/>
  <c r="T456" i="2"/>
  <c r="U456" i="2" s="1"/>
  <c r="T457" i="2"/>
  <c r="U457" i="2" s="1"/>
  <c r="T458" i="2"/>
  <c r="U458" i="2" s="1"/>
  <c r="T459" i="2"/>
  <c r="U459" i="2" s="1"/>
  <c r="T460" i="2"/>
  <c r="U460" i="2" s="1"/>
  <c r="T461" i="2"/>
  <c r="U461" i="2" s="1"/>
  <c r="T462" i="2"/>
  <c r="U462" i="2" s="1"/>
  <c r="T463" i="2"/>
  <c r="U463" i="2" s="1"/>
  <c r="T464" i="2"/>
  <c r="U464" i="2" s="1"/>
  <c r="T465" i="2"/>
  <c r="U465" i="2" s="1"/>
  <c r="T466" i="2"/>
  <c r="U466" i="2" s="1"/>
  <c r="T467" i="2"/>
  <c r="U467" i="2" s="1"/>
  <c r="T468" i="2"/>
  <c r="U468" i="2" s="1"/>
  <c r="T469" i="2"/>
  <c r="U469" i="2" s="1"/>
  <c r="T470" i="2"/>
  <c r="U470" i="2" s="1"/>
  <c r="T471" i="2"/>
  <c r="U471" i="2" s="1"/>
  <c r="T472" i="2"/>
  <c r="U472" i="2" s="1"/>
  <c r="T473" i="2"/>
  <c r="U473" i="2" s="1"/>
  <c r="T474" i="2"/>
  <c r="U474" i="2" s="1"/>
  <c r="T475" i="2"/>
  <c r="U475" i="2" s="1"/>
  <c r="T476" i="2"/>
  <c r="U476" i="2" s="1"/>
  <c r="T477" i="2"/>
  <c r="U477" i="2" s="1"/>
  <c r="T478" i="2"/>
  <c r="U478" i="2" s="1"/>
  <c r="T479" i="2"/>
  <c r="U479" i="2" s="1"/>
  <c r="T480" i="2"/>
  <c r="U480" i="2" s="1"/>
  <c r="T481" i="2"/>
  <c r="U481" i="2" s="1"/>
  <c r="T482" i="2"/>
  <c r="U482" i="2" s="1"/>
  <c r="T483" i="2"/>
  <c r="U483" i="2" s="1"/>
  <c r="T484" i="2"/>
  <c r="U484" i="2" s="1"/>
  <c r="T485" i="2"/>
  <c r="U485" i="2" s="1"/>
  <c r="T486" i="2"/>
  <c r="U486" i="2" s="1"/>
  <c r="T487" i="2"/>
  <c r="U487" i="2" s="1"/>
  <c r="T488" i="2"/>
  <c r="U488" i="2" s="1"/>
  <c r="T489" i="2"/>
  <c r="U489" i="2" s="1"/>
  <c r="T490" i="2"/>
  <c r="U490" i="2" s="1"/>
  <c r="T491" i="2"/>
  <c r="U491" i="2" s="1"/>
  <c r="T492" i="2"/>
  <c r="U492" i="2" s="1"/>
  <c r="T493" i="2"/>
  <c r="U493" i="2" s="1"/>
  <c r="T494" i="2"/>
  <c r="U494" i="2" s="1"/>
  <c r="T495" i="2"/>
  <c r="U495" i="2" s="1"/>
  <c r="T496" i="2"/>
  <c r="U496" i="2" s="1"/>
  <c r="T497" i="2"/>
  <c r="U497" i="2" s="1"/>
  <c r="T498" i="2"/>
  <c r="U498" i="2" s="1"/>
  <c r="T499" i="2"/>
  <c r="U499" i="2" s="1"/>
  <c r="T500" i="2"/>
  <c r="U500" i="2" s="1"/>
  <c r="S14" i="2"/>
  <c r="T14" i="2" s="1"/>
  <c r="U14" i="2" s="1"/>
  <c r="S15" i="2"/>
  <c r="T15" i="2" s="1"/>
  <c r="U15" i="2" s="1"/>
  <c r="S16" i="2"/>
  <c r="T16" i="2" s="1"/>
  <c r="U16" i="2" s="1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44" i="2"/>
  <c r="S45" i="2"/>
  <c r="S46" i="2"/>
  <c r="S47" i="2"/>
  <c r="S48" i="2"/>
  <c r="S49" i="2"/>
  <c r="S50" i="2"/>
  <c r="S51" i="2"/>
  <c r="S52" i="2"/>
  <c r="S53" i="2"/>
  <c r="S54" i="2"/>
  <c r="S55" i="2"/>
  <c r="S56" i="2"/>
  <c r="S57" i="2"/>
  <c r="S58" i="2"/>
  <c r="S59" i="2"/>
  <c r="S60" i="2"/>
  <c r="S61" i="2"/>
  <c r="S62" i="2"/>
  <c r="S63" i="2"/>
  <c r="S64" i="2"/>
  <c r="S65" i="2"/>
  <c r="S66" i="2"/>
  <c r="S67" i="2"/>
  <c r="S68" i="2"/>
  <c r="S69" i="2"/>
  <c r="S70" i="2"/>
  <c r="S71" i="2"/>
  <c r="S72" i="2"/>
  <c r="S73" i="2"/>
  <c r="S74" i="2"/>
  <c r="S75" i="2"/>
  <c r="S76" i="2"/>
  <c r="S77" i="2"/>
  <c r="S78" i="2"/>
  <c r="S79" i="2"/>
  <c r="S80" i="2"/>
  <c r="S81" i="2"/>
  <c r="S82" i="2"/>
  <c r="S83" i="2"/>
  <c r="S84" i="2"/>
  <c r="S85" i="2"/>
  <c r="S86" i="2"/>
  <c r="S87" i="2"/>
  <c r="S88" i="2"/>
  <c r="S89" i="2"/>
  <c r="S90" i="2"/>
  <c r="S91" i="2"/>
  <c r="S92" i="2"/>
  <c r="S93" i="2"/>
  <c r="S94" i="2"/>
  <c r="S95" i="2"/>
  <c r="S96" i="2"/>
  <c r="S97" i="2"/>
  <c r="S98" i="2"/>
  <c r="S99" i="2"/>
  <c r="S100" i="2"/>
  <c r="S101" i="2"/>
  <c r="S102" i="2"/>
  <c r="S103" i="2"/>
  <c r="S104" i="2"/>
  <c r="S105" i="2"/>
  <c r="S106" i="2"/>
  <c r="S107" i="2"/>
  <c r="S108" i="2"/>
  <c r="S109" i="2"/>
  <c r="S110" i="2"/>
  <c r="S111" i="2"/>
  <c r="S112" i="2"/>
  <c r="S113" i="2"/>
  <c r="S114" i="2"/>
  <c r="S115" i="2"/>
  <c r="S116" i="2"/>
  <c r="S117" i="2"/>
  <c r="S118" i="2"/>
  <c r="S119" i="2"/>
  <c r="S120" i="2"/>
  <c r="S121" i="2"/>
  <c r="S122" i="2"/>
  <c r="S123" i="2"/>
  <c r="S124" i="2"/>
  <c r="S125" i="2"/>
  <c r="S126" i="2"/>
  <c r="S127" i="2"/>
  <c r="S128" i="2"/>
  <c r="S129" i="2"/>
  <c r="S130" i="2"/>
  <c r="S131" i="2"/>
  <c r="S132" i="2"/>
  <c r="S133" i="2"/>
  <c r="S134" i="2"/>
  <c r="S135" i="2"/>
  <c r="S136" i="2"/>
  <c r="S137" i="2"/>
  <c r="S138" i="2"/>
  <c r="S139" i="2"/>
  <c r="S140" i="2"/>
  <c r="S141" i="2"/>
  <c r="S142" i="2"/>
  <c r="S143" i="2"/>
  <c r="S144" i="2"/>
  <c r="S145" i="2"/>
  <c r="S146" i="2"/>
  <c r="S147" i="2"/>
  <c r="S148" i="2"/>
  <c r="S149" i="2"/>
  <c r="S150" i="2"/>
  <c r="S151" i="2"/>
  <c r="S152" i="2"/>
  <c r="S153" i="2"/>
  <c r="S154" i="2"/>
  <c r="S155" i="2"/>
  <c r="S156" i="2"/>
  <c r="S157" i="2"/>
  <c r="S158" i="2"/>
  <c r="S159" i="2"/>
  <c r="S160" i="2"/>
  <c r="S161" i="2"/>
  <c r="S162" i="2"/>
  <c r="S163" i="2"/>
  <c r="S164" i="2"/>
  <c r="S165" i="2"/>
  <c r="S166" i="2"/>
  <c r="S167" i="2"/>
  <c r="S168" i="2"/>
  <c r="S169" i="2"/>
  <c r="S170" i="2"/>
  <c r="S171" i="2"/>
  <c r="S172" i="2"/>
  <c r="S173" i="2"/>
  <c r="S174" i="2"/>
  <c r="S175" i="2"/>
  <c r="S176" i="2"/>
  <c r="S177" i="2"/>
  <c r="S178" i="2"/>
  <c r="S179" i="2"/>
  <c r="S180" i="2"/>
  <c r="S181" i="2"/>
  <c r="S182" i="2"/>
  <c r="S183" i="2"/>
  <c r="S184" i="2"/>
  <c r="S185" i="2"/>
  <c r="S186" i="2"/>
  <c r="S187" i="2"/>
  <c r="S188" i="2"/>
  <c r="S189" i="2"/>
  <c r="S190" i="2"/>
  <c r="S191" i="2"/>
  <c r="S192" i="2"/>
  <c r="S193" i="2"/>
  <c r="S194" i="2"/>
  <c r="S195" i="2"/>
  <c r="S196" i="2"/>
  <c r="S197" i="2"/>
  <c r="S198" i="2"/>
  <c r="S199" i="2"/>
  <c r="S200" i="2"/>
  <c r="S201" i="2"/>
  <c r="S202" i="2"/>
  <c r="S203" i="2"/>
  <c r="S204" i="2"/>
  <c r="S205" i="2"/>
  <c r="S206" i="2"/>
  <c r="S207" i="2"/>
  <c r="S208" i="2"/>
  <c r="S209" i="2"/>
  <c r="S210" i="2"/>
  <c r="S211" i="2"/>
  <c r="S212" i="2"/>
  <c r="S213" i="2"/>
  <c r="S214" i="2"/>
  <c r="S215" i="2"/>
  <c r="S216" i="2"/>
  <c r="S217" i="2"/>
  <c r="S218" i="2"/>
  <c r="S219" i="2"/>
  <c r="S220" i="2"/>
  <c r="S221" i="2"/>
  <c r="S222" i="2"/>
  <c r="S223" i="2"/>
  <c r="S224" i="2"/>
  <c r="S225" i="2"/>
  <c r="S226" i="2"/>
  <c r="S227" i="2"/>
  <c r="S228" i="2"/>
  <c r="S229" i="2"/>
  <c r="S230" i="2"/>
  <c r="S231" i="2"/>
  <c r="S232" i="2"/>
  <c r="S233" i="2"/>
  <c r="S234" i="2"/>
  <c r="S235" i="2"/>
  <c r="S236" i="2"/>
  <c r="S237" i="2"/>
  <c r="S238" i="2"/>
  <c r="S239" i="2"/>
  <c r="S240" i="2"/>
  <c r="S241" i="2"/>
  <c r="S242" i="2"/>
  <c r="S243" i="2"/>
  <c r="S244" i="2"/>
  <c r="S245" i="2"/>
  <c r="S246" i="2"/>
  <c r="S247" i="2"/>
  <c r="S248" i="2"/>
  <c r="S249" i="2"/>
  <c r="S250" i="2"/>
  <c r="S251" i="2"/>
  <c r="S252" i="2"/>
  <c r="S253" i="2"/>
  <c r="S254" i="2"/>
  <c r="S255" i="2"/>
  <c r="S256" i="2"/>
  <c r="S257" i="2"/>
  <c r="S258" i="2"/>
  <c r="S259" i="2"/>
  <c r="S260" i="2"/>
  <c r="S261" i="2"/>
  <c r="S262" i="2"/>
  <c r="S263" i="2"/>
  <c r="S264" i="2"/>
  <c r="S265" i="2"/>
  <c r="S266" i="2"/>
  <c r="S267" i="2"/>
  <c r="S268" i="2"/>
  <c r="S269" i="2"/>
  <c r="S270" i="2"/>
  <c r="S271" i="2"/>
  <c r="S272" i="2"/>
  <c r="S273" i="2"/>
  <c r="S274" i="2"/>
  <c r="S275" i="2"/>
  <c r="S276" i="2"/>
  <c r="S277" i="2"/>
  <c r="S278" i="2"/>
  <c r="S279" i="2"/>
  <c r="S280" i="2"/>
  <c r="S281" i="2"/>
  <c r="S282" i="2"/>
  <c r="S283" i="2"/>
  <c r="S284" i="2"/>
  <c r="S285" i="2"/>
  <c r="S286" i="2"/>
  <c r="S287" i="2"/>
  <c r="S288" i="2"/>
  <c r="S289" i="2"/>
  <c r="S290" i="2"/>
  <c r="S291" i="2"/>
  <c r="S292" i="2"/>
  <c r="S293" i="2"/>
  <c r="S294" i="2"/>
  <c r="S295" i="2"/>
  <c r="S296" i="2"/>
  <c r="S297" i="2"/>
  <c r="S298" i="2"/>
  <c r="S299" i="2"/>
  <c r="S300" i="2"/>
  <c r="S301" i="2"/>
  <c r="S302" i="2"/>
  <c r="S303" i="2"/>
  <c r="S304" i="2"/>
  <c r="S305" i="2"/>
  <c r="S306" i="2"/>
  <c r="S307" i="2"/>
  <c r="S308" i="2"/>
  <c r="S309" i="2"/>
  <c r="S310" i="2"/>
  <c r="S311" i="2"/>
  <c r="S312" i="2"/>
  <c r="S313" i="2"/>
  <c r="S314" i="2"/>
  <c r="S315" i="2"/>
  <c r="S316" i="2"/>
  <c r="S317" i="2"/>
  <c r="S318" i="2"/>
  <c r="S319" i="2"/>
  <c r="S320" i="2"/>
  <c r="S321" i="2"/>
  <c r="S322" i="2"/>
  <c r="S323" i="2"/>
  <c r="S324" i="2"/>
  <c r="S325" i="2"/>
  <c r="S326" i="2"/>
  <c r="S327" i="2"/>
  <c r="S328" i="2"/>
  <c r="S329" i="2"/>
  <c r="S330" i="2"/>
  <c r="S331" i="2"/>
  <c r="S332" i="2"/>
  <c r="S333" i="2"/>
  <c r="S334" i="2"/>
  <c r="S335" i="2"/>
  <c r="S336" i="2"/>
  <c r="S337" i="2"/>
  <c r="S338" i="2"/>
  <c r="S339" i="2"/>
  <c r="S340" i="2"/>
  <c r="S341" i="2"/>
  <c r="S342" i="2"/>
  <c r="S343" i="2"/>
  <c r="S344" i="2"/>
  <c r="S345" i="2"/>
  <c r="S346" i="2"/>
  <c r="S347" i="2"/>
  <c r="S348" i="2"/>
  <c r="S349" i="2"/>
  <c r="S350" i="2"/>
  <c r="S351" i="2"/>
  <c r="S352" i="2"/>
  <c r="S353" i="2"/>
  <c r="S354" i="2"/>
  <c r="S355" i="2"/>
  <c r="S356" i="2"/>
  <c r="S357" i="2"/>
  <c r="S358" i="2"/>
  <c r="S359" i="2"/>
  <c r="S360" i="2"/>
  <c r="S361" i="2"/>
  <c r="S362" i="2"/>
  <c r="S363" i="2"/>
  <c r="S364" i="2"/>
  <c r="S365" i="2"/>
  <c r="S366" i="2"/>
  <c r="S367" i="2"/>
  <c r="S368" i="2"/>
  <c r="S369" i="2"/>
  <c r="S370" i="2"/>
  <c r="S371" i="2"/>
  <c r="S372" i="2"/>
  <c r="S373" i="2"/>
  <c r="S374" i="2"/>
  <c r="S375" i="2"/>
  <c r="S376" i="2"/>
  <c r="S377" i="2"/>
  <c r="S378" i="2"/>
  <c r="S379" i="2"/>
  <c r="S380" i="2"/>
  <c r="S381" i="2"/>
  <c r="S382" i="2"/>
  <c r="S383" i="2"/>
  <c r="S384" i="2"/>
  <c r="S385" i="2"/>
  <c r="S386" i="2"/>
  <c r="S387" i="2"/>
  <c r="S388" i="2"/>
  <c r="S389" i="2"/>
  <c r="S390" i="2"/>
  <c r="S391" i="2"/>
  <c r="S392" i="2"/>
  <c r="S393" i="2"/>
  <c r="S394" i="2"/>
  <c r="S395" i="2"/>
  <c r="S396" i="2"/>
  <c r="S397" i="2"/>
  <c r="S398" i="2"/>
  <c r="S399" i="2"/>
  <c r="S400" i="2"/>
  <c r="S401" i="2"/>
  <c r="S402" i="2"/>
  <c r="S403" i="2"/>
  <c r="S404" i="2"/>
  <c r="S405" i="2"/>
  <c r="S406" i="2"/>
  <c r="S407" i="2"/>
  <c r="S408" i="2"/>
  <c r="S409" i="2"/>
  <c r="S410" i="2"/>
  <c r="S411" i="2"/>
  <c r="S412" i="2"/>
  <c r="S413" i="2"/>
  <c r="S414" i="2"/>
  <c r="S415" i="2"/>
  <c r="S416" i="2"/>
  <c r="S417" i="2"/>
  <c r="S418" i="2"/>
  <c r="S419" i="2"/>
  <c r="S420" i="2"/>
  <c r="S421" i="2"/>
  <c r="S422" i="2"/>
  <c r="S423" i="2"/>
  <c r="S424" i="2"/>
  <c r="S425" i="2"/>
  <c r="S426" i="2"/>
  <c r="S427" i="2"/>
  <c r="S428" i="2"/>
  <c r="S429" i="2"/>
  <c r="S430" i="2"/>
  <c r="S431" i="2"/>
  <c r="S432" i="2"/>
  <c r="S433" i="2"/>
  <c r="S434" i="2"/>
  <c r="S435" i="2"/>
  <c r="S436" i="2"/>
  <c r="S437" i="2"/>
  <c r="S438" i="2"/>
  <c r="S439" i="2"/>
  <c r="S440" i="2"/>
  <c r="S441" i="2"/>
  <c r="S442" i="2"/>
  <c r="S443" i="2"/>
  <c r="S444" i="2"/>
  <c r="S445" i="2"/>
  <c r="S446" i="2"/>
  <c r="S447" i="2"/>
  <c r="S448" i="2"/>
  <c r="S449" i="2"/>
  <c r="S450" i="2"/>
  <c r="S451" i="2"/>
  <c r="S452" i="2"/>
  <c r="S453" i="2"/>
  <c r="S454" i="2"/>
  <c r="S455" i="2"/>
  <c r="S456" i="2"/>
  <c r="S457" i="2"/>
  <c r="S458" i="2"/>
  <c r="S459" i="2"/>
  <c r="S460" i="2"/>
  <c r="S461" i="2"/>
  <c r="S462" i="2"/>
  <c r="S463" i="2"/>
  <c r="S464" i="2"/>
  <c r="S465" i="2"/>
  <c r="S466" i="2"/>
  <c r="S467" i="2"/>
  <c r="S468" i="2"/>
  <c r="S469" i="2"/>
  <c r="S470" i="2"/>
  <c r="S471" i="2"/>
  <c r="S472" i="2"/>
  <c r="S473" i="2"/>
  <c r="S474" i="2"/>
  <c r="S475" i="2"/>
  <c r="S476" i="2"/>
  <c r="S477" i="2"/>
  <c r="S478" i="2"/>
  <c r="S479" i="2"/>
  <c r="S480" i="2"/>
  <c r="S481" i="2"/>
  <c r="S482" i="2"/>
  <c r="S483" i="2"/>
  <c r="S484" i="2"/>
  <c r="S485" i="2"/>
  <c r="S486" i="2"/>
  <c r="S487" i="2"/>
  <c r="S488" i="2"/>
  <c r="S489" i="2"/>
  <c r="S490" i="2"/>
  <c r="S491" i="2"/>
  <c r="S492" i="2"/>
  <c r="S493" i="2"/>
  <c r="S494" i="2"/>
  <c r="S495" i="2"/>
  <c r="S496" i="2"/>
  <c r="S497" i="2"/>
  <c r="S498" i="2"/>
  <c r="S499" i="2"/>
  <c r="S500" i="2"/>
  <c r="S13" i="2"/>
  <c r="T13" i="2" s="1"/>
  <c r="U13" i="2" s="1"/>
  <c r="H2" i="13"/>
  <c r="H3" i="13"/>
  <c r="H4" i="13"/>
  <c r="H5" i="13"/>
  <c r="G2" i="13"/>
  <c r="G3" i="13"/>
  <c r="G4" i="13"/>
  <c r="G5" i="13"/>
  <c r="F2" i="13"/>
  <c r="F3" i="13"/>
  <c r="F4" i="13"/>
  <c r="F5" i="13"/>
  <c r="L13" i="12"/>
  <c r="L14" i="12"/>
  <c r="L15" i="12"/>
  <c r="K13" i="12"/>
  <c r="K14" i="12"/>
  <c r="K15" i="12"/>
  <c r="J13" i="12"/>
  <c r="J14" i="12"/>
  <c r="J15" i="12"/>
  <c r="I13" i="12"/>
  <c r="I14" i="12"/>
  <c r="I15" i="12"/>
  <c r="G9" i="4"/>
  <c r="X25" i="4"/>
  <c r="X26" i="4"/>
  <c r="X27" i="4"/>
  <c r="X28" i="4"/>
  <c r="X24" i="4"/>
  <c r="L25" i="4"/>
  <c r="L26" i="4"/>
  <c r="L27" i="4"/>
  <c r="L28" i="4"/>
  <c r="L24" i="4"/>
  <c r="I25" i="4"/>
  <c r="J25" i="4" s="1"/>
  <c r="I26" i="4"/>
  <c r="J26" i="4" s="1"/>
  <c r="I27" i="4"/>
  <c r="J27" i="4" s="1"/>
  <c r="I28" i="4"/>
  <c r="J28" i="4" s="1"/>
  <c r="I24" i="4"/>
  <c r="J24" i="4" s="1"/>
  <c r="V38" i="4"/>
  <c r="V39" i="4"/>
  <c r="V40" i="4"/>
  <c r="V41" i="4"/>
  <c r="V42" i="4"/>
  <c r="V43" i="4"/>
  <c r="V44" i="4"/>
  <c r="V45" i="4"/>
  <c r="V46" i="4"/>
  <c r="V37" i="4"/>
  <c r="Z38" i="4"/>
  <c r="Z39" i="4"/>
  <c r="Z40" i="4"/>
  <c r="Z41" i="4"/>
  <c r="Z42" i="4"/>
  <c r="Z43" i="4"/>
  <c r="Z44" i="4"/>
  <c r="Z45" i="4"/>
  <c r="Z46" i="4"/>
  <c r="Z37" i="4"/>
  <c r="Y38" i="4"/>
  <c r="Y39" i="4"/>
  <c r="Y40" i="4"/>
  <c r="Y41" i="4"/>
  <c r="Y42" i="4"/>
  <c r="Y43" i="4"/>
  <c r="Y44" i="4"/>
  <c r="Y45" i="4"/>
  <c r="Y46" i="4"/>
  <c r="Y37" i="4"/>
  <c r="K38" i="4"/>
  <c r="AA38" i="4" s="1"/>
  <c r="AB38" i="4" s="1"/>
  <c r="K39" i="4"/>
  <c r="K40" i="4"/>
  <c r="AA40" i="4" s="1"/>
  <c r="AB40" i="4" s="1"/>
  <c r="K41" i="4"/>
  <c r="AA41" i="4" s="1"/>
  <c r="AB41" i="4" s="1"/>
  <c r="K42" i="4"/>
  <c r="AA42" i="4" s="1"/>
  <c r="AB42" i="4" s="1"/>
  <c r="K43" i="4"/>
  <c r="AA43" i="4" s="1"/>
  <c r="AB43" i="4" s="1"/>
  <c r="K44" i="4"/>
  <c r="AA44" i="4" s="1"/>
  <c r="AB44" i="4" s="1"/>
  <c r="K45" i="4"/>
  <c r="AA45" i="4" s="1"/>
  <c r="AB45" i="4" s="1"/>
  <c r="K46" i="4"/>
  <c r="AA46" i="4" s="1"/>
  <c r="AB46" i="4" s="1"/>
  <c r="K37" i="4"/>
  <c r="AA37" i="4" s="1"/>
  <c r="AB37" i="4" s="1"/>
  <c r="L38" i="4"/>
  <c r="L39" i="4"/>
  <c r="L40" i="4"/>
  <c r="L41" i="4"/>
  <c r="L42" i="4"/>
  <c r="L43" i="4"/>
  <c r="L44" i="4"/>
  <c r="L45" i="4"/>
  <c r="L46" i="4"/>
  <c r="L37" i="4"/>
  <c r="G38" i="4"/>
  <c r="AC38" i="4" s="1"/>
  <c r="G39" i="4"/>
  <c r="AC39" i="4" s="1"/>
  <c r="G40" i="4"/>
  <c r="AC40" i="4" s="1"/>
  <c r="G41" i="4"/>
  <c r="AC41" i="4" s="1"/>
  <c r="G42" i="4"/>
  <c r="AC42" i="4" s="1"/>
  <c r="G43" i="4"/>
  <c r="AC43" i="4" s="1"/>
  <c r="G44" i="4"/>
  <c r="AC44" i="4" s="1"/>
  <c r="G45" i="4"/>
  <c r="AC45" i="4" s="1"/>
  <c r="G46" i="4"/>
  <c r="AC46" i="4" s="1"/>
  <c r="G37" i="4"/>
  <c r="AC37" i="4" s="1"/>
  <c r="B47" i="42"/>
  <c r="AA20" i="42"/>
  <c r="AA19" i="42"/>
  <c r="AA18" i="42"/>
  <c r="AA17" i="42"/>
  <c r="AA16" i="42"/>
  <c r="AA15" i="42"/>
  <c r="AA14" i="42"/>
  <c r="AA13" i="42"/>
  <c r="AA12" i="42"/>
  <c r="AA11" i="42"/>
  <c r="AA10" i="42"/>
  <c r="AA9" i="42"/>
  <c r="V17" i="42"/>
  <c r="V18" i="42"/>
  <c r="V19" i="42"/>
  <c r="V20" i="42"/>
  <c r="V21" i="42"/>
  <c r="V22" i="42"/>
  <c r="V23" i="42"/>
  <c r="V24" i="42"/>
  <c r="V25" i="42"/>
  <c r="V26" i="42"/>
  <c r="V27" i="42"/>
  <c r="V28" i="42"/>
  <c r="V29" i="42"/>
  <c r="V30" i="42"/>
  <c r="V31" i="42"/>
  <c r="V32" i="42"/>
  <c r="V33" i="42"/>
  <c r="V34" i="42"/>
  <c r="V35" i="42"/>
  <c r="V36" i="42"/>
  <c r="V37" i="42"/>
  <c r="V38" i="42"/>
  <c r="V39" i="42"/>
  <c r="V40" i="42"/>
  <c r="V41" i="42"/>
  <c r="V42" i="42"/>
  <c r="V43" i="42"/>
  <c r="V44" i="42"/>
  <c r="V45" i="42"/>
  <c r="V46" i="42"/>
  <c r="V47" i="42"/>
  <c r="V48" i="42"/>
  <c r="V49" i="42"/>
  <c r="V50" i="42"/>
  <c r="V51" i="42"/>
  <c r="V52" i="42"/>
  <c r="V53" i="42"/>
  <c r="V54" i="42"/>
  <c r="V55" i="42"/>
  <c r="V56" i="42"/>
  <c r="V57" i="42"/>
  <c r="V58" i="42"/>
  <c r="V59" i="42"/>
  <c r="V60" i="42"/>
  <c r="V61" i="42"/>
  <c r="V62" i="42"/>
  <c r="V63" i="42"/>
  <c r="V64" i="42"/>
  <c r="V65" i="42"/>
  <c r="V66" i="42"/>
  <c r="V67" i="42"/>
  <c r="V68" i="42"/>
  <c r="V69" i="42"/>
  <c r="V70" i="42"/>
  <c r="V71" i="42"/>
  <c r="V72" i="42"/>
  <c r="V73" i="42"/>
  <c r="V74" i="42"/>
  <c r="V75" i="42"/>
  <c r="V76" i="42"/>
  <c r="V77" i="42"/>
  <c r="V78" i="42"/>
  <c r="V79" i="42"/>
  <c r="V80" i="42"/>
  <c r="V81" i="42"/>
  <c r="V82" i="42"/>
  <c r="V83" i="42"/>
  <c r="V84" i="42"/>
  <c r="V85" i="42"/>
  <c r="V86" i="42"/>
  <c r="V87" i="42"/>
  <c r="V88" i="42"/>
  <c r="V89" i="42"/>
  <c r="V90" i="42"/>
  <c r="V91" i="42"/>
  <c r="V92" i="42"/>
  <c r="V93" i="42"/>
  <c r="V94" i="42"/>
  <c r="V95" i="42"/>
  <c r="V96" i="42"/>
  <c r="V97" i="42"/>
  <c r="V98" i="42"/>
  <c r="V99" i="42"/>
  <c r="V100" i="42"/>
  <c r="V101" i="42"/>
  <c r="V102" i="42"/>
  <c r="V103" i="42"/>
  <c r="V104" i="42"/>
  <c r="V105" i="42"/>
  <c r="V106" i="42"/>
  <c r="V107" i="42"/>
  <c r="V108" i="42"/>
  <c r="V109" i="42"/>
  <c r="V110" i="42"/>
  <c r="V111" i="42"/>
  <c r="V112" i="42"/>
  <c r="V113" i="42"/>
  <c r="V114" i="42"/>
  <c r="V115" i="42"/>
  <c r="V116" i="42"/>
  <c r="V117" i="42"/>
  <c r="V118" i="42"/>
  <c r="V119" i="42"/>
  <c r="V120" i="42"/>
  <c r="V121" i="42"/>
  <c r="V122" i="42"/>
  <c r="V123" i="42"/>
  <c r="V124" i="42"/>
  <c r="V125" i="42"/>
  <c r="V126" i="42"/>
  <c r="V127" i="42"/>
  <c r="V128" i="42"/>
  <c r="V129" i="42"/>
  <c r="V130" i="42"/>
  <c r="V131" i="42"/>
  <c r="V132" i="42"/>
  <c r="V133" i="42"/>
  <c r="V134" i="42"/>
  <c r="V135" i="42"/>
  <c r="V136" i="42"/>
  <c r="V137" i="42"/>
  <c r="V138" i="42"/>
  <c r="V139" i="42"/>
  <c r="V140" i="42"/>
  <c r="V141" i="42"/>
  <c r="V142" i="42"/>
  <c r="V143" i="42"/>
  <c r="V144" i="42"/>
  <c r="V145" i="42"/>
  <c r="V146" i="42"/>
  <c r="V147" i="42"/>
  <c r="V148" i="42"/>
  <c r="V149" i="42"/>
  <c r="V150" i="42"/>
  <c r="V151" i="42"/>
  <c r="V152" i="42"/>
  <c r="V153" i="42"/>
  <c r="V154" i="42"/>
  <c r="V155" i="42"/>
  <c r="V156" i="42"/>
  <c r="V157" i="42"/>
  <c r="V158" i="42"/>
  <c r="V159" i="42"/>
  <c r="V160" i="42"/>
  <c r="V161" i="42"/>
  <c r="V162" i="42"/>
  <c r="V163" i="42"/>
  <c r="V164" i="42"/>
  <c r="V165" i="42"/>
  <c r="V166" i="42"/>
  <c r="V167" i="42"/>
  <c r="V168" i="42"/>
  <c r="V169" i="42"/>
  <c r="V170" i="42"/>
  <c r="V171" i="42"/>
  <c r="V172" i="42"/>
  <c r="V173" i="42"/>
  <c r="V174" i="42"/>
  <c r="V175" i="42"/>
  <c r="V176" i="42"/>
  <c r="V177" i="42"/>
  <c r="V178" i="42"/>
  <c r="V179" i="42"/>
  <c r="V180" i="42"/>
  <c r="V181" i="42"/>
  <c r="V182" i="42"/>
  <c r="V183" i="42"/>
  <c r="V184" i="42"/>
  <c r="V185" i="42"/>
  <c r="V186" i="42"/>
  <c r="V187" i="42"/>
  <c r="V188" i="42"/>
  <c r="V189" i="42"/>
  <c r="V190" i="42"/>
  <c r="V191" i="42"/>
  <c r="V192" i="42"/>
  <c r="V193" i="42"/>
  <c r="V194" i="42"/>
  <c r="V195" i="42"/>
  <c r="V196" i="42"/>
  <c r="V197" i="42"/>
  <c r="V198" i="42"/>
  <c r="V199" i="42"/>
  <c r="V200" i="42"/>
  <c r="V201" i="42"/>
  <c r="V202" i="42"/>
  <c r="V203" i="42"/>
  <c r="V204" i="42"/>
  <c r="V205" i="42"/>
  <c r="V206" i="42"/>
  <c r="V207" i="42"/>
  <c r="V208" i="42"/>
  <c r="V209" i="42"/>
  <c r="V210" i="42"/>
  <c r="V211" i="42"/>
  <c r="V212" i="42"/>
  <c r="V213" i="42"/>
  <c r="V214" i="42"/>
  <c r="V215" i="42"/>
  <c r="V216" i="42"/>
  <c r="V217" i="42"/>
  <c r="V218" i="42"/>
  <c r="V219" i="42"/>
  <c r="V220" i="42"/>
  <c r="V221" i="42"/>
  <c r="V222" i="42"/>
  <c r="V223" i="42"/>
  <c r="V224" i="42"/>
  <c r="V225" i="42"/>
  <c r="V226" i="42"/>
  <c r="V227" i="42"/>
  <c r="V228" i="42"/>
  <c r="V229" i="42"/>
  <c r="V230" i="42"/>
  <c r="V231" i="42"/>
  <c r="V232" i="42"/>
  <c r="V233" i="42"/>
  <c r="V234" i="42"/>
  <c r="V235" i="42"/>
  <c r="V236" i="42"/>
  <c r="V237" i="42"/>
  <c r="V238" i="42"/>
  <c r="V239" i="42"/>
  <c r="V240" i="42"/>
  <c r="V241" i="42"/>
  <c r="V242" i="42"/>
  <c r="V243" i="42"/>
  <c r="V244" i="42"/>
  <c r="V245" i="42"/>
  <c r="V246" i="42"/>
  <c r="V247" i="42"/>
  <c r="V248" i="42"/>
  <c r="V249" i="42"/>
  <c r="V250" i="42"/>
  <c r="V251" i="42"/>
  <c r="V252" i="42"/>
  <c r="V253" i="42"/>
  <c r="V254" i="42"/>
  <c r="V255" i="42"/>
  <c r="V256" i="42"/>
  <c r="V257" i="42"/>
  <c r="V258" i="42"/>
  <c r="V259" i="42"/>
  <c r="V260" i="42"/>
  <c r="V261" i="42"/>
  <c r="V262" i="42"/>
  <c r="V263" i="42"/>
  <c r="V264" i="42"/>
  <c r="V265" i="42"/>
  <c r="V266" i="42"/>
  <c r="V267" i="42"/>
  <c r="V268" i="42"/>
  <c r="V269" i="42"/>
  <c r="V270" i="42"/>
  <c r="V271" i="42"/>
  <c r="V272" i="42"/>
  <c r="V273" i="42"/>
  <c r="V274" i="42"/>
  <c r="V275" i="42"/>
  <c r="V276" i="42"/>
  <c r="V277" i="42"/>
  <c r="V278" i="42"/>
  <c r="V279" i="42"/>
  <c r="V280" i="42"/>
  <c r="V281" i="42"/>
  <c r="V282" i="42"/>
  <c r="V283" i="42"/>
  <c r="V284" i="42"/>
  <c r="V285" i="42"/>
  <c r="V286" i="42"/>
  <c r="V287" i="42"/>
  <c r="V288" i="42"/>
  <c r="V289" i="42"/>
  <c r="V290" i="42"/>
  <c r="V291" i="42"/>
  <c r="V292" i="42"/>
  <c r="V293" i="42"/>
  <c r="V294" i="42"/>
  <c r="V295" i="42"/>
  <c r="V296" i="42"/>
  <c r="V297" i="42"/>
  <c r="V298" i="42"/>
  <c r="V299" i="42"/>
  <c r="V300" i="42"/>
  <c r="V301" i="42"/>
  <c r="V302" i="42"/>
  <c r="V303" i="42"/>
  <c r="V304" i="42"/>
  <c r="V305" i="42"/>
  <c r="V306" i="42"/>
  <c r="V307" i="42"/>
  <c r="V308" i="42"/>
  <c r="V309" i="42"/>
  <c r="V310" i="42"/>
  <c r="V311" i="42"/>
  <c r="V312" i="42"/>
  <c r="V313" i="42"/>
  <c r="V314" i="42"/>
  <c r="V315" i="42"/>
  <c r="V316" i="42"/>
  <c r="V317" i="42"/>
  <c r="V318" i="42"/>
  <c r="V319" i="42"/>
  <c r="V320" i="42"/>
  <c r="V321" i="42"/>
  <c r="V322" i="42"/>
  <c r="V323" i="42"/>
  <c r="V324" i="42"/>
  <c r="V325" i="42"/>
  <c r="V326" i="42"/>
  <c r="V327" i="42"/>
  <c r="V328" i="42"/>
  <c r="V329" i="42"/>
  <c r="V330" i="42"/>
  <c r="V331" i="42"/>
  <c r="V332" i="42"/>
  <c r="V333" i="42"/>
  <c r="V334" i="42"/>
  <c r="V335" i="42"/>
  <c r="V336" i="42"/>
  <c r="V337" i="42"/>
  <c r="V338" i="42"/>
  <c r="V339" i="42"/>
  <c r="V340" i="42"/>
  <c r="V341" i="42"/>
  <c r="V342" i="42"/>
  <c r="V343" i="42"/>
  <c r="V344" i="42"/>
  <c r="V345" i="42"/>
  <c r="V346" i="42"/>
  <c r="V347" i="42"/>
  <c r="V348" i="42"/>
  <c r="V349" i="42"/>
  <c r="V350" i="42"/>
  <c r="V351" i="42"/>
  <c r="V352" i="42"/>
  <c r="V353" i="42"/>
  <c r="V354" i="42"/>
  <c r="V355" i="42"/>
  <c r="V356" i="42"/>
  <c r="V357" i="42"/>
  <c r="V358" i="42"/>
  <c r="V359" i="42"/>
  <c r="V360" i="42"/>
  <c r="V361" i="42"/>
  <c r="V362" i="42"/>
  <c r="V363" i="42"/>
  <c r="V364" i="42"/>
  <c r="V365" i="42"/>
  <c r="V366" i="42"/>
  <c r="V367" i="42"/>
  <c r="V368" i="42"/>
  <c r="V369" i="42"/>
  <c r="V370" i="42"/>
  <c r="V371" i="42"/>
  <c r="V372" i="42"/>
  <c r="V373" i="42"/>
  <c r="V374" i="42"/>
  <c r="V375" i="42"/>
  <c r="V376" i="42"/>
  <c r="V377" i="42"/>
  <c r="V378" i="42"/>
  <c r="V379" i="42"/>
  <c r="V380" i="42"/>
  <c r="V381" i="42"/>
  <c r="V382" i="42"/>
  <c r="V383" i="42"/>
  <c r="V384" i="42"/>
  <c r="V385" i="42"/>
  <c r="V386" i="42"/>
  <c r="V387" i="42"/>
  <c r="V388" i="42"/>
  <c r="V389" i="42"/>
  <c r="V390" i="42"/>
  <c r="V391" i="42"/>
  <c r="V392" i="42"/>
  <c r="V393" i="42"/>
  <c r="V394" i="42"/>
  <c r="V395" i="42"/>
  <c r="V396" i="42"/>
  <c r="V397" i="42"/>
  <c r="V398" i="42"/>
  <c r="V399" i="42"/>
  <c r="V400" i="42"/>
  <c r="V401" i="42"/>
  <c r="V402" i="42"/>
  <c r="V403" i="42"/>
  <c r="V404" i="42"/>
  <c r="V405" i="42"/>
  <c r="V406" i="42"/>
  <c r="V407" i="42"/>
  <c r="V408" i="42"/>
  <c r="V409" i="42"/>
  <c r="V410" i="42"/>
  <c r="V411" i="42"/>
  <c r="V412" i="42"/>
  <c r="V413" i="42"/>
  <c r="V414" i="42"/>
  <c r="V415" i="42"/>
  <c r="V416" i="42"/>
  <c r="V417" i="42"/>
  <c r="V418" i="42"/>
  <c r="V419" i="42"/>
  <c r="V420" i="42"/>
  <c r="V421" i="42"/>
  <c r="V422" i="42"/>
  <c r="V423" i="42"/>
  <c r="V424" i="42"/>
  <c r="V425" i="42"/>
  <c r="V426" i="42"/>
  <c r="V427" i="42"/>
  <c r="V428" i="42"/>
  <c r="V429" i="42"/>
  <c r="V430" i="42"/>
  <c r="V431" i="42"/>
  <c r="V432" i="42"/>
  <c r="V433" i="42"/>
  <c r="V434" i="42"/>
  <c r="V435" i="42"/>
  <c r="V436" i="42"/>
  <c r="V437" i="42"/>
  <c r="V438" i="42"/>
  <c r="V439" i="42"/>
  <c r="V440" i="42"/>
  <c r="V441" i="42"/>
  <c r="V442" i="42"/>
  <c r="V443" i="42"/>
  <c r="V444" i="42"/>
  <c r="V445" i="42"/>
  <c r="V446" i="42"/>
  <c r="V447" i="42"/>
  <c r="V448" i="42"/>
  <c r="V449" i="42"/>
  <c r="V450" i="42"/>
  <c r="V451" i="42"/>
  <c r="V452" i="42"/>
  <c r="V453" i="42"/>
  <c r="V454" i="42"/>
  <c r="V455" i="42"/>
  <c r="V456" i="42"/>
  <c r="V457" i="42"/>
  <c r="V458" i="42"/>
  <c r="V459" i="42"/>
  <c r="V460" i="42"/>
  <c r="V461" i="42"/>
  <c r="V462" i="42"/>
  <c r="V463" i="42"/>
  <c r="V464" i="42"/>
  <c r="V465" i="42"/>
  <c r="V466" i="42"/>
  <c r="V467" i="42"/>
  <c r="V468" i="42"/>
  <c r="V469" i="42"/>
  <c r="V470" i="42"/>
  <c r="V471" i="42"/>
  <c r="V472" i="42"/>
  <c r="V473" i="42"/>
  <c r="V474" i="42"/>
  <c r="V475" i="42"/>
  <c r="V476" i="42"/>
  <c r="V477" i="42"/>
  <c r="V478" i="42"/>
  <c r="V479" i="42"/>
  <c r="V480" i="42"/>
  <c r="V481" i="42"/>
  <c r="V482" i="42"/>
  <c r="V483" i="42"/>
  <c r="V484" i="42"/>
  <c r="V485" i="42"/>
  <c r="V486" i="42"/>
  <c r="V487" i="42"/>
  <c r="V488" i="42"/>
  <c r="V489" i="42"/>
  <c r="V490" i="42"/>
  <c r="V491" i="42"/>
  <c r="V492" i="42"/>
  <c r="V493" i="42"/>
  <c r="V494" i="42"/>
  <c r="V495" i="42"/>
  <c r="V496" i="42"/>
  <c r="V497" i="42"/>
  <c r="V498" i="42"/>
  <c r="V499" i="42"/>
  <c r="V500" i="42"/>
  <c r="V501" i="42"/>
  <c r="V502" i="42"/>
  <c r="V503" i="42"/>
  <c r="V504" i="42"/>
  <c r="V505" i="42"/>
  <c r="V506" i="42"/>
  <c r="V507" i="42"/>
  <c r="V508" i="42"/>
  <c r="V509" i="42"/>
  <c r="V510" i="42"/>
  <c r="V511" i="42"/>
  <c r="V512" i="42"/>
  <c r="V513" i="42"/>
  <c r="V514" i="42"/>
  <c r="AH514" i="42" s="1"/>
  <c r="V515" i="42"/>
  <c r="AH515" i="42" s="1"/>
  <c r="V516" i="42"/>
  <c r="Y516" i="42" s="1"/>
  <c r="V517" i="42"/>
  <c r="V518" i="42"/>
  <c r="AH518" i="42" s="1"/>
  <c r="V519" i="42"/>
  <c r="AH519" i="42" s="1"/>
  <c r="V520" i="42"/>
  <c r="AH520" i="42" s="1"/>
  <c r="V521" i="42"/>
  <c r="V522" i="42"/>
  <c r="AH522" i="42" s="1"/>
  <c r="V523" i="42"/>
  <c r="V524" i="42"/>
  <c r="AH524" i="42" s="1"/>
  <c r="V525" i="42"/>
  <c r="V526" i="42"/>
  <c r="AH526" i="42" s="1"/>
  <c r="V527" i="42"/>
  <c r="Y527" i="42" s="1"/>
  <c r="V528" i="42"/>
  <c r="AH528" i="42" s="1"/>
  <c r="V529" i="42"/>
  <c r="V530" i="42"/>
  <c r="AH530" i="42" s="1"/>
  <c r="V531" i="42"/>
  <c r="AH531" i="42" s="1"/>
  <c r="V532" i="42"/>
  <c r="AH532" i="42" s="1"/>
  <c r="V533" i="42"/>
  <c r="V534" i="42"/>
  <c r="V535" i="42"/>
  <c r="AH535" i="42" s="1"/>
  <c r="V536" i="42"/>
  <c r="AH536" i="42" s="1"/>
  <c r="V537" i="42"/>
  <c r="V538" i="42"/>
  <c r="V539" i="42"/>
  <c r="AH539" i="42" s="1"/>
  <c r="V540" i="42"/>
  <c r="AH540" i="42" s="1"/>
  <c r="V541" i="42"/>
  <c r="V542" i="42"/>
  <c r="AH542" i="42" s="1"/>
  <c r="V543" i="42"/>
  <c r="AH543" i="42" s="1"/>
  <c r="V544" i="42"/>
  <c r="V545" i="42"/>
  <c r="V546" i="42"/>
  <c r="AH546" i="42" s="1"/>
  <c r="V547" i="42"/>
  <c r="AH547" i="42" s="1"/>
  <c r="V548" i="42"/>
  <c r="Y548" i="42" s="1"/>
  <c r="V549" i="42"/>
  <c r="V550" i="42"/>
  <c r="AH550" i="42" s="1"/>
  <c r="V551" i="42"/>
  <c r="AH551" i="42" s="1"/>
  <c r="V552" i="42"/>
  <c r="AH552" i="42" s="1"/>
  <c r="V553" i="42"/>
  <c r="V554" i="42"/>
  <c r="AH554" i="42" s="1"/>
  <c r="V555" i="42"/>
  <c r="V556" i="42"/>
  <c r="AH556" i="42" s="1"/>
  <c r="V557" i="42"/>
  <c r="V558" i="42"/>
  <c r="AH558" i="42" s="1"/>
  <c r="V559" i="42"/>
  <c r="Y559" i="42" s="1"/>
  <c r="V560" i="42"/>
  <c r="AH560" i="42" s="1"/>
  <c r="V561" i="42"/>
  <c r="V562" i="42"/>
  <c r="AH562" i="42" s="1"/>
  <c r="V563" i="42"/>
  <c r="AH563" i="42" s="1"/>
  <c r="V564" i="42"/>
  <c r="AH564" i="42" s="1"/>
  <c r="V565" i="42"/>
  <c r="V566" i="42"/>
  <c r="V567" i="42"/>
  <c r="AH567" i="42" s="1"/>
  <c r="V568" i="42"/>
  <c r="AH568" i="42" s="1"/>
  <c r="V569" i="42"/>
  <c r="V570" i="42"/>
  <c r="V571" i="42"/>
  <c r="AH571" i="42" s="1"/>
  <c r="V572" i="42"/>
  <c r="AH572" i="42" s="1"/>
  <c r="V573" i="42"/>
  <c r="V574" i="42"/>
  <c r="AH574" i="42" s="1"/>
  <c r="V575" i="42"/>
  <c r="AH575" i="42" s="1"/>
  <c r="V576" i="42"/>
  <c r="V577" i="42"/>
  <c r="V578" i="42"/>
  <c r="AH578" i="42" s="1"/>
  <c r="V579" i="42"/>
  <c r="AH579" i="42" s="1"/>
  <c r="V580" i="42"/>
  <c r="Y580" i="42" s="1"/>
  <c r="V581" i="42"/>
  <c r="V582" i="42"/>
  <c r="AH582" i="42" s="1"/>
  <c r="V583" i="42"/>
  <c r="AH583" i="42" s="1"/>
  <c r="V584" i="42"/>
  <c r="AH584" i="42" s="1"/>
  <c r="V585" i="42"/>
  <c r="V586" i="42"/>
  <c r="AH586" i="42" s="1"/>
  <c r="V587" i="42"/>
  <c r="V588" i="42"/>
  <c r="AH588" i="42" s="1"/>
  <c r="V589" i="42"/>
  <c r="V590" i="42"/>
  <c r="AH590" i="42" s="1"/>
  <c r="V591" i="42"/>
  <c r="Y591" i="42" s="1"/>
  <c r="V592" i="42"/>
  <c r="AH592" i="42" s="1"/>
  <c r="V593" i="42"/>
  <c r="V594" i="42"/>
  <c r="AH594" i="42" s="1"/>
  <c r="V595" i="42"/>
  <c r="AH595" i="42" s="1"/>
  <c r="V596" i="42"/>
  <c r="AH596" i="42" s="1"/>
  <c r="V597" i="42"/>
  <c r="V598" i="42"/>
  <c r="V599" i="42"/>
  <c r="AH599" i="42" s="1"/>
  <c r="V600" i="42"/>
  <c r="AH600" i="42" s="1"/>
  <c r="V601" i="42"/>
  <c r="V602" i="42"/>
  <c r="V603" i="42"/>
  <c r="AH603" i="42" s="1"/>
  <c r="V604" i="42"/>
  <c r="AH604" i="42" s="1"/>
  <c r="V605" i="42"/>
  <c r="V606" i="42"/>
  <c r="AH606" i="42" s="1"/>
  <c r="V607" i="42"/>
  <c r="AH607" i="42" s="1"/>
  <c r="V608" i="42"/>
  <c r="V609" i="42"/>
  <c r="V610" i="42"/>
  <c r="AH610" i="42" s="1"/>
  <c r="V611" i="42"/>
  <c r="AH611" i="42" s="1"/>
  <c r="V612" i="42"/>
  <c r="V613" i="42"/>
  <c r="V614" i="42"/>
  <c r="AH614" i="42" s="1"/>
  <c r="V615" i="42"/>
  <c r="AH615" i="42" s="1"/>
  <c r="V616" i="42"/>
  <c r="AH616" i="42" s="1"/>
  <c r="V617" i="42"/>
  <c r="V618" i="42"/>
  <c r="AH618" i="42" s="1"/>
  <c r="V619" i="42"/>
  <c r="V620" i="42"/>
  <c r="AH620" i="42" s="1"/>
  <c r="V621" i="42"/>
  <c r="V622" i="42"/>
  <c r="AH622" i="42" s="1"/>
  <c r="V623" i="42"/>
  <c r="V624" i="42"/>
  <c r="AH624" i="42" s="1"/>
  <c r="V625" i="42"/>
  <c r="V626" i="42"/>
  <c r="AH626" i="42" s="1"/>
  <c r="V627" i="42"/>
  <c r="AH627" i="42" s="1"/>
  <c r="V628" i="42"/>
  <c r="AH628" i="42" s="1"/>
  <c r="V629" i="42"/>
  <c r="V630" i="42"/>
  <c r="V631" i="42"/>
  <c r="AH631" i="42" s="1"/>
  <c r="V632" i="42"/>
  <c r="AH632" i="42" s="1"/>
  <c r="V633" i="42"/>
  <c r="V634" i="42"/>
  <c r="V635" i="42"/>
  <c r="AH635" i="42" s="1"/>
  <c r="V636" i="42"/>
  <c r="AH636" i="42" s="1"/>
  <c r="V637" i="42"/>
  <c r="V638" i="42"/>
  <c r="AH638" i="42" s="1"/>
  <c r="V639" i="42"/>
  <c r="AH639" i="42" s="1"/>
  <c r="V640" i="42"/>
  <c r="V641" i="42"/>
  <c r="V642" i="42"/>
  <c r="AH642" i="42" s="1"/>
  <c r="V643" i="42"/>
  <c r="AH643" i="42" s="1"/>
  <c r="V644" i="42"/>
  <c r="V645" i="42"/>
  <c r="V646" i="42"/>
  <c r="AH646" i="42" s="1"/>
  <c r="V647" i="42"/>
  <c r="AH647" i="42" s="1"/>
  <c r="V648" i="42"/>
  <c r="AH648" i="42" s="1"/>
  <c r="V649" i="42"/>
  <c r="V650" i="42"/>
  <c r="AH650" i="42" s="1"/>
  <c r="V651" i="42"/>
  <c r="V652" i="42"/>
  <c r="AH652" i="42" s="1"/>
  <c r="V653" i="42"/>
  <c r="V654" i="42"/>
  <c r="AH654" i="42" s="1"/>
  <c r="V655" i="42"/>
  <c r="V656" i="42"/>
  <c r="AH656" i="42" s="1"/>
  <c r="V657" i="42"/>
  <c r="V658" i="42"/>
  <c r="AH658" i="42" s="1"/>
  <c r="V659" i="42"/>
  <c r="AH659" i="42" s="1"/>
  <c r="V660" i="42"/>
  <c r="AH660" i="42" s="1"/>
  <c r="V661" i="42"/>
  <c r="V662" i="42"/>
  <c r="V663" i="42"/>
  <c r="AH663" i="42" s="1"/>
  <c r="V664" i="42"/>
  <c r="AH664" i="42" s="1"/>
  <c r="V665" i="42"/>
  <c r="V666" i="42"/>
  <c r="V667" i="42"/>
  <c r="AH667" i="42" s="1"/>
  <c r="V668" i="42"/>
  <c r="AH668" i="42" s="1"/>
  <c r="V669" i="42"/>
  <c r="V670" i="42"/>
  <c r="AH670" i="42" s="1"/>
  <c r="V671" i="42"/>
  <c r="AH671" i="42" s="1"/>
  <c r="V672" i="42"/>
  <c r="V673" i="42"/>
  <c r="V674" i="42"/>
  <c r="AH674" i="42" s="1"/>
  <c r="V675" i="42"/>
  <c r="AH675" i="42" s="1"/>
  <c r="V676" i="42"/>
  <c r="V677" i="42"/>
  <c r="V678" i="42"/>
  <c r="AH678" i="42" s="1"/>
  <c r="V679" i="42"/>
  <c r="AH679" i="42" s="1"/>
  <c r="V680" i="42"/>
  <c r="AH680" i="42" s="1"/>
  <c r="V681" i="42"/>
  <c r="V682" i="42"/>
  <c r="AH682" i="42" s="1"/>
  <c r="V683" i="42"/>
  <c r="V684" i="42"/>
  <c r="AH684" i="42" s="1"/>
  <c r="V685" i="42"/>
  <c r="V686" i="42"/>
  <c r="AH686" i="42" s="1"/>
  <c r="V687" i="42"/>
  <c r="V688" i="42"/>
  <c r="AH688" i="42" s="1"/>
  <c r="V689" i="42"/>
  <c r="AH689" i="42" s="1"/>
  <c r="V690" i="42"/>
  <c r="AH690" i="42" s="1"/>
  <c r="V691" i="42"/>
  <c r="AH691" i="42" s="1"/>
  <c r="V692" i="42"/>
  <c r="V693" i="42"/>
  <c r="V694" i="42"/>
  <c r="AH694" i="42" s="1"/>
  <c r="V695" i="42"/>
  <c r="AH695" i="42" s="1"/>
  <c r="V696" i="42"/>
  <c r="V697" i="42"/>
  <c r="AH697" i="42" s="1"/>
  <c r="V698" i="42"/>
  <c r="AH698" i="42" s="1"/>
  <c r="V699" i="42"/>
  <c r="AH699" i="42" s="1"/>
  <c r="V700" i="42"/>
  <c r="AH700" i="42" s="1"/>
  <c r="V701" i="42"/>
  <c r="V702" i="42"/>
  <c r="AH702" i="42" s="1"/>
  <c r="V703" i="42"/>
  <c r="AH703" i="42" s="1"/>
  <c r="V704" i="42"/>
  <c r="V705" i="42"/>
  <c r="AH705" i="42" s="1"/>
  <c r="V706" i="42"/>
  <c r="AH706" i="42" s="1"/>
  <c r="V707" i="42"/>
  <c r="AH707" i="42" s="1"/>
  <c r="V708" i="42"/>
  <c r="AH708" i="42" s="1"/>
  <c r="V709" i="42"/>
  <c r="V710" i="42"/>
  <c r="AH710" i="42" s="1"/>
  <c r="V711" i="42"/>
  <c r="AH711" i="42" s="1"/>
  <c r="V712" i="42"/>
  <c r="V713" i="42"/>
  <c r="AH713" i="42" s="1"/>
  <c r="V714" i="42"/>
  <c r="AH714" i="42" s="1"/>
  <c r="V715" i="42"/>
  <c r="AH715" i="42" s="1"/>
  <c r="V716" i="42"/>
  <c r="AH716" i="42" s="1"/>
  <c r="V717" i="42"/>
  <c r="V718" i="42"/>
  <c r="AH718" i="42" s="1"/>
  <c r="V719" i="42"/>
  <c r="AH719" i="42" s="1"/>
  <c r="V720" i="42"/>
  <c r="V721" i="42"/>
  <c r="AH721" i="42" s="1"/>
  <c r="V722" i="42"/>
  <c r="AH722" i="42" s="1"/>
  <c r="V723" i="42"/>
  <c r="AH723" i="42" s="1"/>
  <c r="V724" i="42"/>
  <c r="AH724" i="42" s="1"/>
  <c r="V725" i="42"/>
  <c r="V726" i="42"/>
  <c r="AH726" i="42" s="1"/>
  <c r="V727" i="42"/>
  <c r="AH727" i="42" s="1"/>
  <c r="V728" i="42"/>
  <c r="V729" i="42"/>
  <c r="AH729" i="42" s="1"/>
  <c r="V730" i="42"/>
  <c r="AH730" i="42" s="1"/>
  <c r="V731" i="42"/>
  <c r="AH731" i="42" s="1"/>
  <c r="V732" i="42"/>
  <c r="AH732" i="42" s="1"/>
  <c r="V733" i="42"/>
  <c r="V734" i="42"/>
  <c r="AH734" i="42" s="1"/>
  <c r="V735" i="42"/>
  <c r="AH735" i="42" s="1"/>
  <c r="V736" i="42"/>
  <c r="V737" i="42"/>
  <c r="AH737" i="42" s="1"/>
  <c r="V738" i="42"/>
  <c r="AH738" i="42" s="1"/>
  <c r="V739" i="42"/>
  <c r="AH739" i="42" s="1"/>
  <c r="V740" i="42"/>
  <c r="AH740" i="42" s="1"/>
  <c r="V741" i="42"/>
  <c r="V742" i="42"/>
  <c r="AH742" i="42" s="1"/>
  <c r="V743" i="42"/>
  <c r="AH743" i="42" s="1"/>
  <c r="V744" i="42"/>
  <c r="V745" i="42"/>
  <c r="AH745" i="42" s="1"/>
  <c r="V746" i="42"/>
  <c r="AH746" i="42" s="1"/>
  <c r="V747" i="42"/>
  <c r="AH747" i="42" s="1"/>
  <c r="V748" i="42"/>
  <c r="AH748" i="42" s="1"/>
  <c r="V749" i="42"/>
  <c r="V750" i="42"/>
  <c r="AH750" i="42" s="1"/>
  <c r="V751" i="42"/>
  <c r="AH751" i="42" s="1"/>
  <c r="V752" i="42"/>
  <c r="V753" i="42"/>
  <c r="AH753" i="42" s="1"/>
  <c r="V754" i="42"/>
  <c r="AH754" i="42" s="1"/>
  <c r="V755" i="42"/>
  <c r="AH755" i="42" s="1"/>
  <c r="V756" i="42"/>
  <c r="AH756" i="42" s="1"/>
  <c r="V757" i="42"/>
  <c r="V758" i="42"/>
  <c r="AH758" i="42" s="1"/>
  <c r="V759" i="42"/>
  <c r="AH759" i="42" s="1"/>
  <c r="V760" i="42"/>
  <c r="V761" i="42"/>
  <c r="AH761" i="42" s="1"/>
  <c r="V762" i="42"/>
  <c r="AH762" i="42" s="1"/>
  <c r="V763" i="42"/>
  <c r="AH763" i="42" s="1"/>
  <c r="V764" i="42"/>
  <c r="AH764" i="42" s="1"/>
  <c r="V765" i="42"/>
  <c r="V766" i="42"/>
  <c r="AH766" i="42" s="1"/>
  <c r="V767" i="42"/>
  <c r="AH767" i="42" s="1"/>
  <c r="V768" i="42"/>
  <c r="V769" i="42"/>
  <c r="AH769" i="42" s="1"/>
  <c r="V770" i="42"/>
  <c r="AH770" i="42" s="1"/>
  <c r="V771" i="42"/>
  <c r="AH771" i="42" s="1"/>
  <c r="V772" i="42"/>
  <c r="AH772" i="42" s="1"/>
  <c r="V773" i="42"/>
  <c r="V774" i="42"/>
  <c r="AH774" i="42" s="1"/>
  <c r="V775" i="42"/>
  <c r="AH775" i="42" s="1"/>
  <c r="V776" i="42"/>
  <c r="V777" i="42"/>
  <c r="AH777" i="42" s="1"/>
  <c r="V778" i="42"/>
  <c r="AH778" i="42" s="1"/>
  <c r="V779" i="42"/>
  <c r="AH779" i="42" s="1"/>
  <c r="V780" i="42"/>
  <c r="AH780" i="42" s="1"/>
  <c r="V781" i="42"/>
  <c r="V782" i="42"/>
  <c r="AH782" i="42" s="1"/>
  <c r="V783" i="42"/>
  <c r="AH783" i="42" s="1"/>
  <c r="V784" i="42"/>
  <c r="AH784" i="42" s="1"/>
  <c r="V785" i="42"/>
  <c r="AH785" i="42" s="1"/>
  <c r="V786" i="42"/>
  <c r="AH786" i="42" s="1"/>
  <c r="V787" i="42"/>
  <c r="AH787" i="42" s="1"/>
  <c r="V788" i="42"/>
  <c r="AH788" i="42" s="1"/>
  <c r="V789" i="42"/>
  <c r="V790" i="42"/>
  <c r="AH790" i="42" s="1"/>
  <c r="V791" i="42"/>
  <c r="AH791" i="42" s="1"/>
  <c r="V792" i="42"/>
  <c r="AH792" i="42" s="1"/>
  <c r="V793" i="42"/>
  <c r="AH793" i="42" s="1"/>
  <c r="V794" i="42"/>
  <c r="AH794" i="42" s="1"/>
  <c r="V795" i="42"/>
  <c r="AH795" i="42" s="1"/>
  <c r="V796" i="42"/>
  <c r="AH796" i="42" s="1"/>
  <c r="V797" i="42"/>
  <c r="V798" i="42"/>
  <c r="AH798" i="42" s="1"/>
  <c r="V799" i="42"/>
  <c r="AH799" i="42" s="1"/>
  <c r="V800" i="42"/>
  <c r="AH800" i="42" s="1"/>
  <c r="V801" i="42"/>
  <c r="AH801" i="42" s="1"/>
  <c r="V802" i="42"/>
  <c r="AH802" i="42" s="1"/>
  <c r="V803" i="42"/>
  <c r="AH803" i="42" s="1"/>
  <c r="V804" i="42"/>
  <c r="AH804" i="42" s="1"/>
  <c r="V805" i="42"/>
  <c r="V806" i="42"/>
  <c r="AH806" i="42" s="1"/>
  <c r="V807" i="42"/>
  <c r="AH807" i="42" s="1"/>
  <c r="V808" i="42"/>
  <c r="AH808" i="42" s="1"/>
  <c r="V809" i="42"/>
  <c r="AH809" i="42" s="1"/>
  <c r="V810" i="42"/>
  <c r="AH810" i="42" s="1"/>
  <c r="V811" i="42"/>
  <c r="AH811" i="42" s="1"/>
  <c r="V812" i="42"/>
  <c r="AH812" i="42" s="1"/>
  <c r="V813" i="42"/>
  <c r="V814" i="42"/>
  <c r="AH814" i="42" s="1"/>
  <c r="V815" i="42"/>
  <c r="AH815" i="42" s="1"/>
  <c r="V816" i="42"/>
  <c r="AH816" i="42" s="1"/>
  <c r="V817" i="42"/>
  <c r="AH817" i="42" s="1"/>
  <c r="V818" i="42"/>
  <c r="AH818" i="42" s="1"/>
  <c r="V819" i="42"/>
  <c r="AH819" i="42" s="1"/>
  <c r="V820" i="42"/>
  <c r="AH820" i="42" s="1"/>
  <c r="V821" i="42"/>
  <c r="V822" i="42"/>
  <c r="AH822" i="42" s="1"/>
  <c r="V823" i="42"/>
  <c r="AH823" i="42" s="1"/>
  <c r="V824" i="42"/>
  <c r="AH824" i="42" s="1"/>
  <c r="V825" i="42"/>
  <c r="AH825" i="42" s="1"/>
  <c r="V826" i="42"/>
  <c r="AH826" i="42" s="1"/>
  <c r="V827" i="42"/>
  <c r="AH827" i="42" s="1"/>
  <c r="V828" i="42"/>
  <c r="AH828" i="42" s="1"/>
  <c r="V829" i="42"/>
  <c r="V830" i="42"/>
  <c r="AH830" i="42" s="1"/>
  <c r="V831" i="42"/>
  <c r="AH831" i="42" s="1"/>
  <c r="V832" i="42"/>
  <c r="AH832" i="42" s="1"/>
  <c r="V833" i="42"/>
  <c r="AH833" i="42" s="1"/>
  <c r="V834" i="42"/>
  <c r="AH834" i="42" s="1"/>
  <c r="V835" i="42"/>
  <c r="AH835" i="42" s="1"/>
  <c r="V836" i="42"/>
  <c r="AH836" i="42" s="1"/>
  <c r="V837" i="42"/>
  <c r="V838" i="42"/>
  <c r="AH838" i="42" s="1"/>
  <c r="V839" i="42"/>
  <c r="AH839" i="42" s="1"/>
  <c r="V840" i="42"/>
  <c r="AH840" i="42" s="1"/>
  <c r="V841" i="42"/>
  <c r="AH841" i="42" s="1"/>
  <c r="V842" i="42"/>
  <c r="AH842" i="42" s="1"/>
  <c r="V843" i="42"/>
  <c r="AH843" i="42" s="1"/>
  <c r="V844" i="42"/>
  <c r="AH844" i="42" s="1"/>
  <c r="V845" i="42"/>
  <c r="V846" i="42"/>
  <c r="AH846" i="42" s="1"/>
  <c r="V847" i="42"/>
  <c r="AH847" i="42" s="1"/>
  <c r="V848" i="42"/>
  <c r="AH848" i="42" s="1"/>
  <c r="V849" i="42"/>
  <c r="AH849" i="42" s="1"/>
  <c r="V850" i="42"/>
  <c r="AH850" i="42" s="1"/>
  <c r="V851" i="42"/>
  <c r="AH851" i="42" s="1"/>
  <c r="V852" i="42"/>
  <c r="AH852" i="42" s="1"/>
  <c r="V853" i="42"/>
  <c r="V854" i="42"/>
  <c r="AH854" i="42" s="1"/>
  <c r="V855" i="42"/>
  <c r="AH855" i="42" s="1"/>
  <c r="V856" i="42"/>
  <c r="AH856" i="42" s="1"/>
  <c r="V857" i="42"/>
  <c r="AH857" i="42" s="1"/>
  <c r="V858" i="42"/>
  <c r="AH858" i="42" s="1"/>
  <c r="V859" i="42"/>
  <c r="AH859" i="42" s="1"/>
  <c r="V860" i="42"/>
  <c r="AH860" i="42" s="1"/>
  <c r="V861" i="42"/>
  <c r="V862" i="42"/>
  <c r="AH862" i="42" s="1"/>
  <c r="V863" i="42"/>
  <c r="AH863" i="42" s="1"/>
  <c r="V864" i="42"/>
  <c r="AH864" i="42" s="1"/>
  <c r="V865" i="42"/>
  <c r="AH865" i="42" s="1"/>
  <c r="V866" i="42"/>
  <c r="AH866" i="42" s="1"/>
  <c r="V867" i="42"/>
  <c r="AH867" i="42" s="1"/>
  <c r="V868" i="42"/>
  <c r="AH868" i="42" s="1"/>
  <c r="V869" i="42"/>
  <c r="AH869" i="42" s="1"/>
  <c r="V870" i="42"/>
  <c r="AH870" i="42" s="1"/>
  <c r="V871" i="42"/>
  <c r="AH871" i="42" s="1"/>
  <c r="V872" i="42"/>
  <c r="AH872" i="42" s="1"/>
  <c r="V873" i="42"/>
  <c r="AH873" i="42" s="1"/>
  <c r="V874" i="42"/>
  <c r="AH874" i="42" s="1"/>
  <c r="V875" i="42"/>
  <c r="AH875" i="42" s="1"/>
  <c r="V876" i="42"/>
  <c r="AH876" i="42" s="1"/>
  <c r="V877" i="42"/>
  <c r="AH877" i="42" s="1"/>
  <c r="V878" i="42"/>
  <c r="AH878" i="42" s="1"/>
  <c r="V879" i="42"/>
  <c r="AH879" i="42" s="1"/>
  <c r="V880" i="42"/>
  <c r="AH880" i="42" s="1"/>
  <c r="V881" i="42"/>
  <c r="AH881" i="42" s="1"/>
  <c r="V882" i="42"/>
  <c r="AH882" i="42" s="1"/>
  <c r="V883" i="42"/>
  <c r="AH883" i="42" s="1"/>
  <c r="V884" i="42"/>
  <c r="AH884" i="42" s="1"/>
  <c r="V885" i="42"/>
  <c r="AH885" i="42" s="1"/>
  <c r="V886" i="42"/>
  <c r="AH886" i="42" s="1"/>
  <c r="V887" i="42"/>
  <c r="AH887" i="42" s="1"/>
  <c r="V888" i="42"/>
  <c r="AH888" i="42" s="1"/>
  <c r="V889" i="42"/>
  <c r="AH889" i="42" s="1"/>
  <c r="V890" i="42"/>
  <c r="AH890" i="42" s="1"/>
  <c r="V891" i="42"/>
  <c r="AH891" i="42" s="1"/>
  <c r="V892" i="42"/>
  <c r="AH892" i="42" s="1"/>
  <c r="V893" i="42"/>
  <c r="AH893" i="42" s="1"/>
  <c r="V894" i="42"/>
  <c r="AH894" i="42" s="1"/>
  <c r="V895" i="42"/>
  <c r="AH895" i="42" s="1"/>
  <c r="V896" i="42"/>
  <c r="AH896" i="42" s="1"/>
  <c r="V897" i="42"/>
  <c r="AH897" i="42" s="1"/>
  <c r="V898" i="42"/>
  <c r="AH898" i="42" s="1"/>
  <c r="V899" i="42"/>
  <c r="AH899" i="42" s="1"/>
  <c r="V900" i="42"/>
  <c r="AH900" i="42" s="1"/>
  <c r="V901" i="42"/>
  <c r="AH901" i="42" s="1"/>
  <c r="V902" i="42"/>
  <c r="AH902" i="42" s="1"/>
  <c r="V903" i="42"/>
  <c r="V904" i="42"/>
  <c r="V905" i="42"/>
  <c r="AH905" i="42" s="1"/>
  <c r="V906" i="42"/>
  <c r="AH906" i="42" s="1"/>
  <c r="V907" i="42"/>
  <c r="AH907" i="42" s="1"/>
  <c r="V908" i="42"/>
  <c r="AH908" i="42" s="1"/>
  <c r="V909" i="42"/>
  <c r="AH909" i="42" s="1"/>
  <c r="V910" i="42"/>
  <c r="AH910" i="42" s="1"/>
  <c r="V911" i="42"/>
  <c r="V912" i="42"/>
  <c r="V913" i="42"/>
  <c r="AH913" i="42" s="1"/>
  <c r="V914" i="42"/>
  <c r="AH914" i="42" s="1"/>
  <c r="V915" i="42"/>
  <c r="AH915" i="42" s="1"/>
  <c r="V916" i="42"/>
  <c r="AH916" i="42" s="1"/>
  <c r="V917" i="42"/>
  <c r="AH917" i="42" s="1"/>
  <c r="V918" i="42"/>
  <c r="AH918" i="42" s="1"/>
  <c r="V919" i="42"/>
  <c r="V920" i="42"/>
  <c r="V921" i="42"/>
  <c r="AH921" i="42" s="1"/>
  <c r="V922" i="42"/>
  <c r="AH922" i="42" s="1"/>
  <c r="V923" i="42"/>
  <c r="AH923" i="42" s="1"/>
  <c r="V924" i="42"/>
  <c r="AH924" i="42" s="1"/>
  <c r="V925" i="42"/>
  <c r="AH925" i="42" s="1"/>
  <c r="V926" i="42"/>
  <c r="AH926" i="42" s="1"/>
  <c r="V927" i="42"/>
  <c r="V928" i="42"/>
  <c r="V929" i="42"/>
  <c r="AH929" i="42" s="1"/>
  <c r="V930" i="42"/>
  <c r="AH930" i="42" s="1"/>
  <c r="V931" i="42"/>
  <c r="AH931" i="42" s="1"/>
  <c r="V932" i="42"/>
  <c r="AH932" i="42" s="1"/>
  <c r="V933" i="42"/>
  <c r="AH933" i="42" s="1"/>
  <c r="V934" i="42"/>
  <c r="AH934" i="42" s="1"/>
  <c r="V935" i="42"/>
  <c r="V936" i="42"/>
  <c r="V937" i="42"/>
  <c r="AH937" i="42" s="1"/>
  <c r="V938" i="42"/>
  <c r="AH938" i="42" s="1"/>
  <c r="V939" i="42"/>
  <c r="AH939" i="42" s="1"/>
  <c r="V940" i="42"/>
  <c r="AH940" i="42" s="1"/>
  <c r="V941" i="42"/>
  <c r="AH941" i="42" s="1"/>
  <c r="V942" i="42"/>
  <c r="AH942" i="42" s="1"/>
  <c r="V943" i="42"/>
  <c r="V944" i="42"/>
  <c r="V945" i="42"/>
  <c r="AH945" i="42" s="1"/>
  <c r="V946" i="42"/>
  <c r="AH946" i="42" s="1"/>
  <c r="V947" i="42"/>
  <c r="AH947" i="42" s="1"/>
  <c r="V948" i="42"/>
  <c r="AH948" i="42" s="1"/>
  <c r="V949" i="42"/>
  <c r="AH949" i="42" s="1"/>
  <c r="V950" i="42"/>
  <c r="AH950" i="42" s="1"/>
  <c r="V951" i="42"/>
  <c r="V952" i="42"/>
  <c r="V953" i="42"/>
  <c r="AH953" i="42" s="1"/>
  <c r="V954" i="42"/>
  <c r="AH954" i="42" s="1"/>
  <c r="V955" i="42"/>
  <c r="AH955" i="42" s="1"/>
  <c r="V956" i="42"/>
  <c r="AH956" i="42" s="1"/>
  <c r="V957" i="42"/>
  <c r="AH957" i="42" s="1"/>
  <c r="V958" i="42"/>
  <c r="AH958" i="42" s="1"/>
  <c r="V959" i="42"/>
  <c r="V960" i="42"/>
  <c r="V961" i="42"/>
  <c r="AH961" i="42" s="1"/>
  <c r="V962" i="42"/>
  <c r="AH962" i="42" s="1"/>
  <c r="V963" i="42"/>
  <c r="AH963" i="42" s="1"/>
  <c r="V964" i="42"/>
  <c r="AH964" i="42" s="1"/>
  <c r="V965" i="42"/>
  <c r="AH965" i="42" s="1"/>
  <c r="V966" i="42"/>
  <c r="AH966" i="42" s="1"/>
  <c r="V967" i="42"/>
  <c r="V968" i="42"/>
  <c r="V969" i="42"/>
  <c r="AH969" i="42" s="1"/>
  <c r="V970" i="42"/>
  <c r="AH970" i="42" s="1"/>
  <c r="V971" i="42"/>
  <c r="AH971" i="42" s="1"/>
  <c r="V972" i="42"/>
  <c r="AH972" i="42" s="1"/>
  <c r="V973" i="42"/>
  <c r="AH973" i="42" s="1"/>
  <c r="V974" i="42"/>
  <c r="AH974" i="42" s="1"/>
  <c r="V975" i="42"/>
  <c r="V976" i="42"/>
  <c r="V977" i="42"/>
  <c r="AH977" i="42" s="1"/>
  <c r="V978" i="42"/>
  <c r="AH978" i="42" s="1"/>
  <c r="V979" i="42"/>
  <c r="AH979" i="42" s="1"/>
  <c r="V980" i="42"/>
  <c r="AH980" i="42" s="1"/>
  <c r="V981" i="42"/>
  <c r="AH981" i="42" s="1"/>
  <c r="V982" i="42"/>
  <c r="AH982" i="42" s="1"/>
  <c r="V983" i="42"/>
  <c r="V984" i="42"/>
  <c r="V985" i="42"/>
  <c r="AH985" i="42" s="1"/>
  <c r="V986" i="42"/>
  <c r="AH986" i="42" s="1"/>
  <c r="V987" i="42"/>
  <c r="AH987" i="42" s="1"/>
  <c r="V988" i="42"/>
  <c r="AH988" i="42" s="1"/>
  <c r="V989" i="42"/>
  <c r="AH989" i="42" s="1"/>
  <c r="V990" i="42"/>
  <c r="AH990" i="42" s="1"/>
  <c r="V991" i="42"/>
  <c r="V992" i="42"/>
  <c r="V993" i="42"/>
  <c r="AH993" i="42" s="1"/>
  <c r="V994" i="42"/>
  <c r="AH994" i="42" s="1"/>
  <c r="V995" i="42"/>
  <c r="AH995" i="42" s="1"/>
  <c r="V996" i="42"/>
  <c r="AH996" i="42" s="1"/>
  <c r="V997" i="42"/>
  <c r="AH997" i="42" s="1"/>
  <c r="V998" i="42"/>
  <c r="AH998" i="42" s="1"/>
  <c r="V999" i="42"/>
  <c r="V1000" i="42"/>
  <c r="V1001" i="42"/>
  <c r="AH1001" i="42" s="1"/>
  <c r="V1002" i="42"/>
  <c r="AH1002" i="42" s="1"/>
  <c r="V1003" i="42"/>
  <c r="AH1003" i="42" s="1"/>
  <c r="V1004" i="42"/>
  <c r="AH1004" i="42" s="1"/>
  <c r="V1005" i="42"/>
  <c r="AH1005" i="42" s="1"/>
  <c r="V1006" i="42"/>
  <c r="AH1006" i="42" s="1"/>
  <c r="V1007" i="42"/>
  <c r="V1008" i="42"/>
  <c r="V1009" i="42"/>
  <c r="AH1009" i="42" s="1"/>
  <c r="V1010" i="42"/>
  <c r="AH1010" i="42" s="1"/>
  <c r="V1011" i="42"/>
  <c r="AH1011" i="42" s="1"/>
  <c r="V1012" i="42"/>
  <c r="AH1012" i="42" s="1"/>
  <c r="U14" i="42"/>
  <c r="U15" i="42"/>
  <c r="U16" i="42"/>
  <c r="U17" i="42"/>
  <c r="U18" i="42"/>
  <c r="U19" i="42"/>
  <c r="U20" i="42"/>
  <c r="U21" i="42"/>
  <c r="U22" i="42"/>
  <c r="U23" i="42"/>
  <c r="U24" i="42"/>
  <c r="U25" i="42"/>
  <c r="U26" i="42"/>
  <c r="U27" i="42"/>
  <c r="U28" i="42"/>
  <c r="U29" i="42"/>
  <c r="U30" i="42"/>
  <c r="U31" i="42"/>
  <c r="U32" i="42"/>
  <c r="U33" i="42"/>
  <c r="U34" i="42"/>
  <c r="U35" i="42"/>
  <c r="U36" i="42"/>
  <c r="U37" i="42"/>
  <c r="U38" i="42"/>
  <c r="U39" i="42"/>
  <c r="U40" i="42"/>
  <c r="U41" i="42"/>
  <c r="U42" i="42"/>
  <c r="U43" i="42"/>
  <c r="U44" i="42"/>
  <c r="U45" i="42"/>
  <c r="U46" i="42"/>
  <c r="U47" i="42"/>
  <c r="U48" i="42"/>
  <c r="U49" i="42"/>
  <c r="U50" i="42"/>
  <c r="U51" i="42"/>
  <c r="U52" i="42"/>
  <c r="U53" i="42"/>
  <c r="U54" i="42"/>
  <c r="U55" i="42"/>
  <c r="U56" i="42"/>
  <c r="U57" i="42"/>
  <c r="U58" i="42"/>
  <c r="U59" i="42"/>
  <c r="U60" i="42"/>
  <c r="U61" i="42"/>
  <c r="U62" i="42"/>
  <c r="U63" i="42"/>
  <c r="U64" i="42"/>
  <c r="U65" i="42"/>
  <c r="U66" i="42"/>
  <c r="U67" i="42"/>
  <c r="U68" i="42"/>
  <c r="U69" i="42"/>
  <c r="U70" i="42"/>
  <c r="U71" i="42"/>
  <c r="U72" i="42"/>
  <c r="U73" i="42"/>
  <c r="U74" i="42"/>
  <c r="U75" i="42"/>
  <c r="U76" i="42"/>
  <c r="U77" i="42"/>
  <c r="U78" i="42"/>
  <c r="U79" i="42"/>
  <c r="U80" i="42"/>
  <c r="U81" i="42"/>
  <c r="U82" i="42"/>
  <c r="U83" i="42"/>
  <c r="U84" i="42"/>
  <c r="U85" i="42"/>
  <c r="U86" i="42"/>
  <c r="U87" i="42"/>
  <c r="U88" i="42"/>
  <c r="U89" i="42"/>
  <c r="U90" i="42"/>
  <c r="U91" i="42"/>
  <c r="U92" i="42"/>
  <c r="U93" i="42"/>
  <c r="U94" i="42"/>
  <c r="U95" i="42"/>
  <c r="U96" i="42"/>
  <c r="U97" i="42"/>
  <c r="U98" i="42"/>
  <c r="U99" i="42"/>
  <c r="U100" i="42"/>
  <c r="U101" i="42"/>
  <c r="U102" i="42"/>
  <c r="U103" i="42"/>
  <c r="U104" i="42"/>
  <c r="U105" i="42"/>
  <c r="U106" i="42"/>
  <c r="U107" i="42"/>
  <c r="U108" i="42"/>
  <c r="U109" i="42"/>
  <c r="U110" i="42"/>
  <c r="U111" i="42"/>
  <c r="U112" i="42"/>
  <c r="U113" i="42"/>
  <c r="U114" i="42"/>
  <c r="U115" i="42"/>
  <c r="U116" i="42"/>
  <c r="U117" i="42"/>
  <c r="U118" i="42"/>
  <c r="U119" i="42"/>
  <c r="U120" i="42"/>
  <c r="U121" i="42"/>
  <c r="U122" i="42"/>
  <c r="U123" i="42"/>
  <c r="U124" i="42"/>
  <c r="U125" i="42"/>
  <c r="U126" i="42"/>
  <c r="U127" i="42"/>
  <c r="U128" i="42"/>
  <c r="U129" i="42"/>
  <c r="U130" i="42"/>
  <c r="U131" i="42"/>
  <c r="U132" i="42"/>
  <c r="U133" i="42"/>
  <c r="U134" i="42"/>
  <c r="U135" i="42"/>
  <c r="U136" i="42"/>
  <c r="U137" i="42"/>
  <c r="U138" i="42"/>
  <c r="U139" i="42"/>
  <c r="U140" i="42"/>
  <c r="U141" i="42"/>
  <c r="U142" i="42"/>
  <c r="U143" i="42"/>
  <c r="U144" i="42"/>
  <c r="U145" i="42"/>
  <c r="U146" i="42"/>
  <c r="U147" i="42"/>
  <c r="U148" i="42"/>
  <c r="U149" i="42"/>
  <c r="U150" i="42"/>
  <c r="U151" i="42"/>
  <c r="U152" i="42"/>
  <c r="U153" i="42"/>
  <c r="U154" i="42"/>
  <c r="U155" i="42"/>
  <c r="U156" i="42"/>
  <c r="U157" i="42"/>
  <c r="U158" i="42"/>
  <c r="U159" i="42"/>
  <c r="U160" i="42"/>
  <c r="U161" i="42"/>
  <c r="U162" i="42"/>
  <c r="U163" i="42"/>
  <c r="U164" i="42"/>
  <c r="U165" i="42"/>
  <c r="U166" i="42"/>
  <c r="U167" i="42"/>
  <c r="U168" i="42"/>
  <c r="U169" i="42"/>
  <c r="U170" i="42"/>
  <c r="U171" i="42"/>
  <c r="U172" i="42"/>
  <c r="U173" i="42"/>
  <c r="U174" i="42"/>
  <c r="U175" i="42"/>
  <c r="U176" i="42"/>
  <c r="U177" i="42"/>
  <c r="U178" i="42"/>
  <c r="U179" i="42"/>
  <c r="U180" i="42"/>
  <c r="U181" i="42"/>
  <c r="U182" i="42"/>
  <c r="U183" i="42"/>
  <c r="U184" i="42"/>
  <c r="U185" i="42"/>
  <c r="U186" i="42"/>
  <c r="U187" i="42"/>
  <c r="U188" i="42"/>
  <c r="U189" i="42"/>
  <c r="U190" i="42"/>
  <c r="U191" i="42"/>
  <c r="U192" i="42"/>
  <c r="U193" i="42"/>
  <c r="U194" i="42"/>
  <c r="U195" i="42"/>
  <c r="U196" i="42"/>
  <c r="U197" i="42"/>
  <c r="U198" i="42"/>
  <c r="U199" i="42"/>
  <c r="U200" i="42"/>
  <c r="U201" i="42"/>
  <c r="U202" i="42"/>
  <c r="U203" i="42"/>
  <c r="U204" i="42"/>
  <c r="U205" i="42"/>
  <c r="U206" i="42"/>
  <c r="U207" i="42"/>
  <c r="U208" i="42"/>
  <c r="U209" i="42"/>
  <c r="U210" i="42"/>
  <c r="U211" i="42"/>
  <c r="U212" i="42"/>
  <c r="U213" i="42"/>
  <c r="U214" i="42"/>
  <c r="U215" i="42"/>
  <c r="U216" i="42"/>
  <c r="U217" i="42"/>
  <c r="U218" i="42"/>
  <c r="U219" i="42"/>
  <c r="U220" i="42"/>
  <c r="U221" i="42"/>
  <c r="U222" i="42"/>
  <c r="U223" i="42"/>
  <c r="U224" i="42"/>
  <c r="U225" i="42"/>
  <c r="U226" i="42"/>
  <c r="U227" i="42"/>
  <c r="U228" i="42"/>
  <c r="U229" i="42"/>
  <c r="U230" i="42"/>
  <c r="U231" i="42"/>
  <c r="U232" i="42"/>
  <c r="U233" i="42"/>
  <c r="U234" i="42"/>
  <c r="U235" i="42"/>
  <c r="U236" i="42"/>
  <c r="U237" i="42"/>
  <c r="U238" i="42"/>
  <c r="U239" i="42"/>
  <c r="U240" i="42"/>
  <c r="U241" i="42"/>
  <c r="U242" i="42"/>
  <c r="U243" i="42"/>
  <c r="U244" i="42"/>
  <c r="U245" i="42"/>
  <c r="U246" i="42"/>
  <c r="U247" i="42"/>
  <c r="U248" i="42"/>
  <c r="U249" i="42"/>
  <c r="U250" i="42"/>
  <c r="U251" i="42"/>
  <c r="U252" i="42"/>
  <c r="U253" i="42"/>
  <c r="U254" i="42"/>
  <c r="U255" i="42"/>
  <c r="U256" i="42"/>
  <c r="U257" i="42"/>
  <c r="U258" i="42"/>
  <c r="U259" i="42"/>
  <c r="U260" i="42"/>
  <c r="U261" i="42"/>
  <c r="U262" i="42"/>
  <c r="U263" i="42"/>
  <c r="U264" i="42"/>
  <c r="U265" i="42"/>
  <c r="U266" i="42"/>
  <c r="U267" i="42"/>
  <c r="U268" i="42"/>
  <c r="U269" i="42"/>
  <c r="U270" i="42"/>
  <c r="U271" i="42"/>
  <c r="U272" i="42"/>
  <c r="U273" i="42"/>
  <c r="U274" i="42"/>
  <c r="U275" i="42"/>
  <c r="U276" i="42"/>
  <c r="U277" i="42"/>
  <c r="U278" i="42"/>
  <c r="U279" i="42"/>
  <c r="U280" i="42"/>
  <c r="U281" i="42"/>
  <c r="U282" i="42"/>
  <c r="U283" i="42"/>
  <c r="U284" i="42"/>
  <c r="U285" i="42"/>
  <c r="U286" i="42"/>
  <c r="U287" i="42"/>
  <c r="U288" i="42"/>
  <c r="U289" i="42"/>
  <c r="U290" i="42"/>
  <c r="U291" i="42"/>
  <c r="U292" i="42"/>
  <c r="U293" i="42"/>
  <c r="U294" i="42"/>
  <c r="U295" i="42"/>
  <c r="U296" i="42"/>
  <c r="U297" i="42"/>
  <c r="U298" i="42"/>
  <c r="U299" i="42"/>
  <c r="U300" i="42"/>
  <c r="U301" i="42"/>
  <c r="U302" i="42"/>
  <c r="U303" i="42"/>
  <c r="U304" i="42"/>
  <c r="U305" i="42"/>
  <c r="U306" i="42"/>
  <c r="U307" i="42"/>
  <c r="U308" i="42"/>
  <c r="U309" i="42"/>
  <c r="U310" i="42"/>
  <c r="U311" i="42"/>
  <c r="U312" i="42"/>
  <c r="U313" i="42"/>
  <c r="U314" i="42"/>
  <c r="U315" i="42"/>
  <c r="U316" i="42"/>
  <c r="U317" i="42"/>
  <c r="U318" i="42"/>
  <c r="U319" i="42"/>
  <c r="U320" i="42"/>
  <c r="U321" i="42"/>
  <c r="U322" i="42"/>
  <c r="U323" i="42"/>
  <c r="U324" i="42"/>
  <c r="U325" i="42"/>
  <c r="U326" i="42"/>
  <c r="U327" i="42"/>
  <c r="U328" i="42"/>
  <c r="U329" i="42"/>
  <c r="U330" i="42"/>
  <c r="U331" i="42"/>
  <c r="U332" i="42"/>
  <c r="U333" i="42"/>
  <c r="U334" i="42"/>
  <c r="U335" i="42"/>
  <c r="U336" i="42"/>
  <c r="U337" i="42"/>
  <c r="U338" i="42"/>
  <c r="U339" i="42"/>
  <c r="U340" i="42"/>
  <c r="U341" i="42"/>
  <c r="U342" i="42"/>
  <c r="U343" i="42"/>
  <c r="U344" i="42"/>
  <c r="U345" i="42"/>
  <c r="U346" i="42"/>
  <c r="U347" i="42"/>
  <c r="U348" i="42"/>
  <c r="U349" i="42"/>
  <c r="U350" i="42"/>
  <c r="U351" i="42"/>
  <c r="U352" i="42"/>
  <c r="U353" i="42"/>
  <c r="U354" i="42"/>
  <c r="U355" i="42"/>
  <c r="U356" i="42"/>
  <c r="U357" i="42"/>
  <c r="U358" i="42"/>
  <c r="U359" i="42"/>
  <c r="U360" i="42"/>
  <c r="U361" i="42"/>
  <c r="U362" i="42"/>
  <c r="U363" i="42"/>
  <c r="U364" i="42"/>
  <c r="U365" i="42"/>
  <c r="U366" i="42"/>
  <c r="U367" i="42"/>
  <c r="U368" i="42"/>
  <c r="U369" i="42"/>
  <c r="U370" i="42"/>
  <c r="U371" i="42"/>
  <c r="U372" i="42"/>
  <c r="U373" i="42"/>
  <c r="U374" i="42"/>
  <c r="U375" i="42"/>
  <c r="U376" i="42"/>
  <c r="U377" i="42"/>
  <c r="U378" i="42"/>
  <c r="U379" i="42"/>
  <c r="U380" i="42"/>
  <c r="U381" i="42"/>
  <c r="U382" i="42"/>
  <c r="U383" i="42"/>
  <c r="U384" i="42"/>
  <c r="U385" i="42"/>
  <c r="U386" i="42"/>
  <c r="U387" i="42"/>
  <c r="U388" i="42"/>
  <c r="U389" i="42"/>
  <c r="U390" i="42"/>
  <c r="U391" i="42"/>
  <c r="U392" i="42"/>
  <c r="U393" i="42"/>
  <c r="U394" i="42"/>
  <c r="U395" i="42"/>
  <c r="U396" i="42"/>
  <c r="U397" i="42"/>
  <c r="U398" i="42"/>
  <c r="U399" i="42"/>
  <c r="U400" i="42"/>
  <c r="U401" i="42"/>
  <c r="U402" i="42"/>
  <c r="U403" i="42"/>
  <c r="U404" i="42"/>
  <c r="U405" i="42"/>
  <c r="U406" i="42"/>
  <c r="U407" i="42"/>
  <c r="U408" i="42"/>
  <c r="U409" i="42"/>
  <c r="U410" i="42"/>
  <c r="U411" i="42"/>
  <c r="U412" i="42"/>
  <c r="U413" i="42"/>
  <c r="U414" i="42"/>
  <c r="U415" i="42"/>
  <c r="U416" i="42"/>
  <c r="U417" i="42"/>
  <c r="U418" i="42"/>
  <c r="U419" i="42"/>
  <c r="U420" i="42"/>
  <c r="U421" i="42"/>
  <c r="U422" i="42"/>
  <c r="U423" i="42"/>
  <c r="U424" i="42"/>
  <c r="U425" i="42"/>
  <c r="U426" i="42"/>
  <c r="U427" i="42"/>
  <c r="U428" i="42"/>
  <c r="U429" i="42"/>
  <c r="U430" i="42"/>
  <c r="U431" i="42"/>
  <c r="U432" i="42"/>
  <c r="U433" i="42"/>
  <c r="U434" i="42"/>
  <c r="U435" i="42"/>
  <c r="U436" i="42"/>
  <c r="U437" i="42"/>
  <c r="U438" i="42"/>
  <c r="U439" i="42"/>
  <c r="U440" i="42"/>
  <c r="U441" i="42"/>
  <c r="U442" i="42"/>
  <c r="U443" i="42"/>
  <c r="U444" i="42"/>
  <c r="U445" i="42"/>
  <c r="U446" i="42"/>
  <c r="U447" i="42"/>
  <c r="U448" i="42"/>
  <c r="U449" i="42"/>
  <c r="U450" i="42"/>
  <c r="U451" i="42"/>
  <c r="U452" i="42"/>
  <c r="U453" i="42"/>
  <c r="U454" i="42"/>
  <c r="U455" i="42"/>
  <c r="U456" i="42"/>
  <c r="U457" i="42"/>
  <c r="U458" i="42"/>
  <c r="U459" i="42"/>
  <c r="U460" i="42"/>
  <c r="U461" i="42"/>
  <c r="U462" i="42"/>
  <c r="U463" i="42"/>
  <c r="U464" i="42"/>
  <c r="U465" i="42"/>
  <c r="U466" i="42"/>
  <c r="U467" i="42"/>
  <c r="U468" i="42"/>
  <c r="U469" i="42"/>
  <c r="U470" i="42"/>
  <c r="U471" i="42"/>
  <c r="U472" i="42"/>
  <c r="U473" i="42"/>
  <c r="U474" i="42"/>
  <c r="U475" i="42"/>
  <c r="U476" i="42"/>
  <c r="U477" i="42"/>
  <c r="U478" i="42"/>
  <c r="U479" i="42"/>
  <c r="U480" i="42"/>
  <c r="U481" i="42"/>
  <c r="U482" i="42"/>
  <c r="U483" i="42"/>
  <c r="U484" i="42"/>
  <c r="U485" i="42"/>
  <c r="U486" i="42"/>
  <c r="U487" i="42"/>
  <c r="U488" i="42"/>
  <c r="U489" i="42"/>
  <c r="U490" i="42"/>
  <c r="U491" i="42"/>
  <c r="U492" i="42"/>
  <c r="U493" i="42"/>
  <c r="U494" i="42"/>
  <c r="U495" i="42"/>
  <c r="U496" i="42"/>
  <c r="U497" i="42"/>
  <c r="U498" i="42"/>
  <c r="U499" i="42"/>
  <c r="U500" i="42"/>
  <c r="U501" i="42"/>
  <c r="U502" i="42"/>
  <c r="U503" i="42"/>
  <c r="U504" i="42"/>
  <c r="U505" i="42"/>
  <c r="U506" i="42"/>
  <c r="U507" i="42"/>
  <c r="U508" i="42"/>
  <c r="U509" i="42"/>
  <c r="U510" i="42"/>
  <c r="U511" i="42"/>
  <c r="U512" i="42"/>
  <c r="U513" i="42"/>
  <c r="U514" i="42"/>
  <c r="U515" i="42"/>
  <c r="U516" i="42"/>
  <c r="U517" i="42"/>
  <c r="U518" i="42"/>
  <c r="U519" i="42"/>
  <c r="U520" i="42"/>
  <c r="U521" i="42"/>
  <c r="U522" i="42"/>
  <c r="U523" i="42"/>
  <c r="U524" i="42"/>
  <c r="U525" i="42"/>
  <c r="U526" i="42"/>
  <c r="U527" i="42"/>
  <c r="U528" i="42"/>
  <c r="U529" i="42"/>
  <c r="U530" i="42"/>
  <c r="U531" i="42"/>
  <c r="U532" i="42"/>
  <c r="U533" i="42"/>
  <c r="U534" i="42"/>
  <c r="U535" i="42"/>
  <c r="U536" i="42"/>
  <c r="U537" i="42"/>
  <c r="U538" i="42"/>
  <c r="U539" i="42"/>
  <c r="U540" i="42"/>
  <c r="U541" i="42"/>
  <c r="U542" i="42"/>
  <c r="U543" i="42"/>
  <c r="U544" i="42"/>
  <c r="U545" i="42"/>
  <c r="U546" i="42"/>
  <c r="U547" i="42"/>
  <c r="U548" i="42"/>
  <c r="U549" i="42"/>
  <c r="U550" i="42"/>
  <c r="U551" i="42"/>
  <c r="U552" i="42"/>
  <c r="U553" i="42"/>
  <c r="U554" i="42"/>
  <c r="U555" i="42"/>
  <c r="U556" i="42"/>
  <c r="U557" i="42"/>
  <c r="U558" i="42"/>
  <c r="U559" i="42"/>
  <c r="U560" i="42"/>
  <c r="U561" i="42"/>
  <c r="U562" i="42"/>
  <c r="U563" i="42"/>
  <c r="U564" i="42"/>
  <c r="U565" i="42"/>
  <c r="U566" i="42"/>
  <c r="U567" i="42"/>
  <c r="U568" i="42"/>
  <c r="U569" i="42"/>
  <c r="U570" i="42"/>
  <c r="U571" i="42"/>
  <c r="U572" i="42"/>
  <c r="U573" i="42"/>
  <c r="U574" i="42"/>
  <c r="U575" i="42"/>
  <c r="U576" i="42"/>
  <c r="U577" i="42"/>
  <c r="U578" i="42"/>
  <c r="U579" i="42"/>
  <c r="U580" i="42"/>
  <c r="U581" i="42"/>
  <c r="U582" i="42"/>
  <c r="U583" i="42"/>
  <c r="U584" i="42"/>
  <c r="U585" i="42"/>
  <c r="U586" i="42"/>
  <c r="U587" i="42"/>
  <c r="U588" i="42"/>
  <c r="U589" i="42"/>
  <c r="U590" i="42"/>
  <c r="U591" i="42"/>
  <c r="U592" i="42"/>
  <c r="U593" i="42"/>
  <c r="U594" i="42"/>
  <c r="U595" i="42"/>
  <c r="U596" i="42"/>
  <c r="U597" i="42"/>
  <c r="U598" i="42"/>
  <c r="U599" i="42"/>
  <c r="U600" i="42"/>
  <c r="U601" i="42"/>
  <c r="U602" i="42"/>
  <c r="U603" i="42"/>
  <c r="U604" i="42"/>
  <c r="U605" i="42"/>
  <c r="U606" i="42"/>
  <c r="U607" i="42"/>
  <c r="U608" i="42"/>
  <c r="U609" i="42"/>
  <c r="U610" i="42"/>
  <c r="U611" i="42"/>
  <c r="U612" i="42"/>
  <c r="U613" i="42"/>
  <c r="U614" i="42"/>
  <c r="U615" i="42"/>
  <c r="U616" i="42"/>
  <c r="U617" i="42"/>
  <c r="U618" i="42"/>
  <c r="U619" i="42"/>
  <c r="U620" i="42"/>
  <c r="U621" i="42"/>
  <c r="U622" i="42"/>
  <c r="U623" i="42"/>
  <c r="U624" i="42"/>
  <c r="U625" i="42"/>
  <c r="U626" i="42"/>
  <c r="U627" i="42"/>
  <c r="U628" i="42"/>
  <c r="U629" i="42"/>
  <c r="U630" i="42"/>
  <c r="U631" i="42"/>
  <c r="U632" i="42"/>
  <c r="U633" i="42"/>
  <c r="U634" i="42"/>
  <c r="U635" i="42"/>
  <c r="U636" i="42"/>
  <c r="U637" i="42"/>
  <c r="U638" i="42"/>
  <c r="U639" i="42"/>
  <c r="U640" i="42"/>
  <c r="U641" i="42"/>
  <c r="U642" i="42"/>
  <c r="U643" i="42"/>
  <c r="U644" i="42"/>
  <c r="U645" i="42"/>
  <c r="U646" i="42"/>
  <c r="U647" i="42"/>
  <c r="U648" i="42"/>
  <c r="U649" i="42"/>
  <c r="U650" i="42"/>
  <c r="U651" i="42"/>
  <c r="U652" i="42"/>
  <c r="U653" i="42"/>
  <c r="U654" i="42"/>
  <c r="U655" i="42"/>
  <c r="U656" i="42"/>
  <c r="U657" i="42"/>
  <c r="U658" i="42"/>
  <c r="U659" i="42"/>
  <c r="U660" i="42"/>
  <c r="U661" i="42"/>
  <c r="U662" i="42"/>
  <c r="U663" i="42"/>
  <c r="U664" i="42"/>
  <c r="U665" i="42"/>
  <c r="U666" i="42"/>
  <c r="U667" i="42"/>
  <c r="U668" i="42"/>
  <c r="U669" i="42"/>
  <c r="U670" i="42"/>
  <c r="U671" i="42"/>
  <c r="U672" i="42"/>
  <c r="U673" i="42"/>
  <c r="U674" i="42"/>
  <c r="U675" i="42"/>
  <c r="U676" i="42"/>
  <c r="U677" i="42"/>
  <c r="U678" i="42"/>
  <c r="U679" i="42"/>
  <c r="U680" i="42"/>
  <c r="U681" i="42"/>
  <c r="U682" i="42"/>
  <c r="U683" i="42"/>
  <c r="U684" i="42"/>
  <c r="U685" i="42"/>
  <c r="U686" i="42"/>
  <c r="U687" i="42"/>
  <c r="U688" i="42"/>
  <c r="U689" i="42"/>
  <c r="U690" i="42"/>
  <c r="U691" i="42"/>
  <c r="U692" i="42"/>
  <c r="U693" i="42"/>
  <c r="U694" i="42"/>
  <c r="U695" i="42"/>
  <c r="U696" i="42"/>
  <c r="U697" i="42"/>
  <c r="U698" i="42"/>
  <c r="U699" i="42"/>
  <c r="U700" i="42"/>
  <c r="U701" i="42"/>
  <c r="U702" i="42"/>
  <c r="U703" i="42"/>
  <c r="U704" i="42"/>
  <c r="U705" i="42"/>
  <c r="U706" i="42"/>
  <c r="U707" i="42"/>
  <c r="U708" i="42"/>
  <c r="U709" i="42"/>
  <c r="U710" i="42"/>
  <c r="U711" i="42"/>
  <c r="U712" i="42"/>
  <c r="U713" i="42"/>
  <c r="U714" i="42"/>
  <c r="U715" i="42"/>
  <c r="U716" i="42"/>
  <c r="U717" i="42"/>
  <c r="U718" i="42"/>
  <c r="U719" i="42"/>
  <c r="U720" i="42"/>
  <c r="U721" i="42"/>
  <c r="U722" i="42"/>
  <c r="U723" i="42"/>
  <c r="U724" i="42"/>
  <c r="U725" i="42"/>
  <c r="U726" i="42"/>
  <c r="U727" i="42"/>
  <c r="U728" i="42"/>
  <c r="U729" i="42"/>
  <c r="U730" i="42"/>
  <c r="U731" i="42"/>
  <c r="U732" i="42"/>
  <c r="U733" i="42"/>
  <c r="U734" i="42"/>
  <c r="U735" i="42"/>
  <c r="U736" i="42"/>
  <c r="U737" i="42"/>
  <c r="U738" i="42"/>
  <c r="U739" i="42"/>
  <c r="U740" i="42"/>
  <c r="U741" i="42"/>
  <c r="U742" i="42"/>
  <c r="U743" i="42"/>
  <c r="U744" i="42"/>
  <c r="U745" i="42"/>
  <c r="U746" i="42"/>
  <c r="U747" i="42"/>
  <c r="U748" i="42"/>
  <c r="U749" i="42"/>
  <c r="U750" i="42"/>
  <c r="U751" i="42"/>
  <c r="U752" i="42"/>
  <c r="U753" i="42"/>
  <c r="U754" i="42"/>
  <c r="U755" i="42"/>
  <c r="U756" i="42"/>
  <c r="U757" i="42"/>
  <c r="U758" i="42"/>
  <c r="U759" i="42"/>
  <c r="U760" i="42"/>
  <c r="U761" i="42"/>
  <c r="U762" i="42"/>
  <c r="U763" i="42"/>
  <c r="U764" i="42"/>
  <c r="U765" i="42"/>
  <c r="U766" i="42"/>
  <c r="U767" i="42"/>
  <c r="U768" i="42"/>
  <c r="U769" i="42"/>
  <c r="U770" i="42"/>
  <c r="U771" i="42"/>
  <c r="U772" i="42"/>
  <c r="U773" i="42"/>
  <c r="U774" i="42"/>
  <c r="U775" i="42"/>
  <c r="U776" i="42"/>
  <c r="U777" i="42"/>
  <c r="U778" i="42"/>
  <c r="U779" i="42"/>
  <c r="U780" i="42"/>
  <c r="U781" i="42"/>
  <c r="U782" i="42"/>
  <c r="U783" i="42"/>
  <c r="U784" i="42"/>
  <c r="U785" i="42"/>
  <c r="U786" i="42"/>
  <c r="U787" i="42"/>
  <c r="U788" i="42"/>
  <c r="U789" i="42"/>
  <c r="U790" i="42"/>
  <c r="U791" i="42"/>
  <c r="U792" i="42"/>
  <c r="U793" i="42"/>
  <c r="U794" i="42"/>
  <c r="U795" i="42"/>
  <c r="U796" i="42"/>
  <c r="U797" i="42"/>
  <c r="U798" i="42"/>
  <c r="U799" i="42"/>
  <c r="U800" i="42"/>
  <c r="U801" i="42"/>
  <c r="U802" i="42"/>
  <c r="U803" i="42"/>
  <c r="U804" i="42"/>
  <c r="U805" i="42"/>
  <c r="U806" i="42"/>
  <c r="U807" i="42"/>
  <c r="U808" i="42"/>
  <c r="U809" i="42"/>
  <c r="U810" i="42"/>
  <c r="U811" i="42"/>
  <c r="U812" i="42"/>
  <c r="U813" i="42"/>
  <c r="U814" i="42"/>
  <c r="U815" i="42"/>
  <c r="U816" i="42"/>
  <c r="U817" i="42"/>
  <c r="U818" i="42"/>
  <c r="U819" i="42"/>
  <c r="U820" i="42"/>
  <c r="U821" i="42"/>
  <c r="U822" i="42"/>
  <c r="U823" i="42"/>
  <c r="U824" i="42"/>
  <c r="U825" i="42"/>
  <c r="U826" i="42"/>
  <c r="U827" i="42"/>
  <c r="U828" i="42"/>
  <c r="U829" i="42"/>
  <c r="U830" i="42"/>
  <c r="U831" i="42"/>
  <c r="U832" i="42"/>
  <c r="U833" i="42"/>
  <c r="U834" i="42"/>
  <c r="U835" i="42"/>
  <c r="U836" i="42"/>
  <c r="U837" i="42"/>
  <c r="U838" i="42"/>
  <c r="U839" i="42"/>
  <c r="U840" i="42"/>
  <c r="U841" i="42"/>
  <c r="U842" i="42"/>
  <c r="U843" i="42"/>
  <c r="U844" i="42"/>
  <c r="U845" i="42"/>
  <c r="U846" i="42"/>
  <c r="U847" i="42"/>
  <c r="U848" i="42"/>
  <c r="U849" i="42"/>
  <c r="U850" i="42"/>
  <c r="U851" i="42"/>
  <c r="U852" i="42"/>
  <c r="U853" i="42"/>
  <c r="U854" i="42"/>
  <c r="U855" i="42"/>
  <c r="U856" i="42"/>
  <c r="U857" i="42"/>
  <c r="U858" i="42"/>
  <c r="U859" i="42"/>
  <c r="U860" i="42"/>
  <c r="U861" i="42"/>
  <c r="U862" i="42"/>
  <c r="U863" i="42"/>
  <c r="U864" i="42"/>
  <c r="U865" i="42"/>
  <c r="U866" i="42"/>
  <c r="U867" i="42"/>
  <c r="U868" i="42"/>
  <c r="U869" i="42"/>
  <c r="U870" i="42"/>
  <c r="U871" i="42"/>
  <c r="U872" i="42"/>
  <c r="U873" i="42"/>
  <c r="U874" i="42"/>
  <c r="U875" i="42"/>
  <c r="U876" i="42"/>
  <c r="U877" i="42"/>
  <c r="U878" i="42"/>
  <c r="U879" i="42"/>
  <c r="U880" i="42"/>
  <c r="U881" i="42"/>
  <c r="U882" i="42"/>
  <c r="U883" i="42"/>
  <c r="U884" i="42"/>
  <c r="U885" i="42"/>
  <c r="U886" i="42"/>
  <c r="U887" i="42"/>
  <c r="U888" i="42"/>
  <c r="U889" i="42"/>
  <c r="U890" i="42"/>
  <c r="U891" i="42"/>
  <c r="U892" i="42"/>
  <c r="U893" i="42"/>
  <c r="U894" i="42"/>
  <c r="U895" i="42"/>
  <c r="U896" i="42"/>
  <c r="U897" i="42"/>
  <c r="U898" i="42"/>
  <c r="U899" i="42"/>
  <c r="U900" i="42"/>
  <c r="U901" i="42"/>
  <c r="U902" i="42"/>
  <c r="U903" i="42"/>
  <c r="U904" i="42"/>
  <c r="U905" i="42"/>
  <c r="U906" i="42"/>
  <c r="U907" i="42"/>
  <c r="U908" i="42"/>
  <c r="U909" i="42"/>
  <c r="U910" i="42"/>
  <c r="U911" i="42"/>
  <c r="U912" i="42"/>
  <c r="U913" i="42"/>
  <c r="U914" i="42"/>
  <c r="U915" i="42"/>
  <c r="U916" i="42"/>
  <c r="U917" i="42"/>
  <c r="U918" i="42"/>
  <c r="U919" i="42"/>
  <c r="U920" i="42"/>
  <c r="U921" i="42"/>
  <c r="U922" i="42"/>
  <c r="U923" i="42"/>
  <c r="U924" i="42"/>
  <c r="U925" i="42"/>
  <c r="U926" i="42"/>
  <c r="U927" i="42"/>
  <c r="U928" i="42"/>
  <c r="U929" i="42"/>
  <c r="U930" i="42"/>
  <c r="U931" i="42"/>
  <c r="U932" i="42"/>
  <c r="U933" i="42"/>
  <c r="U934" i="42"/>
  <c r="U935" i="42"/>
  <c r="U936" i="42"/>
  <c r="U937" i="42"/>
  <c r="U938" i="42"/>
  <c r="U939" i="42"/>
  <c r="U940" i="42"/>
  <c r="U941" i="42"/>
  <c r="U942" i="42"/>
  <c r="U943" i="42"/>
  <c r="U944" i="42"/>
  <c r="U945" i="42"/>
  <c r="U946" i="42"/>
  <c r="U947" i="42"/>
  <c r="U948" i="42"/>
  <c r="U949" i="42"/>
  <c r="U950" i="42"/>
  <c r="U951" i="42"/>
  <c r="U952" i="42"/>
  <c r="U953" i="42"/>
  <c r="U954" i="42"/>
  <c r="U955" i="42"/>
  <c r="U956" i="42"/>
  <c r="U957" i="42"/>
  <c r="U958" i="42"/>
  <c r="U959" i="42"/>
  <c r="U960" i="42"/>
  <c r="U961" i="42"/>
  <c r="U962" i="42"/>
  <c r="U963" i="42"/>
  <c r="U964" i="42"/>
  <c r="U965" i="42"/>
  <c r="U966" i="42"/>
  <c r="U967" i="42"/>
  <c r="U968" i="42"/>
  <c r="U969" i="42"/>
  <c r="U970" i="42"/>
  <c r="U971" i="42"/>
  <c r="U972" i="42"/>
  <c r="U973" i="42"/>
  <c r="U974" i="42"/>
  <c r="U975" i="42"/>
  <c r="U976" i="42"/>
  <c r="U977" i="42"/>
  <c r="U978" i="42"/>
  <c r="U979" i="42"/>
  <c r="U980" i="42"/>
  <c r="U981" i="42"/>
  <c r="U982" i="42"/>
  <c r="U983" i="42"/>
  <c r="U984" i="42"/>
  <c r="U985" i="42"/>
  <c r="U986" i="42"/>
  <c r="U987" i="42"/>
  <c r="U988" i="42"/>
  <c r="U989" i="42"/>
  <c r="U990" i="42"/>
  <c r="U991" i="42"/>
  <c r="U992" i="42"/>
  <c r="U993" i="42"/>
  <c r="U994" i="42"/>
  <c r="U995" i="42"/>
  <c r="U996" i="42"/>
  <c r="U997" i="42"/>
  <c r="U998" i="42"/>
  <c r="U999" i="42"/>
  <c r="U1000" i="42"/>
  <c r="U1001" i="42"/>
  <c r="U1002" i="42"/>
  <c r="U1003" i="42"/>
  <c r="U1004" i="42"/>
  <c r="U1005" i="42"/>
  <c r="U1006" i="42"/>
  <c r="U1007" i="42"/>
  <c r="U1008" i="42"/>
  <c r="U1009" i="42"/>
  <c r="U1010" i="42"/>
  <c r="U1011" i="42"/>
  <c r="U1012" i="42"/>
  <c r="U13" i="42"/>
  <c r="T14" i="42"/>
  <c r="T15" i="42"/>
  <c r="T16" i="42"/>
  <c r="T17" i="42"/>
  <c r="T18" i="42"/>
  <c r="T19" i="42"/>
  <c r="T20" i="42"/>
  <c r="T21" i="42"/>
  <c r="T22" i="42"/>
  <c r="T23" i="42"/>
  <c r="T24" i="42"/>
  <c r="T25" i="42"/>
  <c r="T26" i="42"/>
  <c r="T27" i="42"/>
  <c r="T28" i="42"/>
  <c r="T29" i="42"/>
  <c r="T30" i="42"/>
  <c r="T31" i="42"/>
  <c r="T32" i="42"/>
  <c r="T33" i="42"/>
  <c r="T34" i="42"/>
  <c r="T35" i="42"/>
  <c r="T36" i="42"/>
  <c r="T37" i="42"/>
  <c r="T38" i="42"/>
  <c r="T39" i="42"/>
  <c r="T40" i="42"/>
  <c r="T41" i="42"/>
  <c r="T42" i="42"/>
  <c r="T43" i="42"/>
  <c r="T44" i="42"/>
  <c r="T45" i="42"/>
  <c r="T46" i="42"/>
  <c r="T47" i="42"/>
  <c r="T48" i="42"/>
  <c r="T49" i="42"/>
  <c r="T50" i="42"/>
  <c r="T51" i="42"/>
  <c r="T52" i="42"/>
  <c r="T53" i="42"/>
  <c r="T54" i="42"/>
  <c r="T55" i="42"/>
  <c r="T56" i="42"/>
  <c r="T57" i="42"/>
  <c r="T58" i="42"/>
  <c r="T59" i="42"/>
  <c r="T60" i="42"/>
  <c r="T61" i="42"/>
  <c r="T62" i="42"/>
  <c r="T63" i="42"/>
  <c r="T64" i="42"/>
  <c r="T65" i="42"/>
  <c r="T66" i="42"/>
  <c r="T67" i="42"/>
  <c r="T68" i="42"/>
  <c r="T69" i="42"/>
  <c r="T70" i="42"/>
  <c r="T71" i="42"/>
  <c r="T72" i="42"/>
  <c r="T73" i="42"/>
  <c r="T74" i="42"/>
  <c r="T75" i="42"/>
  <c r="T76" i="42"/>
  <c r="T77" i="42"/>
  <c r="T78" i="42"/>
  <c r="T79" i="42"/>
  <c r="T80" i="42"/>
  <c r="T81" i="42"/>
  <c r="T82" i="42"/>
  <c r="T83" i="42"/>
  <c r="T84" i="42"/>
  <c r="T85" i="42"/>
  <c r="T86" i="42"/>
  <c r="T87" i="42"/>
  <c r="T88" i="42"/>
  <c r="T89" i="42"/>
  <c r="T90" i="42"/>
  <c r="T91" i="42"/>
  <c r="T92" i="42"/>
  <c r="T93" i="42"/>
  <c r="T94" i="42"/>
  <c r="T95" i="42"/>
  <c r="T96" i="42"/>
  <c r="T97" i="42"/>
  <c r="T98" i="42"/>
  <c r="T99" i="42"/>
  <c r="T100" i="42"/>
  <c r="T101" i="42"/>
  <c r="T102" i="42"/>
  <c r="T103" i="42"/>
  <c r="T104" i="42"/>
  <c r="T105" i="42"/>
  <c r="T106" i="42"/>
  <c r="T107" i="42"/>
  <c r="T108" i="42"/>
  <c r="T109" i="42"/>
  <c r="T110" i="42"/>
  <c r="T111" i="42"/>
  <c r="T112" i="42"/>
  <c r="T113" i="42"/>
  <c r="T114" i="42"/>
  <c r="T115" i="42"/>
  <c r="T116" i="42"/>
  <c r="T117" i="42"/>
  <c r="T118" i="42"/>
  <c r="T119" i="42"/>
  <c r="T120" i="42"/>
  <c r="T121" i="42"/>
  <c r="T122" i="42"/>
  <c r="T123" i="42"/>
  <c r="T124" i="42"/>
  <c r="T125" i="42"/>
  <c r="T126" i="42"/>
  <c r="T127" i="42"/>
  <c r="T128" i="42"/>
  <c r="T129" i="42"/>
  <c r="T130" i="42"/>
  <c r="T131" i="42"/>
  <c r="T132" i="42"/>
  <c r="T133" i="42"/>
  <c r="T134" i="42"/>
  <c r="T135" i="42"/>
  <c r="T136" i="42"/>
  <c r="T137" i="42"/>
  <c r="T138" i="42"/>
  <c r="T139" i="42"/>
  <c r="T140" i="42"/>
  <c r="T141" i="42"/>
  <c r="T142" i="42"/>
  <c r="T143" i="42"/>
  <c r="T144" i="42"/>
  <c r="T145" i="42"/>
  <c r="T146" i="42"/>
  <c r="T147" i="42"/>
  <c r="T148" i="42"/>
  <c r="T149" i="42"/>
  <c r="T150" i="42"/>
  <c r="T151" i="42"/>
  <c r="T152" i="42"/>
  <c r="T153" i="42"/>
  <c r="T154" i="42"/>
  <c r="T155" i="42"/>
  <c r="T156" i="42"/>
  <c r="T157" i="42"/>
  <c r="T158" i="42"/>
  <c r="T159" i="42"/>
  <c r="T160" i="42"/>
  <c r="T161" i="42"/>
  <c r="T162" i="42"/>
  <c r="T163" i="42"/>
  <c r="T164" i="42"/>
  <c r="T165" i="42"/>
  <c r="T166" i="42"/>
  <c r="T167" i="42"/>
  <c r="T168" i="42"/>
  <c r="T169" i="42"/>
  <c r="T170" i="42"/>
  <c r="T171" i="42"/>
  <c r="T172" i="42"/>
  <c r="T173" i="42"/>
  <c r="T174" i="42"/>
  <c r="T175" i="42"/>
  <c r="T176" i="42"/>
  <c r="T177" i="42"/>
  <c r="T178" i="42"/>
  <c r="T179" i="42"/>
  <c r="T180" i="42"/>
  <c r="T181" i="42"/>
  <c r="T182" i="42"/>
  <c r="T183" i="42"/>
  <c r="T184" i="42"/>
  <c r="T185" i="42"/>
  <c r="T186" i="42"/>
  <c r="T187" i="42"/>
  <c r="T188" i="42"/>
  <c r="T189" i="42"/>
  <c r="T190" i="42"/>
  <c r="T191" i="42"/>
  <c r="T192" i="42"/>
  <c r="T193" i="42"/>
  <c r="T194" i="42"/>
  <c r="T195" i="42"/>
  <c r="T196" i="42"/>
  <c r="T197" i="42"/>
  <c r="T198" i="42"/>
  <c r="T199" i="42"/>
  <c r="T200" i="42"/>
  <c r="T201" i="42"/>
  <c r="T202" i="42"/>
  <c r="T203" i="42"/>
  <c r="T204" i="42"/>
  <c r="T205" i="42"/>
  <c r="T206" i="42"/>
  <c r="T207" i="42"/>
  <c r="T208" i="42"/>
  <c r="T209" i="42"/>
  <c r="T210" i="42"/>
  <c r="T211" i="42"/>
  <c r="T212" i="42"/>
  <c r="T213" i="42"/>
  <c r="T214" i="42"/>
  <c r="T215" i="42"/>
  <c r="T216" i="42"/>
  <c r="T217" i="42"/>
  <c r="T218" i="42"/>
  <c r="T219" i="42"/>
  <c r="T220" i="42"/>
  <c r="T221" i="42"/>
  <c r="T222" i="42"/>
  <c r="T223" i="42"/>
  <c r="T224" i="42"/>
  <c r="T225" i="42"/>
  <c r="T226" i="42"/>
  <c r="T227" i="42"/>
  <c r="T228" i="42"/>
  <c r="T229" i="42"/>
  <c r="T230" i="42"/>
  <c r="T231" i="42"/>
  <c r="T232" i="42"/>
  <c r="T233" i="42"/>
  <c r="T234" i="42"/>
  <c r="T235" i="42"/>
  <c r="T236" i="42"/>
  <c r="T237" i="42"/>
  <c r="T238" i="42"/>
  <c r="T239" i="42"/>
  <c r="T240" i="42"/>
  <c r="T241" i="42"/>
  <c r="T242" i="42"/>
  <c r="T243" i="42"/>
  <c r="T244" i="42"/>
  <c r="T245" i="42"/>
  <c r="T246" i="42"/>
  <c r="T247" i="42"/>
  <c r="T248" i="42"/>
  <c r="T249" i="42"/>
  <c r="T250" i="42"/>
  <c r="T251" i="42"/>
  <c r="T252" i="42"/>
  <c r="T253" i="42"/>
  <c r="T254" i="42"/>
  <c r="T255" i="42"/>
  <c r="T256" i="42"/>
  <c r="T257" i="42"/>
  <c r="T258" i="42"/>
  <c r="T259" i="42"/>
  <c r="T260" i="42"/>
  <c r="T261" i="42"/>
  <c r="T262" i="42"/>
  <c r="T263" i="42"/>
  <c r="T264" i="42"/>
  <c r="T265" i="42"/>
  <c r="T266" i="42"/>
  <c r="T267" i="42"/>
  <c r="T268" i="42"/>
  <c r="T269" i="42"/>
  <c r="T270" i="42"/>
  <c r="T271" i="42"/>
  <c r="T272" i="42"/>
  <c r="T273" i="42"/>
  <c r="T274" i="42"/>
  <c r="T275" i="42"/>
  <c r="T276" i="42"/>
  <c r="T277" i="42"/>
  <c r="T278" i="42"/>
  <c r="T279" i="42"/>
  <c r="T280" i="42"/>
  <c r="T281" i="42"/>
  <c r="T282" i="42"/>
  <c r="T283" i="42"/>
  <c r="T284" i="42"/>
  <c r="T285" i="42"/>
  <c r="T286" i="42"/>
  <c r="T287" i="42"/>
  <c r="T288" i="42"/>
  <c r="T289" i="42"/>
  <c r="T290" i="42"/>
  <c r="T291" i="42"/>
  <c r="T292" i="42"/>
  <c r="T293" i="42"/>
  <c r="T294" i="42"/>
  <c r="T295" i="42"/>
  <c r="T296" i="42"/>
  <c r="T297" i="42"/>
  <c r="T298" i="42"/>
  <c r="T299" i="42"/>
  <c r="T300" i="42"/>
  <c r="T301" i="42"/>
  <c r="T302" i="42"/>
  <c r="T303" i="42"/>
  <c r="T304" i="42"/>
  <c r="T305" i="42"/>
  <c r="T306" i="42"/>
  <c r="T307" i="42"/>
  <c r="T308" i="42"/>
  <c r="T309" i="42"/>
  <c r="T310" i="42"/>
  <c r="T311" i="42"/>
  <c r="T312" i="42"/>
  <c r="T313" i="42"/>
  <c r="T314" i="42"/>
  <c r="T315" i="42"/>
  <c r="T316" i="42"/>
  <c r="T317" i="42"/>
  <c r="T318" i="42"/>
  <c r="T319" i="42"/>
  <c r="T320" i="42"/>
  <c r="T321" i="42"/>
  <c r="T322" i="42"/>
  <c r="T323" i="42"/>
  <c r="T324" i="42"/>
  <c r="T325" i="42"/>
  <c r="T326" i="42"/>
  <c r="T327" i="42"/>
  <c r="T328" i="42"/>
  <c r="T329" i="42"/>
  <c r="T330" i="42"/>
  <c r="T331" i="42"/>
  <c r="T332" i="42"/>
  <c r="T333" i="42"/>
  <c r="T334" i="42"/>
  <c r="T335" i="42"/>
  <c r="T336" i="42"/>
  <c r="T337" i="42"/>
  <c r="T338" i="42"/>
  <c r="T339" i="42"/>
  <c r="T340" i="42"/>
  <c r="T341" i="42"/>
  <c r="T342" i="42"/>
  <c r="T343" i="42"/>
  <c r="T344" i="42"/>
  <c r="T345" i="42"/>
  <c r="T346" i="42"/>
  <c r="T347" i="42"/>
  <c r="T348" i="42"/>
  <c r="T349" i="42"/>
  <c r="T350" i="42"/>
  <c r="T351" i="42"/>
  <c r="T352" i="42"/>
  <c r="T353" i="42"/>
  <c r="T354" i="42"/>
  <c r="T355" i="42"/>
  <c r="T356" i="42"/>
  <c r="T357" i="42"/>
  <c r="T358" i="42"/>
  <c r="T359" i="42"/>
  <c r="T360" i="42"/>
  <c r="T361" i="42"/>
  <c r="T362" i="42"/>
  <c r="T363" i="42"/>
  <c r="T364" i="42"/>
  <c r="T365" i="42"/>
  <c r="T366" i="42"/>
  <c r="T367" i="42"/>
  <c r="T368" i="42"/>
  <c r="T369" i="42"/>
  <c r="T370" i="42"/>
  <c r="T371" i="42"/>
  <c r="T372" i="42"/>
  <c r="T373" i="42"/>
  <c r="T374" i="42"/>
  <c r="T375" i="42"/>
  <c r="T376" i="42"/>
  <c r="T377" i="42"/>
  <c r="T378" i="42"/>
  <c r="T379" i="42"/>
  <c r="T380" i="42"/>
  <c r="T381" i="42"/>
  <c r="T382" i="42"/>
  <c r="T383" i="42"/>
  <c r="T384" i="42"/>
  <c r="T385" i="42"/>
  <c r="T386" i="42"/>
  <c r="T387" i="42"/>
  <c r="T388" i="42"/>
  <c r="T389" i="42"/>
  <c r="T390" i="42"/>
  <c r="T391" i="42"/>
  <c r="T392" i="42"/>
  <c r="T393" i="42"/>
  <c r="T394" i="42"/>
  <c r="T395" i="42"/>
  <c r="T396" i="42"/>
  <c r="T397" i="42"/>
  <c r="T398" i="42"/>
  <c r="T399" i="42"/>
  <c r="T400" i="42"/>
  <c r="T401" i="42"/>
  <c r="T402" i="42"/>
  <c r="T403" i="42"/>
  <c r="T404" i="42"/>
  <c r="T405" i="42"/>
  <c r="T406" i="42"/>
  <c r="T407" i="42"/>
  <c r="T408" i="42"/>
  <c r="T409" i="42"/>
  <c r="T410" i="42"/>
  <c r="T411" i="42"/>
  <c r="T412" i="42"/>
  <c r="T413" i="42"/>
  <c r="T414" i="42"/>
  <c r="T415" i="42"/>
  <c r="T416" i="42"/>
  <c r="T417" i="42"/>
  <c r="T418" i="42"/>
  <c r="T419" i="42"/>
  <c r="T420" i="42"/>
  <c r="T421" i="42"/>
  <c r="T422" i="42"/>
  <c r="T423" i="42"/>
  <c r="T424" i="42"/>
  <c r="T425" i="42"/>
  <c r="T426" i="42"/>
  <c r="T427" i="42"/>
  <c r="T428" i="42"/>
  <c r="T429" i="42"/>
  <c r="T430" i="42"/>
  <c r="T431" i="42"/>
  <c r="T432" i="42"/>
  <c r="T433" i="42"/>
  <c r="T434" i="42"/>
  <c r="T435" i="42"/>
  <c r="T436" i="42"/>
  <c r="T437" i="42"/>
  <c r="T438" i="42"/>
  <c r="T439" i="42"/>
  <c r="T440" i="42"/>
  <c r="T441" i="42"/>
  <c r="T442" i="42"/>
  <c r="T443" i="42"/>
  <c r="T444" i="42"/>
  <c r="T445" i="42"/>
  <c r="T446" i="42"/>
  <c r="T447" i="42"/>
  <c r="T448" i="42"/>
  <c r="T449" i="42"/>
  <c r="T450" i="42"/>
  <c r="T451" i="42"/>
  <c r="T452" i="42"/>
  <c r="T453" i="42"/>
  <c r="T454" i="42"/>
  <c r="T455" i="42"/>
  <c r="T456" i="42"/>
  <c r="T457" i="42"/>
  <c r="T458" i="42"/>
  <c r="T459" i="42"/>
  <c r="T460" i="42"/>
  <c r="T461" i="42"/>
  <c r="T462" i="42"/>
  <c r="T463" i="42"/>
  <c r="T464" i="42"/>
  <c r="T465" i="42"/>
  <c r="T466" i="42"/>
  <c r="T467" i="42"/>
  <c r="T468" i="42"/>
  <c r="T469" i="42"/>
  <c r="T470" i="42"/>
  <c r="T471" i="42"/>
  <c r="T472" i="42"/>
  <c r="T473" i="42"/>
  <c r="T474" i="42"/>
  <c r="T475" i="42"/>
  <c r="T476" i="42"/>
  <c r="T477" i="42"/>
  <c r="T478" i="42"/>
  <c r="T479" i="42"/>
  <c r="T480" i="42"/>
  <c r="T481" i="42"/>
  <c r="T482" i="42"/>
  <c r="T483" i="42"/>
  <c r="T484" i="42"/>
  <c r="T485" i="42"/>
  <c r="T486" i="42"/>
  <c r="T487" i="42"/>
  <c r="T488" i="42"/>
  <c r="T489" i="42"/>
  <c r="T490" i="42"/>
  <c r="T491" i="42"/>
  <c r="T492" i="42"/>
  <c r="T493" i="42"/>
  <c r="T494" i="42"/>
  <c r="T495" i="42"/>
  <c r="T496" i="42"/>
  <c r="T497" i="42"/>
  <c r="T498" i="42"/>
  <c r="T499" i="42"/>
  <c r="T500" i="42"/>
  <c r="T501" i="42"/>
  <c r="T502" i="42"/>
  <c r="T503" i="42"/>
  <c r="T504" i="42"/>
  <c r="T505" i="42"/>
  <c r="T506" i="42"/>
  <c r="T507" i="42"/>
  <c r="T508" i="42"/>
  <c r="T509" i="42"/>
  <c r="T510" i="42"/>
  <c r="T511" i="42"/>
  <c r="T512" i="42"/>
  <c r="T513" i="42"/>
  <c r="T514" i="42"/>
  <c r="T515" i="42"/>
  <c r="T516" i="42"/>
  <c r="T517" i="42"/>
  <c r="T518" i="42"/>
  <c r="T519" i="42"/>
  <c r="T520" i="42"/>
  <c r="T521" i="42"/>
  <c r="T522" i="42"/>
  <c r="T523" i="42"/>
  <c r="T524" i="42"/>
  <c r="T525" i="42"/>
  <c r="T526" i="42"/>
  <c r="T527" i="42"/>
  <c r="T528" i="42"/>
  <c r="T529" i="42"/>
  <c r="T530" i="42"/>
  <c r="T531" i="42"/>
  <c r="T532" i="42"/>
  <c r="T533" i="42"/>
  <c r="T534" i="42"/>
  <c r="T535" i="42"/>
  <c r="T536" i="42"/>
  <c r="T537" i="42"/>
  <c r="T538" i="42"/>
  <c r="T539" i="42"/>
  <c r="T540" i="42"/>
  <c r="T541" i="42"/>
  <c r="T542" i="42"/>
  <c r="T543" i="42"/>
  <c r="T544" i="42"/>
  <c r="T545" i="42"/>
  <c r="T546" i="42"/>
  <c r="T547" i="42"/>
  <c r="T548" i="42"/>
  <c r="T549" i="42"/>
  <c r="T550" i="42"/>
  <c r="T551" i="42"/>
  <c r="T552" i="42"/>
  <c r="T553" i="42"/>
  <c r="T554" i="42"/>
  <c r="T555" i="42"/>
  <c r="T556" i="42"/>
  <c r="T557" i="42"/>
  <c r="T558" i="42"/>
  <c r="T559" i="42"/>
  <c r="T560" i="42"/>
  <c r="T561" i="42"/>
  <c r="T562" i="42"/>
  <c r="T563" i="42"/>
  <c r="T564" i="42"/>
  <c r="T565" i="42"/>
  <c r="T566" i="42"/>
  <c r="T567" i="42"/>
  <c r="T568" i="42"/>
  <c r="T569" i="42"/>
  <c r="T570" i="42"/>
  <c r="T571" i="42"/>
  <c r="T572" i="42"/>
  <c r="T573" i="42"/>
  <c r="T574" i="42"/>
  <c r="T575" i="42"/>
  <c r="T576" i="42"/>
  <c r="T577" i="42"/>
  <c r="T578" i="42"/>
  <c r="T579" i="42"/>
  <c r="T580" i="42"/>
  <c r="T581" i="42"/>
  <c r="T582" i="42"/>
  <c r="T583" i="42"/>
  <c r="T584" i="42"/>
  <c r="T585" i="42"/>
  <c r="T586" i="42"/>
  <c r="T587" i="42"/>
  <c r="T588" i="42"/>
  <c r="T589" i="42"/>
  <c r="T590" i="42"/>
  <c r="T591" i="42"/>
  <c r="T592" i="42"/>
  <c r="T593" i="42"/>
  <c r="T594" i="42"/>
  <c r="T595" i="42"/>
  <c r="T596" i="42"/>
  <c r="T597" i="42"/>
  <c r="T598" i="42"/>
  <c r="T599" i="42"/>
  <c r="T600" i="42"/>
  <c r="T601" i="42"/>
  <c r="T602" i="42"/>
  <c r="T603" i="42"/>
  <c r="T604" i="42"/>
  <c r="T605" i="42"/>
  <c r="T606" i="42"/>
  <c r="T607" i="42"/>
  <c r="T608" i="42"/>
  <c r="T609" i="42"/>
  <c r="T610" i="42"/>
  <c r="T611" i="42"/>
  <c r="T612" i="42"/>
  <c r="T613" i="42"/>
  <c r="T614" i="42"/>
  <c r="T615" i="42"/>
  <c r="T616" i="42"/>
  <c r="T617" i="42"/>
  <c r="T618" i="42"/>
  <c r="T619" i="42"/>
  <c r="T620" i="42"/>
  <c r="T621" i="42"/>
  <c r="T622" i="42"/>
  <c r="T623" i="42"/>
  <c r="T624" i="42"/>
  <c r="T625" i="42"/>
  <c r="T626" i="42"/>
  <c r="T627" i="42"/>
  <c r="T628" i="42"/>
  <c r="T629" i="42"/>
  <c r="T630" i="42"/>
  <c r="T631" i="42"/>
  <c r="T632" i="42"/>
  <c r="T633" i="42"/>
  <c r="T634" i="42"/>
  <c r="T635" i="42"/>
  <c r="T636" i="42"/>
  <c r="T637" i="42"/>
  <c r="T638" i="42"/>
  <c r="T639" i="42"/>
  <c r="T640" i="42"/>
  <c r="T641" i="42"/>
  <c r="T642" i="42"/>
  <c r="T643" i="42"/>
  <c r="T644" i="42"/>
  <c r="T645" i="42"/>
  <c r="T646" i="42"/>
  <c r="T647" i="42"/>
  <c r="T648" i="42"/>
  <c r="T649" i="42"/>
  <c r="T650" i="42"/>
  <c r="T651" i="42"/>
  <c r="T652" i="42"/>
  <c r="T653" i="42"/>
  <c r="T654" i="42"/>
  <c r="T655" i="42"/>
  <c r="T656" i="42"/>
  <c r="T657" i="42"/>
  <c r="T658" i="42"/>
  <c r="T659" i="42"/>
  <c r="T660" i="42"/>
  <c r="T661" i="42"/>
  <c r="T662" i="42"/>
  <c r="T663" i="42"/>
  <c r="T664" i="42"/>
  <c r="T665" i="42"/>
  <c r="T666" i="42"/>
  <c r="T667" i="42"/>
  <c r="T668" i="42"/>
  <c r="T669" i="42"/>
  <c r="T670" i="42"/>
  <c r="T671" i="42"/>
  <c r="T672" i="42"/>
  <c r="T673" i="42"/>
  <c r="T674" i="42"/>
  <c r="T675" i="42"/>
  <c r="T676" i="42"/>
  <c r="T677" i="42"/>
  <c r="T678" i="42"/>
  <c r="T679" i="42"/>
  <c r="T680" i="42"/>
  <c r="T681" i="42"/>
  <c r="T682" i="42"/>
  <c r="T683" i="42"/>
  <c r="T684" i="42"/>
  <c r="T685" i="42"/>
  <c r="T686" i="42"/>
  <c r="T687" i="42"/>
  <c r="T688" i="42"/>
  <c r="T689" i="42"/>
  <c r="T690" i="42"/>
  <c r="T691" i="42"/>
  <c r="T692" i="42"/>
  <c r="T693" i="42"/>
  <c r="T694" i="42"/>
  <c r="T695" i="42"/>
  <c r="T696" i="42"/>
  <c r="T697" i="42"/>
  <c r="T698" i="42"/>
  <c r="T699" i="42"/>
  <c r="T700" i="42"/>
  <c r="T701" i="42"/>
  <c r="T702" i="42"/>
  <c r="T703" i="42"/>
  <c r="T704" i="42"/>
  <c r="T705" i="42"/>
  <c r="T706" i="42"/>
  <c r="T707" i="42"/>
  <c r="T708" i="42"/>
  <c r="T709" i="42"/>
  <c r="T710" i="42"/>
  <c r="T711" i="42"/>
  <c r="T712" i="42"/>
  <c r="T713" i="42"/>
  <c r="T714" i="42"/>
  <c r="T715" i="42"/>
  <c r="T716" i="42"/>
  <c r="T717" i="42"/>
  <c r="T718" i="42"/>
  <c r="T719" i="42"/>
  <c r="T720" i="42"/>
  <c r="T721" i="42"/>
  <c r="T722" i="42"/>
  <c r="T723" i="42"/>
  <c r="T724" i="42"/>
  <c r="T725" i="42"/>
  <c r="T726" i="42"/>
  <c r="T727" i="42"/>
  <c r="T728" i="42"/>
  <c r="T729" i="42"/>
  <c r="T730" i="42"/>
  <c r="T731" i="42"/>
  <c r="T732" i="42"/>
  <c r="T733" i="42"/>
  <c r="T734" i="42"/>
  <c r="T735" i="42"/>
  <c r="T736" i="42"/>
  <c r="T737" i="42"/>
  <c r="T738" i="42"/>
  <c r="T739" i="42"/>
  <c r="T740" i="42"/>
  <c r="T741" i="42"/>
  <c r="T742" i="42"/>
  <c r="T743" i="42"/>
  <c r="T744" i="42"/>
  <c r="T745" i="42"/>
  <c r="T746" i="42"/>
  <c r="T747" i="42"/>
  <c r="T748" i="42"/>
  <c r="T749" i="42"/>
  <c r="T750" i="42"/>
  <c r="T751" i="42"/>
  <c r="T752" i="42"/>
  <c r="T753" i="42"/>
  <c r="T754" i="42"/>
  <c r="T755" i="42"/>
  <c r="T756" i="42"/>
  <c r="T757" i="42"/>
  <c r="T758" i="42"/>
  <c r="T759" i="42"/>
  <c r="T760" i="42"/>
  <c r="T761" i="42"/>
  <c r="T762" i="42"/>
  <c r="T763" i="42"/>
  <c r="T764" i="42"/>
  <c r="T765" i="42"/>
  <c r="T766" i="42"/>
  <c r="T767" i="42"/>
  <c r="T768" i="42"/>
  <c r="T769" i="42"/>
  <c r="T770" i="42"/>
  <c r="T771" i="42"/>
  <c r="T772" i="42"/>
  <c r="T773" i="42"/>
  <c r="T774" i="42"/>
  <c r="T775" i="42"/>
  <c r="T776" i="42"/>
  <c r="T777" i="42"/>
  <c r="T778" i="42"/>
  <c r="T779" i="42"/>
  <c r="T780" i="42"/>
  <c r="T781" i="42"/>
  <c r="T782" i="42"/>
  <c r="T783" i="42"/>
  <c r="T784" i="42"/>
  <c r="T785" i="42"/>
  <c r="T786" i="42"/>
  <c r="T787" i="42"/>
  <c r="T788" i="42"/>
  <c r="T789" i="42"/>
  <c r="T790" i="42"/>
  <c r="T791" i="42"/>
  <c r="T792" i="42"/>
  <c r="T793" i="42"/>
  <c r="T794" i="42"/>
  <c r="T795" i="42"/>
  <c r="T796" i="42"/>
  <c r="T797" i="42"/>
  <c r="T798" i="42"/>
  <c r="T799" i="42"/>
  <c r="T800" i="42"/>
  <c r="T801" i="42"/>
  <c r="T802" i="42"/>
  <c r="T803" i="42"/>
  <c r="T804" i="42"/>
  <c r="T805" i="42"/>
  <c r="T806" i="42"/>
  <c r="T807" i="42"/>
  <c r="T808" i="42"/>
  <c r="T809" i="42"/>
  <c r="T810" i="42"/>
  <c r="T811" i="42"/>
  <c r="T812" i="42"/>
  <c r="T813" i="42"/>
  <c r="T814" i="42"/>
  <c r="T815" i="42"/>
  <c r="T816" i="42"/>
  <c r="T817" i="42"/>
  <c r="T818" i="42"/>
  <c r="T819" i="42"/>
  <c r="T820" i="42"/>
  <c r="T821" i="42"/>
  <c r="T822" i="42"/>
  <c r="T823" i="42"/>
  <c r="T824" i="42"/>
  <c r="T825" i="42"/>
  <c r="T826" i="42"/>
  <c r="T827" i="42"/>
  <c r="T828" i="42"/>
  <c r="T829" i="42"/>
  <c r="T830" i="42"/>
  <c r="T831" i="42"/>
  <c r="T832" i="42"/>
  <c r="T833" i="42"/>
  <c r="T834" i="42"/>
  <c r="T835" i="42"/>
  <c r="T836" i="42"/>
  <c r="T837" i="42"/>
  <c r="T838" i="42"/>
  <c r="T839" i="42"/>
  <c r="T840" i="42"/>
  <c r="T841" i="42"/>
  <c r="T842" i="42"/>
  <c r="T843" i="42"/>
  <c r="T844" i="42"/>
  <c r="T845" i="42"/>
  <c r="T846" i="42"/>
  <c r="T847" i="42"/>
  <c r="T848" i="42"/>
  <c r="T849" i="42"/>
  <c r="T850" i="42"/>
  <c r="T851" i="42"/>
  <c r="T852" i="42"/>
  <c r="T853" i="42"/>
  <c r="T854" i="42"/>
  <c r="T855" i="42"/>
  <c r="T856" i="42"/>
  <c r="T857" i="42"/>
  <c r="T858" i="42"/>
  <c r="T859" i="42"/>
  <c r="T860" i="42"/>
  <c r="T861" i="42"/>
  <c r="T862" i="42"/>
  <c r="T863" i="42"/>
  <c r="T864" i="42"/>
  <c r="T865" i="42"/>
  <c r="T866" i="42"/>
  <c r="T867" i="42"/>
  <c r="T868" i="42"/>
  <c r="T869" i="42"/>
  <c r="T870" i="42"/>
  <c r="T871" i="42"/>
  <c r="T872" i="42"/>
  <c r="T873" i="42"/>
  <c r="T874" i="42"/>
  <c r="T875" i="42"/>
  <c r="T876" i="42"/>
  <c r="T877" i="42"/>
  <c r="T878" i="42"/>
  <c r="T879" i="42"/>
  <c r="T880" i="42"/>
  <c r="T881" i="42"/>
  <c r="T882" i="42"/>
  <c r="T883" i="42"/>
  <c r="T884" i="42"/>
  <c r="T885" i="42"/>
  <c r="T886" i="42"/>
  <c r="T887" i="42"/>
  <c r="T888" i="42"/>
  <c r="T889" i="42"/>
  <c r="T890" i="42"/>
  <c r="T891" i="42"/>
  <c r="T892" i="42"/>
  <c r="T893" i="42"/>
  <c r="T894" i="42"/>
  <c r="T895" i="42"/>
  <c r="T896" i="42"/>
  <c r="T897" i="42"/>
  <c r="T898" i="42"/>
  <c r="T899" i="42"/>
  <c r="T900" i="42"/>
  <c r="T901" i="42"/>
  <c r="T902" i="42"/>
  <c r="T903" i="42"/>
  <c r="T904" i="42"/>
  <c r="T905" i="42"/>
  <c r="T906" i="42"/>
  <c r="T907" i="42"/>
  <c r="T908" i="42"/>
  <c r="T909" i="42"/>
  <c r="T910" i="42"/>
  <c r="T911" i="42"/>
  <c r="T912" i="42"/>
  <c r="T913" i="42"/>
  <c r="T914" i="42"/>
  <c r="T915" i="42"/>
  <c r="T916" i="42"/>
  <c r="T917" i="42"/>
  <c r="T918" i="42"/>
  <c r="T919" i="42"/>
  <c r="T920" i="42"/>
  <c r="T921" i="42"/>
  <c r="T922" i="42"/>
  <c r="T923" i="42"/>
  <c r="T924" i="42"/>
  <c r="T925" i="42"/>
  <c r="T926" i="42"/>
  <c r="T927" i="42"/>
  <c r="T928" i="42"/>
  <c r="T929" i="42"/>
  <c r="T930" i="42"/>
  <c r="T931" i="42"/>
  <c r="T932" i="42"/>
  <c r="T933" i="42"/>
  <c r="T934" i="42"/>
  <c r="T935" i="42"/>
  <c r="T936" i="42"/>
  <c r="T937" i="42"/>
  <c r="T938" i="42"/>
  <c r="T939" i="42"/>
  <c r="T940" i="42"/>
  <c r="T941" i="42"/>
  <c r="T942" i="42"/>
  <c r="T943" i="42"/>
  <c r="T944" i="42"/>
  <c r="T945" i="42"/>
  <c r="T946" i="42"/>
  <c r="T947" i="42"/>
  <c r="T948" i="42"/>
  <c r="T949" i="42"/>
  <c r="T950" i="42"/>
  <c r="T951" i="42"/>
  <c r="T952" i="42"/>
  <c r="T953" i="42"/>
  <c r="T954" i="42"/>
  <c r="T955" i="42"/>
  <c r="T956" i="42"/>
  <c r="T957" i="42"/>
  <c r="T958" i="42"/>
  <c r="T959" i="42"/>
  <c r="T960" i="42"/>
  <c r="T961" i="42"/>
  <c r="T962" i="42"/>
  <c r="T963" i="42"/>
  <c r="T964" i="42"/>
  <c r="T965" i="42"/>
  <c r="T966" i="42"/>
  <c r="T967" i="42"/>
  <c r="T968" i="42"/>
  <c r="T969" i="42"/>
  <c r="T970" i="42"/>
  <c r="T971" i="42"/>
  <c r="T972" i="42"/>
  <c r="T973" i="42"/>
  <c r="T974" i="42"/>
  <c r="T975" i="42"/>
  <c r="T976" i="42"/>
  <c r="T977" i="42"/>
  <c r="T978" i="42"/>
  <c r="T979" i="42"/>
  <c r="T980" i="42"/>
  <c r="T981" i="42"/>
  <c r="T982" i="42"/>
  <c r="T983" i="42"/>
  <c r="T984" i="42"/>
  <c r="T985" i="42"/>
  <c r="T986" i="42"/>
  <c r="T987" i="42"/>
  <c r="T988" i="42"/>
  <c r="T989" i="42"/>
  <c r="T990" i="42"/>
  <c r="T991" i="42"/>
  <c r="T992" i="42"/>
  <c r="T993" i="42"/>
  <c r="T994" i="42"/>
  <c r="T995" i="42"/>
  <c r="T996" i="42"/>
  <c r="T997" i="42"/>
  <c r="T998" i="42"/>
  <c r="T999" i="42"/>
  <c r="T1000" i="42"/>
  <c r="T1001" i="42"/>
  <c r="T1002" i="42"/>
  <c r="T1003" i="42"/>
  <c r="T1004" i="42"/>
  <c r="T1005" i="42"/>
  <c r="T1006" i="42"/>
  <c r="T1007" i="42"/>
  <c r="T1008" i="42"/>
  <c r="T1009" i="42"/>
  <c r="T1010" i="42"/>
  <c r="T1011" i="42"/>
  <c r="T1012" i="42"/>
  <c r="T13" i="42"/>
  <c r="Z2" i="42"/>
  <c r="V13" i="42" s="1"/>
  <c r="X13" i="42" s="1"/>
  <c r="A9" i="40"/>
  <c r="A9" i="39"/>
  <c r="J9" i="12"/>
  <c r="G9" i="12"/>
  <c r="D9" i="12"/>
  <c r="A9" i="12"/>
  <c r="I13" i="8"/>
  <c r="I14" i="8"/>
  <c r="G13" i="8"/>
  <c r="G14" i="8"/>
  <c r="F13" i="8"/>
  <c r="F14" i="8"/>
  <c r="E13" i="8"/>
  <c r="E14" i="8"/>
  <c r="C9" i="8"/>
  <c r="A9" i="8"/>
  <c r="M9" i="5"/>
  <c r="E9" i="5"/>
  <c r="A9" i="5"/>
  <c r="E9" i="21"/>
  <c r="C9" i="21"/>
  <c r="A9" i="21"/>
  <c r="H9" i="15"/>
  <c r="F9" i="15"/>
  <c r="C9" i="15"/>
  <c r="A9" i="15"/>
  <c r="Y513" i="2"/>
  <c r="T513" i="2"/>
  <c r="V513" i="2" s="1"/>
  <c r="S513" i="2"/>
  <c r="K513" i="2"/>
  <c r="J513" i="2"/>
  <c r="F513" i="2"/>
  <c r="Y512" i="2"/>
  <c r="T512" i="2"/>
  <c r="X512" i="2" s="1"/>
  <c r="S512" i="2"/>
  <c r="K512" i="2"/>
  <c r="J512" i="2"/>
  <c r="F512" i="2"/>
  <c r="Y511" i="2"/>
  <c r="T511" i="2"/>
  <c r="X511" i="2" s="1"/>
  <c r="S511" i="2"/>
  <c r="K511" i="2"/>
  <c r="J511" i="2"/>
  <c r="F511" i="2"/>
  <c r="Y510" i="2"/>
  <c r="T510" i="2"/>
  <c r="X510" i="2" s="1"/>
  <c r="S510" i="2"/>
  <c r="K510" i="2"/>
  <c r="J510" i="2"/>
  <c r="F510" i="2"/>
  <c r="Y509" i="2"/>
  <c r="T509" i="2"/>
  <c r="S509" i="2"/>
  <c r="K509" i="2"/>
  <c r="J509" i="2"/>
  <c r="F509" i="2"/>
  <c r="Y508" i="2"/>
  <c r="T508" i="2"/>
  <c r="X508" i="2" s="1"/>
  <c r="S508" i="2"/>
  <c r="K508" i="2"/>
  <c r="J508" i="2"/>
  <c r="F508" i="2"/>
  <c r="Y507" i="2"/>
  <c r="T507" i="2"/>
  <c r="X507" i="2" s="1"/>
  <c r="S507" i="2"/>
  <c r="K507" i="2"/>
  <c r="J507" i="2"/>
  <c r="F507" i="2"/>
  <c r="Y506" i="2"/>
  <c r="T506" i="2"/>
  <c r="U506" i="2" s="1"/>
  <c r="S506" i="2"/>
  <c r="K506" i="2"/>
  <c r="J506" i="2"/>
  <c r="F506" i="2"/>
  <c r="Y505" i="2"/>
  <c r="T505" i="2"/>
  <c r="V505" i="2" s="1"/>
  <c r="S505" i="2"/>
  <c r="K505" i="2"/>
  <c r="J505" i="2"/>
  <c r="F505" i="2"/>
  <c r="Y504" i="2"/>
  <c r="T504" i="2"/>
  <c r="X504" i="2" s="1"/>
  <c r="S504" i="2"/>
  <c r="K504" i="2"/>
  <c r="J504" i="2"/>
  <c r="F504" i="2"/>
  <c r="Y503" i="2"/>
  <c r="T503" i="2"/>
  <c r="U503" i="2" s="1"/>
  <c r="S503" i="2"/>
  <c r="K503" i="2"/>
  <c r="J503" i="2"/>
  <c r="F503" i="2"/>
  <c r="Y502" i="2"/>
  <c r="T502" i="2"/>
  <c r="U502" i="2" s="1"/>
  <c r="S502" i="2"/>
  <c r="K502" i="2"/>
  <c r="J502" i="2"/>
  <c r="F502" i="2"/>
  <c r="Y501" i="2"/>
  <c r="T501" i="2"/>
  <c r="V501" i="2" s="1"/>
  <c r="S501" i="2"/>
  <c r="K501" i="2"/>
  <c r="J501" i="2"/>
  <c r="F501" i="2"/>
  <c r="C9" i="33" l="1"/>
  <c r="M16" i="36"/>
  <c r="M15" i="36"/>
  <c r="M14" i="36"/>
  <c r="M13" i="36"/>
  <c r="U15" i="36"/>
  <c r="L16" i="36"/>
  <c r="L15" i="36"/>
  <c r="L14" i="36"/>
  <c r="L13" i="36"/>
  <c r="K15" i="36"/>
  <c r="U16" i="36"/>
  <c r="U14" i="36"/>
  <c r="U13" i="36"/>
  <c r="J15" i="36"/>
  <c r="K16" i="36"/>
  <c r="K14" i="36"/>
  <c r="K13" i="36"/>
  <c r="I15" i="36"/>
  <c r="J16" i="36"/>
  <c r="J14" i="36"/>
  <c r="J13" i="36"/>
  <c r="H15" i="36"/>
  <c r="I16" i="36"/>
  <c r="I14" i="36"/>
  <c r="I13" i="36"/>
  <c r="T15" i="36"/>
  <c r="H16" i="36"/>
  <c r="H14" i="36"/>
  <c r="H13" i="36"/>
  <c r="S15" i="36"/>
  <c r="T16" i="36"/>
  <c r="T14" i="36"/>
  <c r="T13" i="36"/>
  <c r="R13" i="36"/>
  <c r="S16" i="36"/>
  <c r="S14" i="36"/>
  <c r="S13" i="36"/>
  <c r="R16" i="36"/>
  <c r="R15" i="36"/>
  <c r="R14" i="36"/>
  <c r="G9" i="25"/>
  <c r="C9" i="25"/>
  <c r="E9" i="25"/>
  <c r="F13" i="25"/>
  <c r="H13" i="25" s="1"/>
  <c r="Y16" i="2"/>
  <c r="K16" i="2" s="1"/>
  <c r="Y15" i="2"/>
  <c r="K15" i="2" s="1"/>
  <c r="J15" i="2" s="1"/>
  <c r="Y14" i="2"/>
  <c r="K14" i="2" s="1"/>
  <c r="J14" i="2" s="1"/>
  <c r="Y13" i="2"/>
  <c r="K13" i="2" s="1"/>
  <c r="J13" i="2" s="1"/>
  <c r="W13" i="42" s="1"/>
  <c r="F16" i="2"/>
  <c r="F15" i="2"/>
  <c r="F14" i="2"/>
  <c r="X490" i="2"/>
  <c r="X458" i="2"/>
  <c r="X426" i="2"/>
  <c r="X394" i="2"/>
  <c r="X362" i="2"/>
  <c r="X330" i="2"/>
  <c r="X298" i="2"/>
  <c r="X266" i="2"/>
  <c r="X234" i="2"/>
  <c r="X202" i="2"/>
  <c r="X170" i="2"/>
  <c r="X138" i="2"/>
  <c r="X106" i="2"/>
  <c r="X74" i="2"/>
  <c r="X42" i="2"/>
  <c r="X487" i="2"/>
  <c r="X455" i="2"/>
  <c r="X423" i="2"/>
  <c r="X391" i="2"/>
  <c r="X359" i="2"/>
  <c r="X327" i="2"/>
  <c r="X295" i="2"/>
  <c r="X263" i="2"/>
  <c r="X231" i="2"/>
  <c r="X199" i="2"/>
  <c r="X167" i="2"/>
  <c r="X135" i="2"/>
  <c r="X103" i="2"/>
  <c r="X71" i="2"/>
  <c r="X39" i="2"/>
  <c r="X482" i="2"/>
  <c r="X450" i="2"/>
  <c r="X418" i="2"/>
  <c r="X386" i="2"/>
  <c r="X354" i="2"/>
  <c r="X322" i="2"/>
  <c r="X290" i="2"/>
  <c r="X258" i="2"/>
  <c r="X226" i="2"/>
  <c r="X194" i="2"/>
  <c r="X162" i="2"/>
  <c r="X130" i="2"/>
  <c r="X98" i="2"/>
  <c r="X66" i="2"/>
  <c r="X34" i="2"/>
  <c r="X479" i="2"/>
  <c r="X447" i="2"/>
  <c r="X415" i="2"/>
  <c r="X383" i="2"/>
  <c r="X351" i="2"/>
  <c r="X319" i="2"/>
  <c r="X287" i="2"/>
  <c r="X255" i="2"/>
  <c r="X223" i="2"/>
  <c r="X191" i="2"/>
  <c r="X159" i="2"/>
  <c r="X127" i="2"/>
  <c r="X95" i="2"/>
  <c r="X63" i="2"/>
  <c r="X31" i="2"/>
  <c r="X474" i="2"/>
  <c r="X442" i="2"/>
  <c r="X410" i="2"/>
  <c r="X378" i="2"/>
  <c r="X346" i="2"/>
  <c r="X314" i="2"/>
  <c r="X282" i="2"/>
  <c r="X250" i="2"/>
  <c r="X218" i="2"/>
  <c r="X186" i="2"/>
  <c r="X154" i="2"/>
  <c r="X122" i="2"/>
  <c r="X90" i="2"/>
  <c r="X58" i="2"/>
  <c r="X26" i="2"/>
  <c r="X471" i="2"/>
  <c r="X439" i="2"/>
  <c r="X407" i="2"/>
  <c r="X375" i="2"/>
  <c r="X343" i="2"/>
  <c r="X311" i="2"/>
  <c r="X279" i="2"/>
  <c r="X247" i="2"/>
  <c r="X215" i="2"/>
  <c r="X183" i="2"/>
  <c r="X151" i="2"/>
  <c r="X119" i="2"/>
  <c r="X87" i="2"/>
  <c r="X55" i="2"/>
  <c r="X23" i="2"/>
  <c r="X498" i="2"/>
  <c r="X466" i="2"/>
  <c r="X434" i="2"/>
  <c r="X402" i="2"/>
  <c r="X370" i="2"/>
  <c r="X338" i="2"/>
  <c r="X306" i="2"/>
  <c r="X274" i="2"/>
  <c r="X242" i="2"/>
  <c r="X210" i="2"/>
  <c r="X178" i="2"/>
  <c r="X146" i="2"/>
  <c r="X114" i="2"/>
  <c r="X82" i="2"/>
  <c r="X50" i="2"/>
  <c r="X18" i="2"/>
  <c r="X495" i="2"/>
  <c r="X463" i="2"/>
  <c r="X431" i="2"/>
  <c r="X399" i="2"/>
  <c r="X367" i="2"/>
  <c r="X335" i="2"/>
  <c r="X303" i="2"/>
  <c r="X271" i="2"/>
  <c r="X239" i="2"/>
  <c r="X207" i="2"/>
  <c r="X175" i="2"/>
  <c r="X143" i="2"/>
  <c r="X111" i="2"/>
  <c r="X79" i="2"/>
  <c r="X47" i="2"/>
  <c r="F13" i="2"/>
  <c r="X493" i="2"/>
  <c r="X485" i="2"/>
  <c r="X477" i="2"/>
  <c r="X469" i="2"/>
  <c r="X461" i="2"/>
  <c r="X453" i="2"/>
  <c r="X445" i="2"/>
  <c r="X437" i="2"/>
  <c r="X429" i="2"/>
  <c r="X421" i="2"/>
  <c r="X413" i="2"/>
  <c r="X405" i="2"/>
  <c r="X397" i="2"/>
  <c r="X389" i="2"/>
  <c r="X381" i="2"/>
  <c r="X373" i="2"/>
  <c r="X365" i="2"/>
  <c r="X357" i="2"/>
  <c r="X349" i="2"/>
  <c r="X341" i="2"/>
  <c r="X333" i="2"/>
  <c r="X325" i="2"/>
  <c r="X317" i="2"/>
  <c r="X309" i="2"/>
  <c r="X301" i="2"/>
  <c r="X293" i="2"/>
  <c r="X285" i="2"/>
  <c r="X277" i="2"/>
  <c r="X269" i="2"/>
  <c r="X261" i="2"/>
  <c r="X253" i="2"/>
  <c r="X245" i="2"/>
  <c r="X237" i="2"/>
  <c r="X229" i="2"/>
  <c r="X221" i="2"/>
  <c r="X213" i="2"/>
  <c r="X205" i="2"/>
  <c r="X197" i="2"/>
  <c r="X189" i="2"/>
  <c r="X181" i="2"/>
  <c r="X173" i="2"/>
  <c r="X165" i="2"/>
  <c r="X157" i="2"/>
  <c r="X149" i="2"/>
  <c r="X141" i="2"/>
  <c r="X133" i="2"/>
  <c r="X125" i="2"/>
  <c r="X117" i="2"/>
  <c r="X109" i="2"/>
  <c r="X101" i="2"/>
  <c r="X93" i="2"/>
  <c r="X85" i="2"/>
  <c r="X77" i="2"/>
  <c r="X69" i="2"/>
  <c r="X61" i="2"/>
  <c r="X53" i="2"/>
  <c r="X45" i="2"/>
  <c r="X37" i="2"/>
  <c r="X29" i="2"/>
  <c r="X21" i="2"/>
  <c r="X500" i="2"/>
  <c r="X492" i="2"/>
  <c r="X484" i="2"/>
  <c r="X476" i="2"/>
  <c r="X468" i="2"/>
  <c r="X460" i="2"/>
  <c r="X452" i="2"/>
  <c r="X444" i="2"/>
  <c r="X436" i="2"/>
  <c r="X428" i="2"/>
  <c r="X420" i="2"/>
  <c r="X412" i="2"/>
  <c r="X404" i="2"/>
  <c r="X396" i="2"/>
  <c r="X388" i="2"/>
  <c r="X380" i="2"/>
  <c r="X372" i="2"/>
  <c r="X364" i="2"/>
  <c r="X356" i="2"/>
  <c r="X348" i="2"/>
  <c r="X340" i="2"/>
  <c r="X332" i="2"/>
  <c r="X324" i="2"/>
  <c r="X316" i="2"/>
  <c r="X308" i="2"/>
  <c r="X300" i="2"/>
  <c r="X292" i="2"/>
  <c r="X284" i="2"/>
  <c r="X276" i="2"/>
  <c r="X268" i="2"/>
  <c r="X260" i="2"/>
  <c r="X252" i="2"/>
  <c r="X244" i="2"/>
  <c r="X236" i="2"/>
  <c r="X228" i="2"/>
  <c r="X220" i="2"/>
  <c r="X212" i="2"/>
  <c r="X204" i="2"/>
  <c r="X196" i="2"/>
  <c r="X188" i="2"/>
  <c r="X180" i="2"/>
  <c r="X172" i="2"/>
  <c r="X164" i="2"/>
  <c r="X156" i="2"/>
  <c r="X148" i="2"/>
  <c r="X140" i="2"/>
  <c r="X132" i="2"/>
  <c r="X124" i="2"/>
  <c r="X116" i="2"/>
  <c r="X108" i="2"/>
  <c r="X100" i="2"/>
  <c r="X92" i="2"/>
  <c r="X84" i="2"/>
  <c r="X76" i="2"/>
  <c r="X68" i="2"/>
  <c r="X60" i="2"/>
  <c r="X52" i="2"/>
  <c r="X44" i="2"/>
  <c r="X36" i="2"/>
  <c r="X28" i="2"/>
  <c r="X20" i="2"/>
  <c r="X499" i="2"/>
  <c r="X491" i="2"/>
  <c r="X483" i="2"/>
  <c r="X475" i="2"/>
  <c r="X467" i="2"/>
  <c r="X459" i="2"/>
  <c r="X451" i="2"/>
  <c r="X443" i="2"/>
  <c r="X435" i="2"/>
  <c r="X427" i="2"/>
  <c r="X419" i="2"/>
  <c r="X411" i="2"/>
  <c r="X403" i="2"/>
  <c r="X395" i="2"/>
  <c r="X387" i="2"/>
  <c r="X379" i="2"/>
  <c r="X371" i="2"/>
  <c r="X363" i="2"/>
  <c r="X355" i="2"/>
  <c r="X347" i="2"/>
  <c r="X339" i="2"/>
  <c r="X331" i="2"/>
  <c r="X323" i="2"/>
  <c r="X315" i="2"/>
  <c r="X307" i="2"/>
  <c r="X299" i="2"/>
  <c r="X291" i="2"/>
  <c r="X283" i="2"/>
  <c r="X275" i="2"/>
  <c r="X267" i="2"/>
  <c r="X259" i="2"/>
  <c r="X251" i="2"/>
  <c r="X243" i="2"/>
  <c r="X235" i="2"/>
  <c r="X227" i="2"/>
  <c r="X219" i="2"/>
  <c r="X211" i="2"/>
  <c r="X203" i="2"/>
  <c r="X195" i="2"/>
  <c r="X187" i="2"/>
  <c r="X179" i="2"/>
  <c r="X171" i="2"/>
  <c r="X163" i="2"/>
  <c r="X155" i="2"/>
  <c r="X147" i="2"/>
  <c r="X139" i="2"/>
  <c r="X131" i="2"/>
  <c r="X123" i="2"/>
  <c r="X115" i="2"/>
  <c r="X107" i="2"/>
  <c r="X99" i="2"/>
  <c r="X91" i="2"/>
  <c r="X83" i="2"/>
  <c r="X75" i="2"/>
  <c r="X67" i="2"/>
  <c r="X59" i="2"/>
  <c r="X51" i="2"/>
  <c r="X43" i="2"/>
  <c r="X35" i="2"/>
  <c r="X27" i="2"/>
  <c r="X19" i="2"/>
  <c r="X497" i="2"/>
  <c r="X489" i="2"/>
  <c r="X481" i="2"/>
  <c r="X473" i="2"/>
  <c r="X465" i="2"/>
  <c r="X457" i="2"/>
  <c r="X449" i="2"/>
  <c r="X441" i="2"/>
  <c r="X433" i="2"/>
  <c r="X425" i="2"/>
  <c r="X417" i="2"/>
  <c r="X409" i="2"/>
  <c r="X401" i="2"/>
  <c r="X393" i="2"/>
  <c r="X385" i="2"/>
  <c r="X377" i="2"/>
  <c r="X369" i="2"/>
  <c r="X361" i="2"/>
  <c r="X353" i="2"/>
  <c r="X345" i="2"/>
  <c r="X337" i="2"/>
  <c r="X329" i="2"/>
  <c r="X321" i="2"/>
  <c r="X313" i="2"/>
  <c r="X305" i="2"/>
  <c r="X297" i="2"/>
  <c r="X289" i="2"/>
  <c r="X281" i="2"/>
  <c r="X273" i="2"/>
  <c r="X265" i="2"/>
  <c r="X257" i="2"/>
  <c r="X249" i="2"/>
  <c r="X241" i="2"/>
  <c r="X233" i="2"/>
  <c r="X225" i="2"/>
  <c r="X217" i="2"/>
  <c r="X209" i="2"/>
  <c r="X201" i="2"/>
  <c r="X193" i="2"/>
  <c r="X185" i="2"/>
  <c r="X177" i="2"/>
  <c r="X169" i="2"/>
  <c r="X161" i="2"/>
  <c r="X153" i="2"/>
  <c r="X145" i="2"/>
  <c r="X137" i="2"/>
  <c r="X129" i="2"/>
  <c r="X121" i="2"/>
  <c r="X113" i="2"/>
  <c r="X105" i="2"/>
  <c r="X97" i="2"/>
  <c r="X89" i="2"/>
  <c r="X81" i="2"/>
  <c r="X73" i="2"/>
  <c r="X65" i="2"/>
  <c r="X57" i="2"/>
  <c r="X49" i="2"/>
  <c r="X41" i="2"/>
  <c r="X33" i="2"/>
  <c r="X25" i="2"/>
  <c r="X17" i="2"/>
  <c r="X496" i="2"/>
  <c r="X488" i="2"/>
  <c r="X480" i="2"/>
  <c r="X472" i="2"/>
  <c r="X464" i="2"/>
  <c r="X456" i="2"/>
  <c r="X448" i="2"/>
  <c r="X440" i="2"/>
  <c r="X432" i="2"/>
  <c r="X424" i="2"/>
  <c r="X416" i="2"/>
  <c r="X408" i="2"/>
  <c r="X400" i="2"/>
  <c r="X392" i="2"/>
  <c r="X384" i="2"/>
  <c r="X376" i="2"/>
  <c r="X368" i="2"/>
  <c r="X360" i="2"/>
  <c r="X352" i="2"/>
  <c r="X344" i="2"/>
  <c r="X336" i="2"/>
  <c r="X328" i="2"/>
  <c r="X320" i="2"/>
  <c r="X312" i="2"/>
  <c r="X304" i="2"/>
  <c r="X296" i="2"/>
  <c r="X288" i="2"/>
  <c r="X280" i="2"/>
  <c r="X272" i="2"/>
  <c r="X264" i="2"/>
  <c r="X256" i="2"/>
  <c r="X248" i="2"/>
  <c r="X240" i="2"/>
  <c r="X232" i="2"/>
  <c r="X224" i="2"/>
  <c r="X216" i="2"/>
  <c r="X208" i="2"/>
  <c r="X200" i="2"/>
  <c r="X192" i="2"/>
  <c r="X184" i="2"/>
  <c r="X176" i="2"/>
  <c r="X168" i="2"/>
  <c r="X160" i="2"/>
  <c r="X152" i="2"/>
  <c r="X144" i="2"/>
  <c r="X136" i="2"/>
  <c r="X128" i="2"/>
  <c r="X120" i="2"/>
  <c r="X112" i="2"/>
  <c r="X104" i="2"/>
  <c r="X96" i="2"/>
  <c r="X88" i="2"/>
  <c r="X80" i="2"/>
  <c r="X72" i="2"/>
  <c r="X64" i="2"/>
  <c r="X56" i="2"/>
  <c r="X48" i="2"/>
  <c r="X40" i="2"/>
  <c r="X32" i="2"/>
  <c r="X24" i="2"/>
  <c r="X16" i="2"/>
  <c r="X15" i="2"/>
  <c r="X494" i="2"/>
  <c r="X486" i="2"/>
  <c r="X478" i="2"/>
  <c r="X470" i="2"/>
  <c r="X462" i="2"/>
  <c r="X454" i="2"/>
  <c r="X446" i="2"/>
  <c r="X438" i="2"/>
  <c r="X430" i="2"/>
  <c r="X422" i="2"/>
  <c r="X414" i="2"/>
  <c r="X406" i="2"/>
  <c r="X398" i="2"/>
  <c r="X390" i="2"/>
  <c r="X382" i="2"/>
  <c r="X374" i="2"/>
  <c r="X366" i="2"/>
  <c r="X358" i="2"/>
  <c r="X350" i="2"/>
  <c r="X342" i="2"/>
  <c r="X334" i="2"/>
  <c r="X326" i="2"/>
  <c r="X318" i="2"/>
  <c r="X310" i="2"/>
  <c r="X302" i="2"/>
  <c r="X294" i="2"/>
  <c r="X286" i="2"/>
  <c r="X278" i="2"/>
  <c r="X270" i="2"/>
  <c r="X262" i="2"/>
  <c r="X254" i="2"/>
  <c r="X246" i="2"/>
  <c r="X238" i="2"/>
  <c r="X230" i="2"/>
  <c r="X222" i="2"/>
  <c r="X214" i="2"/>
  <c r="X206" i="2"/>
  <c r="X198" i="2"/>
  <c r="X190" i="2"/>
  <c r="X182" i="2"/>
  <c r="X174" i="2"/>
  <c r="X166" i="2"/>
  <c r="X158" i="2"/>
  <c r="X150" i="2"/>
  <c r="X142" i="2"/>
  <c r="X134" i="2"/>
  <c r="X126" i="2"/>
  <c r="X118" i="2"/>
  <c r="X110" i="2"/>
  <c r="X102" i="2"/>
  <c r="X94" i="2"/>
  <c r="X86" i="2"/>
  <c r="X78" i="2"/>
  <c r="X70" i="2"/>
  <c r="X62" i="2"/>
  <c r="X54" i="2"/>
  <c r="X46" i="2"/>
  <c r="X38" i="2"/>
  <c r="X30" i="2"/>
  <c r="X22" i="2"/>
  <c r="X14" i="2"/>
  <c r="X13" i="2"/>
  <c r="W493" i="2"/>
  <c r="W485" i="2"/>
  <c r="W477" i="2"/>
  <c r="W469" i="2"/>
  <c r="W461" i="2"/>
  <c r="W453" i="2"/>
  <c r="W445" i="2"/>
  <c r="W437" i="2"/>
  <c r="W429" i="2"/>
  <c r="W421" i="2"/>
  <c r="W413" i="2"/>
  <c r="W405" i="2"/>
  <c r="W397" i="2"/>
  <c r="W389" i="2"/>
  <c r="W381" i="2"/>
  <c r="W373" i="2"/>
  <c r="W365" i="2"/>
  <c r="W357" i="2"/>
  <c r="W349" i="2"/>
  <c r="W341" i="2"/>
  <c r="W333" i="2"/>
  <c r="W325" i="2"/>
  <c r="W317" i="2"/>
  <c r="W309" i="2"/>
  <c r="W301" i="2"/>
  <c r="W293" i="2"/>
  <c r="W285" i="2"/>
  <c r="W277" i="2"/>
  <c r="W269" i="2"/>
  <c r="W261" i="2"/>
  <c r="W253" i="2"/>
  <c r="W245" i="2"/>
  <c r="W237" i="2"/>
  <c r="W229" i="2"/>
  <c r="W221" i="2"/>
  <c r="W213" i="2"/>
  <c r="W205" i="2"/>
  <c r="W197" i="2"/>
  <c r="W189" i="2"/>
  <c r="W181" i="2"/>
  <c r="W173" i="2"/>
  <c r="W165" i="2"/>
  <c r="W157" i="2"/>
  <c r="W149" i="2"/>
  <c r="W141" i="2"/>
  <c r="W133" i="2"/>
  <c r="W125" i="2"/>
  <c r="W117" i="2"/>
  <c r="W109" i="2"/>
  <c r="W101" i="2"/>
  <c r="W93" i="2"/>
  <c r="W85" i="2"/>
  <c r="W77" i="2"/>
  <c r="W69" i="2"/>
  <c r="W61" i="2"/>
  <c r="W53" i="2"/>
  <c r="W45" i="2"/>
  <c r="W37" i="2"/>
  <c r="W29" i="2"/>
  <c r="W21" i="2"/>
  <c r="W500" i="2"/>
  <c r="W492" i="2"/>
  <c r="W484" i="2"/>
  <c r="W476" i="2"/>
  <c r="W468" i="2"/>
  <c r="W460" i="2"/>
  <c r="W452" i="2"/>
  <c r="W444" i="2"/>
  <c r="W436" i="2"/>
  <c r="W428" i="2"/>
  <c r="W420" i="2"/>
  <c r="W412" i="2"/>
  <c r="W404" i="2"/>
  <c r="W396" i="2"/>
  <c r="W388" i="2"/>
  <c r="W380" i="2"/>
  <c r="W372" i="2"/>
  <c r="W364" i="2"/>
  <c r="W356" i="2"/>
  <c r="W348" i="2"/>
  <c r="W340" i="2"/>
  <c r="W332" i="2"/>
  <c r="W324" i="2"/>
  <c r="W316" i="2"/>
  <c r="W308" i="2"/>
  <c r="W300" i="2"/>
  <c r="W292" i="2"/>
  <c r="W284" i="2"/>
  <c r="W276" i="2"/>
  <c r="W268" i="2"/>
  <c r="W260" i="2"/>
  <c r="W252" i="2"/>
  <c r="W244" i="2"/>
  <c r="W236" i="2"/>
  <c r="W228" i="2"/>
  <c r="W220" i="2"/>
  <c r="W212" i="2"/>
  <c r="W204" i="2"/>
  <c r="W196" i="2"/>
  <c r="W188" i="2"/>
  <c r="W180" i="2"/>
  <c r="W172" i="2"/>
  <c r="W164" i="2"/>
  <c r="W156" i="2"/>
  <c r="W148" i="2"/>
  <c r="W140" i="2"/>
  <c r="W132" i="2"/>
  <c r="W124" i="2"/>
  <c r="W116" i="2"/>
  <c r="W108" i="2"/>
  <c r="W100" i="2"/>
  <c r="W92" i="2"/>
  <c r="W84" i="2"/>
  <c r="W76" i="2"/>
  <c r="W68" i="2"/>
  <c r="W60" i="2"/>
  <c r="W52" i="2"/>
  <c r="W44" i="2"/>
  <c r="W36" i="2"/>
  <c r="W28" i="2"/>
  <c r="W20" i="2"/>
  <c r="W499" i="2"/>
  <c r="W491" i="2"/>
  <c r="W483" i="2"/>
  <c r="W475" i="2"/>
  <c r="W467" i="2"/>
  <c r="W459" i="2"/>
  <c r="W451" i="2"/>
  <c r="W443" i="2"/>
  <c r="W435" i="2"/>
  <c r="W427" i="2"/>
  <c r="W419" i="2"/>
  <c r="W411" i="2"/>
  <c r="W403" i="2"/>
  <c r="W395" i="2"/>
  <c r="W387" i="2"/>
  <c r="W379" i="2"/>
  <c r="W371" i="2"/>
  <c r="W363" i="2"/>
  <c r="W355" i="2"/>
  <c r="W347" i="2"/>
  <c r="W339" i="2"/>
  <c r="W331" i="2"/>
  <c r="W323" i="2"/>
  <c r="W315" i="2"/>
  <c r="W307" i="2"/>
  <c r="W299" i="2"/>
  <c r="W291" i="2"/>
  <c r="W283" i="2"/>
  <c r="W275" i="2"/>
  <c r="W267" i="2"/>
  <c r="W259" i="2"/>
  <c r="W251" i="2"/>
  <c r="W243" i="2"/>
  <c r="W235" i="2"/>
  <c r="W227" i="2"/>
  <c r="W219" i="2"/>
  <c r="W211" i="2"/>
  <c r="W203" i="2"/>
  <c r="W195" i="2"/>
  <c r="W187" i="2"/>
  <c r="W179" i="2"/>
  <c r="W171" i="2"/>
  <c r="W163" i="2"/>
  <c r="W155" i="2"/>
  <c r="W147" i="2"/>
  <c r="W139" i="2"/>
  <c r="W131" i="2"/>
  <c r="W123" i="2"/>
  <c r="W115" i="2"/>
  <c r="W107" i="2"/>
  <c r="W99" i="2"/>
  <c r="W91" i="2"/>
  <c r="W83" i="2"/>
  <c r="W75" i="2"/>
  <c r="W67" i="2"/>
  <c r="W59" i="2"/>
  <c r="W51" i="2"/>
  <c r="W43" i="2"/>
  <c r="W35" i="2"/>
  <c r="W27" i="2"/>
  <c r="W19" i="2"/>
  <c r="W498" i="2"/>
  <c r="W490" i="2"/>
  <c r="W482" i="2"/>
  <c r="W474" i="2"/>
  <c r="W466" i="2"/>
  <c r="W458" i="2"/>
  <c r="W450" i="2"/>
  <c r="W442" i="2"/>
  <c r="W434" i="2"/>
  <c r="W426" i="2"/>
  <c r="W418" i="2"/>
  <c r="W410" i="2"/>
  <c r="W402" i="2"/>
  <c r="W394" i="2"/>
  <c r="W386" i="2"/>
  <c r="W378" i="2"/>
  <c r="W370" i="2"/>
  <c r="W362" i="2"/>
  <c r="W354" i="2"/>
  <c r="W346" i="2"/>
  <c r="W338" i="2"/>
  <c r="W330" i="2"/>
  <c r="W322" i="2"/>
  <c r="W314" i="2"/>
  <c r="W306" i="2"/>
  <c r="W298" i="2"/>
  <c r="W290" i="2"/>
  <c r="W282" i="2"/>
  <c r="W274" i="2"/>
  <c r="W266" i="2"/>
  <c r="W258" i="2"/>
  <c r="W250" i="2"/>
  <c r="W242" i="2"/>
  <c r="W234" i="2"/>
  <c r="W226" i="2"/>
  <c r="W218" i="2"/>
  <c r="W210" i="2"/>
  <c r="W202" i="2"/>
  <c r="W194" i="2"/>
  <c r="W186" i="2"/>
  <c r="W178" i="2"/>
  <c r="W170" i="2"/>
  <c r="W162" i="2"/>
  <c r="W154" i="2"/>
  <c r="W146" i="2"/>
  <c r="W138" i="2"/>
  <c r="W130" i="2"/>
  <c r="W122" i="2"/>
  <c r="W114" i="2"/>
  <c r="W106" i="2"/>
  <c r="W98" i="2"/>
  <c r="W90" i="2"/>
  <c r="W82" i="2"/>
  <c r="W74" i="2"/>
  <c r="W66" i="2"/>
  <c r="W58" i="2"/>
  <c r="W50" i="2"/>
  <c r="W42" i="2"/>
  <c r="W34" i="2"/>
  <c r="W26" i="2"/>
  <c r="W18" i="2"/>
  <c r="W497" i="2"/>
  <c r="W489" i="2"/>
  <c r="W481" i="2"/>
  <c r="W473" i="2"/>
  <c r="W465" i="2"/>
  <c r="W457" i="2"/>
  <c r="W449" i="2"/>
  <c r="W441" i="2"/>
  <c r="W433" i="2"/>
  <c r="W425" i="2"/>
  <c r="W417" i="2"/>
  <c r="W409" i="2"/>
  <c r="W401" i="2"/>
  <c r="W393" i="2"/>
  <c r="W385" i="2"/>
  <c r="W377" i="2"/>
  <c r="W369" i="2"/>
  <c r="W361" i="2"/>
  <c r="W353" i="2"/>
  <c r="W345" i="2"/>
  <c r="W337" i="2"/>
  <c r="W329" i="2"/>
  <c r="W321" i="2"/>
  <c r="W313" i="2"/>
  <c r="W305" i="2"/>
  <c r="W297" i="2"/>
  <c r="W289" i="2"/>
  <c r="W281" i="2"/>
  <c r="W273" i="2"/>
  <c r="W265" i="2"/>
  <c r="W257" i="2"/>
  <c r="W249" i="2"/>
  <c r="W241" i="2"/>
  <c r="W233" i="2"/>
  <c r="W225" i="2"/>
  <c r="W217" i="2"/>
  <c r="W209" i="2"/>
  <c r="W201" i="2"/>
  <c r="W193" i="2"/>
  <c r="W185" i="2"/>
  <c r="W177" i="2"/>
  <c r="W169" i="2"/>
  <c r="W161" i="2"/>
  <c r="W153" i="2"/>
  <c r="W145" i="2"/>
  <c r="W137" i="2"/>
  <c r="W129" i="2"/>
  <c r="W121" i="2"/>
  <c r="W113" i="2"/>
  <c r="W105" i="2"/>
  <c r="W97" i="2"/>
  <c r="W89" i="2"/>
  <c r="W81" i="2"/>
  <c r="W73" i="2"/>
  <c r="W65" i="2"/>
  <c r="W57" i="2"/>
  <c r="W49" i="2"/>
  <c r="W41" i="2"/>
  <c r="W33" i="2"/>
  <c r="W25" i="2"/>
  <c r="W17" i="2"/>
  <c r="W496" i="2"/>
  <c r="W488" i="2"/>
  <c r="W480" i="2"/>
  <c r="W472" i="2"/>
  <c r="W464" i="2"/>
  <c r="W456" i="2"/>
  <c r="W448" i="2"/>
  <c r="W440" i="2"/>
  <c r="W432" i="2"/>
  <c r="W424" i="2"/>
  <c r="W416" i="2"/>
  <c r="W408" i="2"/>
  <c r="W400" i="2"/>
  <c r="W392" i="2"/>
  <c r="W384" i="2"/>
  <c r="W376" i="2"/>
  <c r="W368" i="2"/>
  <c r="W360" i="2"/>
  <c r="W352" i="2"/>
  <c r="W344" i="2"/>
  <c r="W336" i="2"/>
  <c r="W328" i="2"/>
  <c r="W320" i="2"/>
  <c r="W312" i="2"/>
  <c r="W304" i="2"/>
  <c r="W296" i="2"/>
  <c r="W288" i="2"/>
  <c r="W280" i="2"/>
  <c r="W272" i="2"/>
  <c r="W264" i="2"/>
  <c r="W256" i="2"/>
  <c r="W248" i="2"/>
  <c r="W240" i="2"/>
  <c r="W232" i="2"/>
  <c r="W224" i="2"/>
  <c r="W216" i="2"/>
  <c r="W208" i="2"/>
  <c r="W200" i="2"/>
  <c r="W192" i="2"/>
  <c r="W184" i="2"/>
  <c r="W176" i="2"/>
  <c r="W168" i="2"/>
  <c r="W160" i="2"/>
  <c r="W152" i="2"/>
  <c r="W144" i="2"/>
  <c r="W136" i="2"/>
  <c r="W128" i="2"/>
  <c r="W120" i="2"/>
  <c r="W112" i="2"/>
  <c r="W104" i="2"/>
  <c r="W96" i="2"/>
  <c r="W88" i="2"/>
  <c r="W80" i="2"/>
  <c r="W72" i="2"/>
  <c r="W64" i="2"/>
  <c r="W56" i="2"/>
  <c r="W48" i="2"/>
  <c r="W40" i="2"/>
  <c r="W32" i="2"/>
  <c r="W24" i="2"/>
  <c r="W16" i="2"/>
  <c r="W495" i="2"/>
  <c r="W487" i="2"/>
  <c r="W479" i="2"/>
  <c r="W471" i="2"/>
  <c r="W463" i="2"/>
  <c r="W455" i="2"/>
  <c r="W447" i="2"/>
  <c r="W439" i="2"/>
  <c r="W431" i="2"/>
  <c r="W423" i="2"/>
  <c r="W415" i="2"/>
  <c r="W407" i="2"/>
  <c r="W399" i="2"/>
  <c r="W391" i="2"/>
  <c r="W383" i="2"/>
  <c r="W375" i="2"/>
  <c r="W367" i="2"/>
  <c r="W359" i="2"/>
  <c r="W351" i="2"/>
  <c r="W343" i="2"/>
  <c r="W335" i="2"/>
  <c r="W327" i="2"/>
  <c r="W319" i="2"/>
  <c r="W311" i="2"/>
  <c r="W303" i="2"/>
  <c r="W295" i="2"/>
  <c r="W287" i="2"/>
  <c r="W279" i="2"/>
  <c r="W271" i="2"/>
  <c r="W263" i="2"/>
  <c r="W255" i="2"/>
  <c r="W247" i="2"/>
  <c r="W239" i="2"/>
  <c r="W231" i="2"/>
  <c r="W223" i="2"/>
  <c r="W215" i="2"/>
  <c r="W207" i="2"/>
  <c r="W199" i="2"/>
  <c r="W191" i="2"/>
  <c r="W183" i="2"/>
  <c r="W175" i="2"/>
  <c r="W167" i="2"/>
  <c r="W159" i="2"/>
  <c r="W151" i="2"/>
  <c r="W143" i="2"/>
  <c r="W135" i="2"/>
  <c r="W127" i="2"/>
  <c r="W119" i="2"/>
  <c r="W111" i="2"/>
  <c r="W103" i="2"/>
  <c r="W95" i="2"/>
  <c r="W87" i="2"/>
  <c r="W79" i="2"/>
  <c r="W71" i="2"/>
  <c r="W63" i="2"/>
  <c r="W55" i="2"/>
  <c r="W47" i="2"/>
  <c r="W39" i="2"/>
  <c r="W31" i="2"/>
  <c r="W23" i="2"/>
  <c r="W15" i="2"/>
  <c r="W494" i="2"/>
  <c r="W486" i="2"/>
  <c r="W478" i="2"/>
  <c r="W470" i="2"/>
  <c r="W462" i="2"/>
  <c r="W454" i="2"/>
  <c r="W446" i="2"/>
  <c r="W438" i="2"/>
  <c r="W430" i="2"/>
  <c r="W422" i="2"/>
  <c r="W414" i="2"/>
  <c r="W406" i="2"/>
  <c r="W398" i="2"/>
  <c r="W390" i="2"/>
  <c r="W382" i="2"/>
  <c r="W374" i="2"/>
  <c r="W366" i="2"/>
  <c r="W358" i="2"/>
  <c r="W350" i="2"/>
  <c r="W342" i="2"/>
  <c r="W334" i="2"/>
  <c r="W326" i="2"/>
  <c r="W318" i="2"/>
  <c r="W310" i="2"/>
  <c r="W302" i="2"/>
  <c r="W294" i="2"/>
  <c r="W286" i="2"/>
  <c r="W278" i="2"/>
  <c r="W270" i="2"/>
  <c r="W262" i="2"/>
  <c r="W254" i="2"/>
  <c r="W246" i="2"/>
  <c r="W238" i="2"/>
  <c r="W230" i="2"/>
  <c r="W222" i="2"/>
  <c r="W214" i="2"/>
  <c r="W206" i="2"/>
  <c r="W198" i="2"/>
  <c r="W190" i="2"/>
  <c r="W182" i="2"/>
  <c r="W174" i="2"/>
  <c r="W166" i="2"/>
  <c r="W158" i="2"/>
  <c r="W150" i="2"/>
  <c r="W142" i="2"/>
  <c r="W134" i="2"/>
  <c r="W126" i="2"/>
  <c r="W118" i="2"/>
  <c r="W110" i="2"/>
  <c r="W102" i="2"/>
  <c r="W94" i="2"/>
  <c r="W86" i="2"/>
  <c r="W78" i="2"/>
  <c r="W70" i="2"/>
  <c r="W62" i="2"/>
  <c r="W54" i="2"/>
  <c r="W46" i="2"/>
  <c r="W38" i="2"/>
  <c r="W30" i="2"/>
  <c r="W22" i="2"/>
  <c r="W14" i="2"/>
  <c r="W13" i="2"/>
  <c r="V493" i="2"/>
  <c r="V485" i="2"/>
  <c r="V477" i="2"/>
  <c r="V469" i="2"/>
  <c r="V461" i="2"/>
  <c r="V453" i="2"/>
  <c r="V445" i="2"/>
  <c r="V437" i="2"/>
  <c r="V429" i="2"/>
  <c r="V421" i="2"/>
  <c r="V413" i="2"/>
  <c r="V405" i="2"/>
  <c r="V397" i="2"/>
  <c r="V389" i="2"/>
  <c r="V381" i="2"/>
  <c r="V373" i="2"/>
  <c r="V365" i="2"/>
  <c r="V357" i="2"/>
  <c r="V349" i="2"/>
  <c r="V341" i="2"/>
  <c r="V333" i="2"/>
  <c r="V325" i="2"/>
  <c r="V317" i="2"/>
  <c r="V309" i="2"/>
  <c r="V301" i="2"/>
  <c r="V293" i="2"/>
  <c r="V285" i="2"/>
  <c r="V277" i="2"/>
  <c r="V269" i="2"/>
  <c r="V261" i="2"/>
  <c r="V253" i="2"/>
  <c r="V245" i="2"/>
  <c r="V237" i="2"/>
  <c r="V229" i="2"/>
  <c r="V221" i="2"/>
  <c r="V213" i="2"/>
  <c r="V205" i="2"/>
  <c r="V197" i="2"/>
  <c r="V189" i="2"/>
  <c r="V181" i="2"/>
  <c r="V173" i="2"/>
  <c r="V165" i="2"/>
  <c r="V157" i="2"/>
  <c r="V149" i="2"/>
  <c r="V141" i="2"/>
  <c r="V133" i="2"/>
  <c r="V125" i="2"/>
  <c r="V117" i="2"/>
  <c r="V109" i="2"/>
  <c r="V101" i="2"/>
  <c r="V93" i="2"/>
  <c r="V85" i="2"/>
  <c r="V77" i="2"/>
  <c r="V69" i="2"/>
  <c r="V61" i="2"/>
  <c r="V53" i="2"/>
  <c r="V45" i="2"/>
  <c r="V37" i="2"/>
  <c r="V29" i="2"/>
  <c r="V21" i="2"/>
  <c r="V500" i="2"/>
  <c r="V492" i="2"/>
  <c r="V484" i="2"/>
  <c r="V476" i="2"/>
  <c r="V468" i="2"/>
  <c r="V460" i="2"/>
  <c r="V452" i="2"/>
  <c r="V444" i="2"/>
  <c r="V436" i="2"/>
  <c r="V428" i="2"/>
  <c r="V420" i="2"/>
  <c r="V412" i="2"/>
  <c r="V404" i="2"/>
  <c r="V396" i="2"/>
  <c r="V388" i="2"/>
  <c r="V380" i="2"/>
  <c r="V372" i="2"/>
  <c r="V364" i="2"/>
  <c r="V356" i="2"/>
  <c r="V348" i="2"/>
  <c r="V340" i="2"/>
  <c r="V332" i="2"/>
  <c r="V324" i="2"/>
  <c r="V316" i="2"/>
  <c r="V308" i="2"/>
  <c r="V300" i="2"/>
  <c r="V292" i="2"/>
  <c r="V284" i="2"/>
  <c r="V276" i="2"/>
  <c r="V268" i="2"/>
  <c r="V260" i="2"/>
  <c r="V252" i="2"/>
  <c r="V244" i="2"/>
  <c r="V236" i="2"/>
  <c r="V228" i="2"/>
  <c r="V220" i="2"/>
  <c r="V212" i="2"/>
  <c r="V204" i="2"/>
  <c r="V196" i="2"/>
  <c r="V188" i="2"/>
  <c r="V180" i="2"/>
  <c r="V172" i="2"/>
  <c r="V164" i="2"/>
  <c r="V156" i="2"/>
  <c r="V148" i="2"/>
  <c r="V140" i="2"/>
  <c r="V132" i="2"/>
  <c r="V124" i="2"/>
  <c r="V116" i="2"/>
  <c r="V108" i="2"/>
  <c r="V100" i="2"/>
  <c r="V92" i="2"/>
  <c r="V84" i="2"/>
  <c r="V76" i="2"/>
  <c r="V68" i="2"/>
  <c r="V60" i="2"/>
  <c r="V52" i="2"/>
  <c r="V44" i="2"/>
  <c r="V36" i="2"/>
  <c r="V28" i="2"/>
  <c r="V20" i="2"/>
  <c r="V499" i="2"/>
  <c r="V491" i="2"/>
  <c r="V483" i="2"/>
  <c r="V475" i="2"/>
  <c r="V467" i="2"/>
  <c r="V459" i="2"/>
  <c r="V451" i="2"/>
  <c r="V443" i="2"/>
  <c r="V435" i="2"/>
  <c r="V427" i="2"/>
  <c r="V419" i="2"/>
  <c r="V411" i="2"/>
  <c r="V403" i="2"/>
  <c r="V395" i="2"/>
  <c r="V387" i="2"/>
  <c r="V379" i="2"/>
  <c r="V371" i="2"/>
  <c r="V363" i="2"/>
  <c r="V355" i="2"/>
  <c r="V347" i="2"/>
  <c r="V339" i="2"/>
  <c r="V331" i="2"/>
  <c r="V323" i="2"/>
  <c r="V315" i="2"/>
  <c r="V307" i="2"/>
  <c r="V299" i="2"/>
  <c r="V291" i="2"/>
  <c r="V283" i="2"/>
  <c r="V275" i="2"/>
  <c r="V267" i="2"/>
  <c r="V259" i="2"/>
  <c r="V251" i="2"/>
  <c r="V243" i="2"/>
  <c r="V235" i="2"/>
  <c r="V227" i="2"/>
  <c r="V219" i="2"/>
  <c r="V211" i="2"/>
  <c r="V203" i="2"/>
  <c r="V195" i="2"/>
  <c r="V187" i="2"/>
  <c r="V179" i="2"/>
  <c r="V171" i="2"/>
  <c r="V163" i="2"/>
  <c r="V155" i="2"/>
  <c r="V147" i="2"/>
  <c r="V139" i="2"/>
  <c r="V131" i="2"/>
  <c r="V123" i="2"/>
  <c r="V115" i="2"/>
  <c r="V107" i="2"/>
  <c r="V99" i="2"/>
  <c r="V91" i="2"/>
  <c r="V83" i="2"/>
  <c r="V75" i="2"/>
  <c r="V67" i="2"/>
  <c r="V59" i="2"/>
  <c r="V51" i="2"/>
  <c r="V43" i="2"/>
  <c r="V35" i="2"/>
  <c r="V27" i="2"/>
  <c r="V19" i="2"/>
  <c r="V498" i="2"/>
  <c r="V490" i="2"/>
  <c r="V482" i="2"/>
  <c r="V474" i="2"/>
  <c r="V466" i="2"/>
  <c r="V458" i="2"/>
  <c r="V450" i="2"/>
  <c r="V442" i="2"/>
  <c r="V434" i="2"/>
  <c r="V426" i="2"/>
  <c r="V418" i="2"/>
  <c r="V410" i="2"/>
  <c r="V402" i="2"/>
  <c r="V394" i="2"/>
  <c r="V386" i="2"/>
  <c r="V378" i="2"/>
  <c r="V370" i="2"/>
  <c r="V362" i="2"/>
  <c r="V354" i="2"/>
  <c r="V346" i="2"/>
  <c r="V338" i="2"/>
  <c r="V330" i="2"/>
  <c r="V322" i="2"/>
  <c r="V314" i="2"/>
  <c r="V306" i="2"/>
  <c r="V298" i="2"/>
  <c r="V290" i="2"/>
  <c r="V282" i="2"/>
  <c r="V274" i="2"/>
  <c r="V266" i="2"/>
  <c r="V258" i="2"/>
  <c r="V250" i="2"/>
  <c r="V242" i="2"/>
  <c r="V234" i="2"/>
  <c r="V226" i="2"/>
  <c r="V218" i="2"/>
  <c r="V210" i="2"/>
  <c r="V202" i="2"/>
  <c r="V194" i="2"/>
  <c r="V186" i="2"/>
  <c r="V178" i="2"/>
  <c r="V170" i="2"/>
  <c r="V162" i="2"/>
  <c r="V154" i="2"/>
  <c r="V146" i="2"/>
  <c r="V138" i="2"/>
  <c r="V130" i="2"/>
  <c r="V122" i="2"/>
  <c r="V114" i="2"/>
  <c r="V106" i="2"/>
  <c r="V98" i="2"/>
  <c r="V90" i="2"/>
  <c r="V82" i="2"/>
  <c r="V74" i="2"/>
  <c r="V66" i="2"/>
  <c r="V58" i="2"/>
  <c r="V50" i="2"/>
  <c r="V42" i="2"/>
  <c r="V34" i="2"/>
  <c r="V26" i="2"/>
  <c r="V18" i="2"/>
  <c r="V497" i="2"/>
  <c r="V489" i="2"/>
  <c r="V481" i="2"/>
  <c r="V473" i="2"/>
  <c r="V465" i="2"/>
  <c r="V457" i="2"/>
  <c r="V449" i="2"/>
  <c r="V441" i="2"/>
  <c r="V433" i="2"/>
  <c r="V425" i="2"/>
  <c r="V417" i="2"/>
  <c r="V409" i="2"/>
  <c r="V401" i="2"/>
  <c r="V393" i="2"/>
  <c r="V385" i="2"/>
  <c r="V377" i="2"/>
  <c r="V369" i="2"/>
  <c r="V361" i="2"/>
  <c r="V353" i="2"/>
  <c r="V345" i="2"/>
  <c r="V337" i="2"/>
  <c r="V329" i="2"/>
  <c r="V321" i="2"/>
  <c r="V313" i="2"/>
  <c r="V305" i="2"/>
  <c r="V297" i="2"/>
  <c r="V289" i="2"/>
  <c r="V281" i="2"/>
  <c r="V273" i="2"/>
  <c r="V265" i="2"/>
  <c r="V257" i="2"/>
  <c r="V249" i="2"/>
  <c r="V241" i="2"/>
  <c r="V233" i="2"/>
  <c r="V225" i="2"/>
  <c r="V217" i="2"/>
  <c r="V209" i="2"/>
  <c r="V201" i="2"/>
  <c r="V193" i="2"/>
  <c r="V185" i="2"/>
  <c r="V177" i="2"/>
  <c r="V169" i="2"/>
  <c r="V161" i="2"/>
  <c r="V153" i="2"/>
  <c r="V145" i="2"/>
  <c r="V137" i="2"/>
  <c r="V129" i="2"/>
  <c r="V121" i="2"/>
  <c r="V113" i="2"/>
  <c r="V105" i="2"/>
  <c r="V97" i="2"/>
  <c r="V89" i="2"/>
  <c r="V81" i="2"/>
  <c r="V73" i="2"/>
  <c r="V65" i="2"/>
  <c r="V57" i="2"/>
  <c r="V49" i="2"/>
  <c r="V41" i="2"/>
  <c r="V33" i="2"/>
  <c r="V25" i="2"/>
  <c r="V17" i="2"/>
  <c r="V496" i="2"/>
  <c r="V488" i="2"/>
  <c r="V480" i="2"/>
  <c r="V472" i="2"/>
  <c r="V464" i="2"/>
  <c r="V456" i="2"/>
  <c r="V448" i="2"/>
  <c r="V440" i="2"/>
  <c r="V432" i="2"/>
  <c r="V424" i="2"/>
  <c r="V416" i="2"/>
  <c r="V408" i="2"/>
  <c r="V400" i="2"/>
  <c r="V392" i="2"/>
  <c r="V384" i="2"/>
  <c r="V376" i="2"/>
  <c r="V368" i="2"/>
  <c r="V360" i="2"/>
  <c r="V352" i="2"/>
  <c r="V344" i="2"/>
  <c r="V336" i="2"/>
  <c r="V328" i="2"/>
  <c r="V320" i="2"/>
  <c r="V312" i="2"/>
  <c r="V304" i="2"/>
  <c r="V296" i="2"/>
  <c r="V288" i="2"/>
  <c r="V280" i="2"/>
  <c r="V272" i="2"/>
  <c r="V264" i="2"/>
  <c r="V256" i="2"/>
  <c r="V248" i="2"/>
  <c r="V240" i="2"/>
  <c r="V232" i="2"/>
  <c r="V224" i="2"/>
  <c r="V216" i="2"/>
  <c r="V208" i="2"/>
  <c r="V200" i="2"/>
  <c r="V192" i="2"/>
  <c r="V184" i="2"/>
  <c r="V176" i="2"/>
  <c r="V168" i="2"/>
  <c r="V160" i="2"/>
  <c r="V152" i="2"/>
  <c r="V144" i="2"/>
  <c r="V136" i="2"/>
  <c r="V128" i="2"/>
  <c r="V120" i="2"/>
  <c r="V112" i="2"/>
  <c r="V104" i="2"/>
  <c r="V96" i="2"/>
  <c r="V88" i="2"/>
  <c r="V80" i="2"/>
  <c r="V72" i="2"/>
  <c r="V64" i="2"/>
  <c r="V56" i="2"/>
  <c r="V48" i="2"/>
  <c r="V40" i="2"/>
  <c r="V32" i="2"/>
  <c r="V24" i="2"/>
  <c r="V16" i="2"/>
  <c r="V495" i="2"/>
  <c r="V487" i="2"/>
  <c r="V479" i="2"/>
  <c r="V471" i="2"/>
  <c r="V463" i="2"/>
  <c r="V455" i="2"/>
  <c r="V447" i="2"/>
  <c r="V439" i="2"/>
  <c r="V431" i="2"/>
  <c r="V423" i="2"/>
  <c r="V415" i="2"/>
  <c r="V407" i="2"/>
  <c r="V399" i="2"/>
  <c r="V391" i="2"/>
  <c r="V383" i="2"/>
  <c r="V375" i="2"/>
  <c r="V367" i="2"/>
  <c r="V359" i="2"/>
  <c r="V351" i="2"/>
  <c r="V343" i="2"/>
  <c r="V335" i="2"/>
  <c r="V327" i="2"/>
  <c r="V319" i="2"/>
  <c r="V311" i="2"/>
  <c r="V303" i="2"/>
  <c r="V295" i="2"/>
  <c r="V287" i="2"/>
  <c r="V279" i="2"/>
  <c r="V271" i="2"/>
  <c r="V263" i="2"/>
  <c r="V255" i="2"/>
  <c r="V247" i="2"/>
  <c r="V239" i="2"/>
  <c r="V231" i="2"/>
  <c r="V223" i="2"/>
  <c r="V215" i="2"/>
  <c r="V207" i="2"/>
  <c r="V199" i="2"/>
  <c r="V191" i="2"/>
  <c r="V183" i="2"/>
  <c r="V175" i="2"/>
  <c r="V167" i="2"/>
  <c r="V159" i="2"/>
  <c r="V151" i="2"/>
  <c r="V143" i="2"/>
  <c r="V135" i="2"/>
  <c r="V127" i="2"/>
  <c r="V119" i="2"/>
  <c r="V111" i="2"/>
  <c r="V103" i="2"/>
  <c r="V95" i="2"/>
  <c r="V87" i="2"/>
  <c r="V79" i="2"/>
  <c r="V71" i="2"/>
  <c r="V63" i="2"/>
  <c r="V55" i="2"/>
  <c r="V47" i="2"/>
  <c r="V39" i="2"/>
  <c r="V31" i="2"/>
  <c r="V23" i="2"/>
  <c r="V15" i="2"/>
  <c r="V494" i="2"/>
  <c r="V486" i="2"/>
  <c r="V478" i="2"/>
  <c r="V470" i="2"/>
  <c r="V462" i="2"/>
  <c r="V454" i="2"/>
  <c r="V446" i="2"/>
  <c r="V438" i="2"/>
  <c r="V430" i="2"/>
  <c r="V422" i="2"/>
  <c r="V414" i="2"/>
  <c r="V406" i="2"/>
  <c r="V398" i="2"/>
  <c r="V390" i="2"/>
  <c r="V382" i="2"/>
  <c r="V374" i="2"/>
  <c r="V366" i="2"/>
  <c r="V358" i="2"/>
  <c r="V350" i="2"/>
  <c r="V342" i="2"/>
  <c r="V334" i="2"/>
  <c r="V326" i="2"/>
  <c r="V318" i="2"/>
  <c r="V310" i="2"/>
  <c r="V302" i="2"/>
  <c r="V294" i="2"/>
  <c r="V286" i="2"/>
  <c r="V278" i="2"/>
  <c r="V270" i="2"/>
  <c r="V262" i="2"/>
  <c r="V254" i="2"/>
  <c r="V246" i="2"/>
  <c r="V238" i="2"/>
  <c r="V230" i="2"/>
  <c r="V222" i="2"/>
  <c r="V214" i="2"/>
  <c r="V206" i="2"/>
  <c r="V198" i="2"/>
  <c r="V190" i="2"/>
  <c r="V182" i="2"/>
  <c r="V174" i="2"/>
  <c r="V166" i="2"/>
  <c r="V158" i="2"/>
  <c r="V150" i="2"/>
  <c r="V142" i="2"/>
  <c r="V134" i="2"/>
  <c r="V126" i="2"/>
  <c r="V118" i="2"/>
  <c r="V110" i="2"/>
  <c r="V102" i="2"/>
  <c r="V94" i="2"/>
  <c r="V86" i="2"/>
  <c r="V78" i="2"/>
  <c r="V70" i="2"/>
  <c r="V62" i="2"/>
  <c r="V54" i="2"/>
  <c r="V46" i="2"/>
  <c r="V38" i="2"/>
  <c r="V30" i="2"/>
  <c r="V22" i="2"/>
  <c r="V14" i="2"/>
  <c r="V13" i="2"/>
  <c r="V16" i="42"/>
  <c r="X16" i="42" s="1"/>
  <c r="K18" i="4"/>
  <c r="A18" i="4"/>
  <c r="G18" i="4"/>
  <c r="I18" i="4"/>
  <c r="C18" i="4"/>
  <c r="E18" i="4"/>
  <c r="G17" i="4"/>
  <c r="K17" i="4"/>
  <c r="I17" i="4"/>
  <c r="C17" i="4"/>
  <c r="E17" i="4"/>
  <c r="K16" i="4"/>
  <c r="A17" i="4"/>
  <c r="E16" i="4"/>
  <c r="I16" i="4"/>
  <c r="G16" i="4"/>
  <c r="C16" i="4"/>
  <c r="C15" i="4"/>
  <c r="A16" i="4"/>
  <c r="K15" i="4"/>
  <c r="I15" i="4"/>
  <c r="G15" i="4"/>
  <c r="E15" i="4"/>
  <c r="A15" i="4"/>
  <c r="K14" i="4"/>
  <c r="I14" i="4"/>
  <c r="A14" i="4"/>
  <c r="G14" i="4"/>
  <c r="C14" i="4"/>
  <c r="E14" i="4"/>
  <c r="I13" i="4"/>
  <c r="K13" i="4"/>
  <c r="A13" i="4"/>
  <c r="G13" i="4"/>
  <c r="E13" i="4"/>
  <c r="J6" i="4"/>
  <c r="C13" i="4"/>
  <c r="A6" i="4"/>
  <c r="G6" i="4"/>
  <c r="D6" i="4"/>
  <c r="K28" i="4"/>
  <c r="K27" i="4"/>
  <c r="K26" i="4"/>
  <c r="K25" i="4"/>
  <c r="K24" i="4"/>
  <c r="AA39" i="4"/>
  <c r="AB39" i="4" s="1"/>
  <c r="W1007" i="42"/>
  <c r="AH1007" i="42"/>
  <c r="W999" i="42"/>
  <c r="AH999" i="42"/>
  <c r="W991" i="42"/>
  <c r="AH991" i="42"/>
  <c r="W983" i="42"/>
  <c r="AH983" i="42"/>
  <c r="W975" i="42"/>
  <c r="AH975" i="42"/>
  <c r="W967" i="42"/>
  <c r="AH967" i="42"/>
  <c r="W959" i="42"/>
  <c r="AH959" i="42"/>
  <c r="W951" i="42"/>
  <c r="AH951" i="42"/>
  <c r="W943" i="42"/>
  <c r="AH943" i="42"/>
  <c r="W935" i="42"/>
  <c r="AH935" i="42"/>
  <c r="W927" i="42"/>
  <c r="AH927" i="42"/>
  <c r="W919" i="42"/>
  <c r="AH919" i="42"/>
  <c r="W911" i="42"/>
  <c r="AH911" i="42"/>
  <c r="W903" i="42"/>
  <c r="AH903" i="42"/>
  <c r="Y687" i="42"/>
  <c r="AH687" i="42"/>
  <c r="Y655" i="42"/>
  <c r="AH655" i="42"/>
  <c r="Y623" i="42"/>
  <c r="AH623" i="42"/>
  <c r="AH503" i="42"/>
  <c r="AH495" i="42"/>
  <c r="AH487" i="42"/>
  <c r="AH471" i="42"/>
  <c r="AH463" i="42"/>
  <c r="AH455" i="42"/>
  <c r="AH439" i="42"/>
  <c r="AH431" i="42"/>
  <c r="AH423" i="42"/>
  <c r="AH407" i="42"/>
  <c r="AH399" i="42"/>
  <c r="AH391" i="42"/>
  <c r="AH375" i="42"/>
  <c r="AH367" i="42"/>
  <c r="AH359" i="42"/>
  <c r="AH343" i="42"/>
  <c r="AH335" i="42"/>
  <c r="AH327" i="42"/>
  <c r="AH303" i="42"/>
  <c r="AH271" i="42"/>
  <c r="AH239" i="42"/>
  <c r="AH207" i="42"/>
  <c r="AH175" i="42"/>
  <c r="AH143" i="42"/>
  <c r="AH111" i="42"/>
  <c r="AH79" i="42"/>
  <c r="AH47" i="42"/>
  <c r="Y662" i="42"/>
  <c r="AH662" i="42"/>
  <c r="Y630" i="42"/>
  <c r="AH630" i="42"/>
  <c r="Y598" i="42"/>
  <c r="AH598" i="42"/>
  <c r="Y566" i="42"/>
  <c r="AH566" i="42"/>
  <c r="Y534" i="42"/>
  <c r="AH534" i="42"/>
  <c r="AH510" i="42"/>
  <c r="AH502" i="42"/>
  <c r="AH494" i="42"/>
  <c r="AH486" i="42"/>
  <c r="AH478" i="42"/>
  <c r="AH470" i="42"/>
  <c r="AH462" i="42"/>
  <c r="AH454" i="42"/>
  <c r="AH446" i="42"/>
  <c r="AH438" i="42"/>
  <c r="AH430" i="42"/>
  <c r="AH422" i="42"/>
  <c r="AH414" i="42"/>
  <c r="AH406" i="42"/>
  <c r="AH398" i="42"/>
  <c r="AH390" i="42"/>
  <c r="AH382" i="42"/>
  <c r="AH374" i="42"/>
  <c r="AH366" i="42"/>
  <c r="AH358" i="42"/>
  <c r="AH350" i="42"/>
  <c r="AH342" i="42"/>
  <c r="AH334" i="42"/>
  <c r="AH326" i="42"/>
  <c r="AH318" i="42"/>
  <c r="AH310" i="42"/>
  <c r="AH302" i="42"/>
  <c r="AH294" i="42"/>
  <c r="AH286" i="42"/>
  <c r="AH278" i="42"/>
  <c r="AH270" i="42"/>
  <c r="AH262" i="42"/>
  <c r="AH254" i="42"/>
  <c r="AH246" i="42"/>
  <c r="AH238" i="42"/>
  <c r="AH230" i="42"/>
  <c r="AH222" i="42"/>
  <c r="AH214" i="42"/>
  <c r="AH206" i="42"/>
  <c r="X198" i="42"/>
  <c r="AH198" i="42"/>
  <c r="AH190" i="42"/>
  <c r="AH182" i="42"/>
  <c r="AH174" i="42"/>
  <c r="X166" i="42"/>
  <c r="AH166" i="42"/>
  <c r="AH158" i="42"/>
  <c r="AH150" i="42"/>
  <c r="AH118" i="42"/>
  <c r="AH86" i="42"/>
  <c r="AH54" i="42"/>
  <c r="Y861" i="42"/>
  <c r="AH861" i="42"/>
  <c r="Y853" i="42"/>
  <c r="AH853" i="42"/>
  <c r="Y845" i="42"/>
  <c r="AH845" i="42"/>
  <c r="Y837" i="42"/>
  <c r="AH837" i="42"/>
  <c r="Y829" i="42"/>
  <c r="AH829" i="42"/>
  <c r="Y821" i="42"/>
  <c r="AH821" i="42"/>
  <c r="Y813" i="42"/>
  <c r="AH813" i="42"/>
  <c r="Y805" i="42"/>
  <c r="AH805" i="42"/>
  <c r="Y797" i="42"/>
  <c r="AH797" i="42"/>
  <c r="Y789" i="42"/>
  <c r="AH789" i="42"/>
  <c r="Y781" i="42"/>
  <c r="AH781" i="42"/>
  <c r="Y773" i="42"/>
  <c r="AH773" i="42"/>
  <c r="Y765" i="42"/>
  <c r="AH765" i="42"/>
  <c r="Y757" i="42"/>
  <c r="AH757" i="42"/>
  <c r="Y749" i="42"/>
  <c r="AH749" i="42"/>
  <c r="Y741" i="42"/>
  <c r="AH741" i="42"/>
  <c r="Y733" i="42"/>
  <c r="AH733" i="42"/>
  <c r="Y725" i="42"/>
  <c r="AH725" i="42"/>
  <c r="Y717" i="42"/>
  <c r="AH717" i="42"/>
  <c r="Y709" i="42"/>
  <c r="AH709" i="42"/>
  <c r="Y701" i="42"/>
  <c r="AH701" i="42"/>
  <c r="Y693" i="42"/>
  <c r="AH693" i="42"/>
  <c r="Y685" i="42"/>
  <c r="AH685" i="42"/>
  <c r="Y677" i="42"/>
  <c r="AH677" i="42"/>
  <c r="Y669" i="42"/>
  <c r="AH669" i="42"/>
  <c r="Y661" i="42"/>
  <c r="AH661" i="42"/>
  <c r="Y653" i="42"/>
  <c r="AH653" i="42"/>
  <c r="Y645" i="42"/>
  <c r="AH645" i="42"/>
  <c r="Y637" i="42"/>
  <c r="AH637" i="42"/>
  <c r="Y629" i="42"/>
  <c r="AH629" i="42"/>
  <c r="Y621" i="42"/>
  <c r="AH621" i="42"/>
  <c r="Y613" i="42"/>
  <c r="AH613" i="42"/>
  <c r="Y605" i="42"/>
  <c r="AH605" i="42"/>
  <c r="Y597" i="42"/>
  <c r="AH597" i="42"/>
  <c r="Y589" i="42"/>
  <c r="AH589" i="42"/>
  <c r="Y581" i="42"/>
  <c r="AH581" i="42"/>
  <c r="Y573" i="42"/>
  <c r="AH573" i="42"/>
  <c r="Y565" i="42"/>
  <c r="AH565" i="42"/>
  <c r="Y557" i="42"/>
  <c r="AH557" i="42"/>
  <c r="Y549" i="42"/>
  <c r="AH549" i="42"/>
  <c r="Y541" i="42"/>
  <c r="AH541" i="42"/>
  <c r="Y533" i="42"/>
  <c r="AH533" i="42"/>
  <c r="Y525" i="42"/>
  <c r="AH525" i="42"/>
  <c r="Y517" i="42"/>
  <c r="AH517" i="42"/>
  <c r="AH509" i="42"/>
  <c r="AH501" i="42"/>
  <c r="AH493" i="42"/>
  <c r="AH485" i="42"/>
  <c r="AH477" i="42"/>
  <c r="AH469" i="42"/>
  <c r="AH461" i="42"/>
  <c r="AH453" i="42"/>
  <c r="AH445" i="42"/>
  <c r="AH437" i="42"/>
  <c r="AH429" i="42"/>
  <c r="AH421" i="42"/>
  <c r="AH413" i="42"/>
  <c r="AH405" i="42"/>
  <c r="AH397" i="42"/>
  <c r="AH389" i="42"/>
  <c r="AH381" i="42"/>
  <c r="AH373" i="42"/>
  <c r="AH365" i="42"/>
  <c r="AH357" i="42"/>
  <c r="AH349" i="42"/>
  <c r="AH341" i="42"/>
  <c r="AH333" i="42"/>
  <c r="AH325" i="42"/>
  <c r="AH317" i="42"/>
  <c r="AH309" i="42"/>
  <c r="AH301" i="42"/>
  <c r="AH293" i="42"/>
  <c r="AH285" i="42"/>
  <c r="AH277" i="42"/>
  <c r="AH269" i="42"/>
  <c r="AH261" i="42"/>
  <c r="AH253" i="42"/>
  <c r="AH245" i="42"/>
  <c r="AH237" i="42"/>
  <c r="AH229" i="42"/>
  <c r="AH221" i="42"/>
  <c r="AH213" i="42"/>
  <c r="AH205" i="42"/>
  <c r="AH197" i="42"/>
  <c r="AH189" i="42"/>
  <c r="AH181" i="42"/>
  <c r="AH173" i="42"/>
  <c r="AH165" i="42"/>
  <c r="AH157" i="42"/>
  <c r="AH149" i="42"/>
  <c r="AH141" i="42"/>
  <c r="AH133" i="42"/>
  <c r="AH125" i="42"/>
  <c r="Y692" i="42"/>
  <c r="AH692" i="42"/>
  <c r="Y676" i="42"/>
  <c r="AH676" i="42"/>
  <c r="Y644" i="42"/>
  <c r="AH644" i="42"/>
  <c r="Y612" i="42"/>
  <c r="AH612" i="42"/>
  <c r="AH508" i="42"/>
  <c r="AH492" i="42"/>
  <c r="AH484" i="42"/>
  <c r="AH476" i="42"/>
  <c r="AH460" i="42"/>
  <c r="AH452" i="42"/>
  <c r="AH444" i="42"/>
  <c r="AH428" i="42"/>
  <c r="AH420" i="42"/>
  <c r="AH412" i="42"/>
  <c r="AH396" i="42"/>
  <c r="AH388" i="42"/>
  <c r="AH380" i="42"/>
  <c r="AH364" i="42"/>
  <c r="AH356" i="42"/>
  <c r="AH348" i="42"/>
  <c r="AH332" i="42"/>
  <c r="AH324" i="42"/>
  <c r="AH316" i="42"/>
  <c r="AH292" i="42"/>
  <c r="AH260" i="42"/>
  <c r="AH228" i="42"/>
  <c r="AH196" i="42"/>
  <c r="AH164" i="42"/>
  <c r="AH132" i="42"/>
  <c r="AH100" i="42"/>
  <c r="AH68" i="42"/>
  <c r="Y683" i="42"/>
  <c r="AH683" i="42"/>
  <c r="Y651" i="42"/>
  <c r="AH651" i="42"/>
  <c r="Y619" i="42"/>
  <c r="AH619" i="42"/>
  <c r="Y587" i="42"/>
  <c r="AH587" i="42"/>
  <c r="Y555" i="42"/>
  <c r="AH555" i="42"/>
  <c r="Y523" i="42"/>
  <c r="AH523" i="42"/>
  <c r="AH507" i="42"/>
  <c r="AH499" i="42"/>
  <c r="AH491" i="42"/>
  <c r="AH483" i="42"/>
  <c r="AH475" i="42"/>
  <c r="AH467" i="42"/>
  <c r="AH459" i="42"/>
  <c r="AH451" i="42"/>
  <c r="AH443" i="42"/>
  <c r="AH435" i="42"/>
  <c r="AH427" i="42"/>
  <c r="AH419" i="42"/>
  <c r="AH411" i="42"/>
  <c r="AH403" i="42"/>
  <c r="AH395" i="42"/>
  <c r="AH387" i="42"/>
  <c r="AH379" i="42"/>
  <c r="AH371" i="42"/>
  <c r="AH363" i="42"/>
  <c r="AH355" i="42"/>
  <c r="AH347" i="42"/>
  <c r="AH339" i="42"/>
  <c r="AH331" i="42"/>
  <c r="AH323" i="42"/>
  <c r="AH315" i="42"/>
  <c r="AH307" i="42"/>
  <c r="AH299" i="42"/>
  <c r="AH291" i="42"/>
  <c r="AH283" i="42"/>
  <c r="AH275" i="42"/>
  <c r="AH267" i="42"/>
  <c r="AH259" i="42"/>
  <c r="AH251" i="42"/>
  <c r="AH243" i="42"/>
  <c r="AH235" i="42"/>
  <c r="AH227" i="42"/>
  <c r="AH219" i="42"/>
  <c r="AH211" i="42"/>
  <c r="AH203" i="42"/>
  <c r="AH195" i="42"/>
  <c r="AH187" i="42"/>
  <c r="AH179" i="42"/>
  <c r="AH171" i="42"/>
  <c r="AH163" i="42"/>
  <c r="AH155" i="42"/>
  <c r="AH147" i="42"/>
  <c r="AH139" i="42"/>
  <c r="AH107" i="42"/>
  <c r="AH75" i="42"/>
  <c r="Y666" i="42"/>
  <c r="AH666" i="42"/>
  <c r="Y634" i="42"/>
  <c r="AH634" i="42"/>
  <c r="Y602" i="42"/>
  <c r="AH602" i="42"/>
  <c r="Y570" i="42"/>
  <c r="AH570" i="42"/>
  <c r="Y538" i="42"/>
  <c r="AH538" i="42"/>
  <c r="AH506" i="42"/>
  <c r="AH498" i="42"/>
  <c r="AH490" i="42"/>
  <c r="AH482" i="42"/>
  <c r="AH474" i="42"/>
  <c r="AH466" i="42"/>
  <c r="AH458" i="42"/>
  <c r="AH450" i="42"/>
  <c r="AH442" i="42"/>
  <c r="AH434" i="42"/>
  <c r="AH426" i="42"/>
  <c r="AH418" i="42"/>
  <c r="AH410" i="42"/>
  <c r="AH402" i="42"/>
  <c r="AH394" i="42"/>
  <c r="AH386" i="42"/>
  <c r="AH378" i="42"/>
  <c r="AH370" i="42"/>
  <c r="AH362" i="42"/>
  <c r="AH354" i="42"/>
  <c r="AH346" i="42"/>
  <c r="AH338" i="42"/>
  <c r="AH330" i="42"/>
  <c r="AH322" i="42"/>
  <c r="AH314" i="42"/>
  <c r="AH306" i="42"/>
  <c r="AH298" i="42"/>
  <c r="AH290" i="42"/>
  <c r="AH282" i="42"/>
  <c r="AH274" i="42"/>
  <c r="AH266" i="42"/>
  <c r="AH258" i="42"/>
  <c r="AH250" i="42"/>
  <c r="AH242" i="42"/>
  <c r="AH234" i="42"/>
  <c r="AH226" i="42"/>
  <c r="AH218" i="42"/>
  <c r="AH210" i="42"/>
  <c r="AH202" i="42"/>
  <c r="AH194" i="42"/>
  <c r="AH186" i="42"/>
  <c r="AH178" i="42"/>
  <c r="AH170" i="42"/>
  <c r="AH162" i="42"/>
  <c r="AH154" i="42"/>
  <c r="AH146" i="42"/>
  <c r="AH138" i="42"/>
  <c r="AH122" i="42"/>
  <c r="AH90" i="42"/>
  <c r="AH58" i="42"/>
  <c r="Y681" i="42"/>
  <c r="AH681" i="42"/>
  <c r="Y673" i="42"/>
  <c r="AH673" i="42"/>
  <c r="Y665" i="42"/>
  <c r="AH665" i="42"/>
  <c r="Y657" i="42"/>
  <c r="AH657" i="42"/>
  <c r="Y649" i="42"/>
  <c r="AH649" i="42"/>
  <c r="Y641" i="42"/>
  <c r="AH641" i="42"/>
  <c r="Y633" i="42"/>
  <c r="AH633" i="42"/>
  <c r="Y625" i="42"/>
  <c r="AH625" i="42"/>
  <c r="Y617" i="42"/>
  <c r="AH617" i="42"/>
  <c r="Y609" i="42"/>
  <c r="AH609" i="42"/>
  <c r="Y601" i="42"/>
  <c r="AH601" i="42"/>
  <c r="Y593" i="42"/>
  <c r="AH593" i="42"/>
  <c r="Y585" i="42"/>
  <c r="AH585" i="42"/>
  <c r="Y577" i="42"/>
  <c r="AH577" i="42"/>
  <c r="Y569" i="42"/>
  <c r="AH569" i="42"/>
  <c r="Y561" i="42"/>
  <c r="AH561" i="42"/>
  <c r="Y553" i="42"/>
  <c r="AH553" i="42"/>
  <c r="Y545" i="42"/>
  <c r="AH545" i="42"/>
  <c r="Y537" i="42"/>
  <c r="AH537" i="42"/>
  <c r="Y529" i="42"/>
  <c r="AH529" i="42"/>
  <c r="Y521" i="42"/>
  <c r="AH521" i="42"/>
  <c r="AH513" i="42"/>
  <c r="AH505" i="42"/>
  <c r="AH497" i="42"/>
  <c r="AH489" i="42"/>
  <c r="AH481" i="42"/>
  <c r="AH473" i="42"/>
  <c r="AH465" i="42"/>
  <c r="AH457" i="42"/>
  <c r="AH449" i="42"/>
  <c r="AH441" i="42"/>
  <c r="AH433" i="42"/>
  <c r="AH425" i="42"/>
  <c r="AH417" i="42"/>
  <c r="AH409" i="42"/>
  <c r="AH401" i="42"/>
  <c r="AH393" i="42"/>
  <c r="AH385" i="42"/>
  <c r="AH377" i="42"/>
  <c r="AH369" i="42"/>
  <c r="AH361" i="42"/>
  <c r="AH353" i="42"/>
  <c r="AH345" i="42"/>
  <c r="AH337" i="42"/>
  <c r="AH329" i="42"/>
  <c r="AH321" i="42"/>
  <c r="AH313" i="42"/>
  <c r="AH305" i="42"/>
  <c r="AH297" i="42"/>
  <c r="AH289" i="42"/>
  <c r="AH281" i="42"/>
  <c r="AH273" i="42"/>
  <c r="AH265" i="42"/>
  <c r="AH257" i="42"/>
  <c r="AH249" i="42"/>
  <c r="AH241" i="42"/>
  <c r="AH233" i="42"/>
  <c r="AH225" i="42"/>
  <c r="AH217" i="42"/>
  <c r="AH209" i="42"/>
  <c r="AH201" i="42"/>
  <c r="AH193" i="42"/>
  <c r="AH185" i="42"/>
  <c r="AH177" i="42"/>
  <c r="AH169" i="42"/>
  <c r="AH161" i="42"/>
  <c r="AH153" i="42"/>
  <c r="W1008" i="42"/>
  <c r="AH1008" i="42"/>
  <c r="W1000" i="42"/>
  <c r="AH1000" i="42"/>
  <c r="W992" i="42"/>
  <c r="AH992" i="42"/>
  <c r="W984" i="42"/>
  <c r="AH984" i="42"/>
  <c r="W976" i="42"/>
  <c r="AH976" i="42"/>
  <c r="W968" i="42"/>
  <c r="AH968" i="42"/>
  <c r="W960" i="42"/>
  <c r="AH960" i="42"/>
  <c r="W952" i="42"/>
  <c r="AH952" i="42"/>
  <c r="W944" i="42"/>
  <c r="AH944" i="42"/>
  <c r="W936" i="42"/>
  <c r="AH936" i="42"/>
  <c r="W928" i="42"/>
  <c r="AH928" i="42"/>
  <c r="W920" i="42"/>
  <c r="AH920" i="42"/>
  <c r="W912" i="42"/>
  <c r="AH912" i="42"/>
  <c r="W904" i="42"/>
  <c r="AH904" i="42"/>
  <c r="Y776" i="42"/>
  <c r="AH776" i="42"/>
  <c r="Y768" i="42"/>
  <c r="AH768" i="42"/>
  <c r="Y760" i="42"/>
  <c r="AH760" i="42"/>
  <c r="Y752" i="42"/>
  <c r="AH752" i="42"/>
  <c r="Y744" i="42"/>
  <c r="AH744" i="42"/>
  <c r="Y736" i="42"/>
  <c r="AH736" i="42"/>
  <c r="Y728" i="42"/>
  <c r="AH728" i="42"/>
  <c r="Y720" i="42"/>
  <c r="AH720" i="42"/>
  <c r="Y712" i="42"/>
  <c r="AH712" i="42"/>
  <c r="Y704" i="42"/>
  <c r="AH704" i="42"/>
  <c r="Y696" i="42"/>
  <c r="AH696" i="42"/>
  <c r="Y672" i="42"/>
  <c r="AH672" i="42"/>
  <c r="Y640" i="42"/>
  <c r="AH640" i="42"/>
  <c r="Y608" i="42"/>
  <c r="AH608" i="42"/>
  <c r="Y576" i="42"/>
  <c r="AH576" i="42"/>
  <c r="Y544" i="42"/>
  <c r="AH544" i="42"/>
  <c r="AH512" i="42"/>
  <c r="AH504" i="42"/>
  <c r="AH496" i="42"/>
  <c r="AH488" i="42"/>
  <c r="AH480" i="42"/>
  <c r="AH472" i="42"/>
  <c r="AH464" i="42"/>
  <c r="AH456" i="42"/>
  <c r="AH448" i="42"/>
  <c r="AH440" i="42"/>
  <c r="AH432" i="42"/>
  <c r="AH424" i="42"/>
  <c r="AH416" i="42"/>
  <c r="AH408" i="42"/>
  <c r="AH400" i="42"/>
  <c r="AH392" i="42"/>
  <c r="AH384" i="42"/>
  <c r="AH376" i="42"/>
  <c r="AH368" i="42"/>
  <c r="AH360" i="42"/>
  <c r="AH352" i="42"/>
  <c r="AH344" i="42"/>
  <c r="AH336" i="42"/>
  <c r="AH328" i="42"/>
  <c r="AH320" i="42"/>
  <c r="AH312" i="42"/>
  <c r="AH304" i="42"/>
  <c r="AH296" i="42"/>
  <c r="AH288" i="42"/>
  <c r="AH280" i="42"/>
  <c r="AH272" i="42"/>
  <c r="AH264" i="42"/>
  <c r="AH256" i="42"/>
  <c r="AH248" i="42"/>
  <c r="AH240" i="42"/>
  <c r="AH232" i="42"/>
  <c r="AH224" i="42"/>
  <c r="AH216" i="42"/>
  <c r="AH208" i="42"/>
  <c r="AH200" i="42"/>
  <c r="AH192" i="42"/>
  <c r="AH184" i="42"/>
  <c r="AH176" i="42"/>
  <c r="AH168" i="42"/>
  <c r="AH160" i="42"/>
  <c r="AH152" i="42"/>
  <c r="AH144" i="42"/>
  <c r="AH128" i="42"/>
  <c r="AH96" i="42"/>
  <c r="AH64" i="42"/>
  <c r="AH40" i="42"/>
  <c r="AH511" i="42"/>
  <c r="AH479" i="42"/>
  <c r="AH447" i="42"/>
  <c r="AH415" i="42"/>
  <c r="AH383" i="42"/>
  <c r="AH351" i="42"/>
  <c r="AH319" i="42"/>
  <c r="AH311" i="42"/>
  <c r="AH295" i="42"/>
  <c r="AH287" i="42"/>
  <c r="X279" i="42"/>
  <c r="AH279" i="42"/>
  <c r="AH263" i="42"/>
  <c r="AH255" i="42"/>
  <c r="X247" i="42"/>
  <c r="AH247" i="42"/>
  <c r="AH231" i="42"/>
  <c r="AH223" i="42"/>
  <c r="X215" i="42"/>
  <c r="AH215" i="42"/>
  <c r="AH199" i="42"/>
  <c r="AH191" i="42"/>
  <c r="X183" i="42"/>
  <c r="AH183" i="42"/>
  <c r="AH167" i="42"/>
  <c r="AH159" i="42"/>
  <c r="X151" i="42"/>
  <c r="AH151" i="42"/>
  <c r="AH135" i="42"/>
  <c r="AH127" i="42"/>
  <c r="X119" i="42"/>
  <c r="AH119" i="42"/>
  <c r="AH103" i="42"/>
  <c r="AH95" i="42"/>
  <c r="X87" i="42"/>
  <c r="AH87" i="42"/>
  <c r="AH71" i="42"/>
  <c r="AH63" i="42"/>
  <c r="X55" i="42"/>
  <c r="AH55" i="42"/>
  <c r="AH39" i="42"/>
  <c r="AH31" i="42"/>
  <c r="AH23" i="42"/>
  <c r="AH559" i="42"/>
  <c r="AH516" i="42"/>
  <c r="AH142" i="42"/>
  <c r="X134" i="42"/>
  <c r="AH134" i="42"/>
  <c r="AH126" i="42"/>
  <c r="AH110" i="42"/>
  <c r="X102" i="42"/>
  <c r="AH102" i="42"/>
  <c r="AH94" i="42"/>
  <c r="AH78" i="42"/>
  <c r="X70" i="42"/>
  <c r="AH70" i="42"/>
  <c r="AH62" i="42"/>
  <c r="AH46" i="42"/>
  <c r="X38" i="42"/>
  <c r="AH38" i="42"/>
  <c r="AH30" i="42"/>
  <c r="AH22" i="42"/>
  <c r="AH117" i="42"/>
  <c r="AH109" i="42"/>
  <c r="AH101" i="42"/>
  <c r="AH93" i="42"/>
  <c r="AH85" i="42"/>
  <c r="AH77" i="42"/>
  <c r="AH69" i="42"/>
  <c r="AH61" i="42"/>
  <c r="AH53" i="42"/>
  <c r="AH45" i="42"/>
  <c r="AH37" i="42"/>
  <c r="AH29" i="42"/>
  <c r="AH21" i="42"/>
  <c r="AH527" i="42"/>
  <c r="AH500" i="42"/>
  <c r="AH468" i="42"/>
  <c r="AH436" i="42"/>
  <c r="AH404" i="42"/>
  <c r="AH372" i="42"/>
  <c r="AH340" i="42"/>
  <c r="AH308" i="42"/>
  <c r="AH300" i="42"/>
  <c r="AH284" i="42"/>
  <c r="AH276" i="42"/>
  <c r="X268" i="42"/>
  <c r="AH268" i="42"/>
  <c r="AH252" i="42"/>
  <c r="AH244" i="42"/>
  <c r="X236" i="42"/>
  <c r="AH236" i="42"/>
  <c r="AH220" i="42"/>
  <c r="AH212" i="42"/>
  <c r="X204" i="42"/>
  <c r="AH204" i="42"/>
  <c r="AH188" i="42"/>
  <c r="AH180" i="42"/>
  <c r="X172" i="42"/>
  <c r="AH172" i="42"/>
  <c r="AH156" i="42"/>
  <c r="AH148" i="42"/>
  <c r="X140" i="42"/>
  <c r="AH140" i="42"/>
  <c r="AH124" i="42"/>
  <c r="AH116" i="42"/>
  <c r="X108" i="42"/>
  <c r="AH108" i="42"/>
  <c r="AH92" i="42"/>
  <c r="AH84" i="42"/>
  <c r="X76" i="42"/>
  <c r="AH76" i="42"/>
  <c r="AH60" i="42"/>
  <c r="AH52" i="42"/>
  <c r="X44" i="42"/>
  <c r="AH44" i="42"/>
  <c r="AH36" i="42"/>
  <c r="AH28" i="42"/>
  <c r="AH20" i="42"/>
  <c r="AH131" i="42"/>
  <c r="AH123" i="42"/>
  <c r="AH115" i="42"/>
  <c r="AH99" i="42"/>
  <c r="AH91" i="42"/>
  <c r="AH83" i="42"/>
  <c r="AH67" i="42"/>
  <c r="AH59" i="42"/>
  <c r="AH51" i="42"/>
  <c r="AH43" i="42"/>
  <c r="AH35" i="42"/>
  <c r="AH27" i="42"/>
  <c r="AH19" i="42"/>
  <c r="AH580" i="42"/>
  <c r="AH130" i="42"/>
  <c r="AH114" i="42"/>
  <c r="AH106" i="42"/>
  <c r="AH98" i="42"/>
  <c r="AH82" i="42"/>
  <c r="AH74" i="42"/>
  <c r="AH66" i="42"/>
  <c r="AH50" i="42"/>
  <c r="AH42" i="42"/>
  <c r="AH34" i="42"/>
  <c r="AH26" i="42"/>
  <c r="AH18" i="42"/>
  <c r="AH145" i="42"/>
  <c r="AH137" i="42"/>
  <c r="AH129" i="42"/>
  <c r="AH121" i="42"/>
  <c r="AH113" i="42"/>
  <c r="AH105" i="42"/>
  <c r="AH97" i="42"/>
  <c r="AH89" i="42"/>
  <c r="AH81" i="42"/>
  <c r="AH73" i="42"/>
  <c r="AH65" i="42"/>
  <c r="AH57" i="42"/>
  <c r="AH49" i="42"/>
  <c r="AH41" i="42"/>
  <c r="AH33" i="42"/>
  <c r="AH25" i="42"/>
  <c r="AH17" i="42"/>
  <c r="AH591" i="42"/>
  <c r="AH548" i="42"/>
  <c r="AH136" i="42"/>
  <c r="AH120" i="42"/>
  <c r="AH112" i="42"/>
  <c r="AH104" i="42"/>
  <c r="AH88" i="42"/>
  <c r="AH80" i="42"/>
  <c r="AH72" i="42"/>
  <c r="AH56" i="42"/>
  <c r="X48" i="42"/>
  <c r="AH48" i="42"/>
  <c r="AH32" i="42"/>
  <c r="AH24" i="42"/>
  <c r="W1011" i="42"/>
  <c r="Y1011" i="42"/>
  <c r="W1003" i="42"/>
  <c r="Y1003" i="42"/>
  <c r="W995" i="42"/>
  <c r="Y995" i="42"/>
  <c r="W987" i="42"/>
  <c r="Y987" i="42"/>
  <c r="W979" i="42"/>
  <c r="Y979" i="42"/>
  <c r="W971" i="42"/>
  <c r="Y971" i="42"/>
  <c r="W963" i="42"/>
  <c r="Y963" i="42"/>
  <c r="W955" i="42"/>
  <c r="Y955" i="42"/>
  <c r="W947" i="42"/>
  <c r="Y947" i="42"/>
  <c r="W939" i="42"/>
  <c r="Y939" i="42"/>
  <c r="W931" i="42"/>
  <c r="Y931" i="42"/>
  <c r="W923" i="42"/>
  <c r="Y923" i="42"/>
  <c r="W915" i="42"/>
  <c r="Y915" i="42"/>
  <c r="W907" i="42"/>
  <c r="Y907" i="42"/>
  <c r="W899" i="42"/>
  <c r="Y899" i="42"/>
  <c r="W891" i="42"/>
  <c r="Y891" i="42"/>
  <c r="W883" i="42"/>
  <c r="Y883" i="42"/>
  <c r="W875" i="42"/>
  <c r="Y875" i="42"/>
  <c r="W867" i="42"/>
  <c r="Y867" i="42"/>
  <c r="W859" i="42"/>
  <c r="Y859" i="42"/>
  <c r="W851" i="42"/>
  <c r="Y851" i="42"/>
  <c r="W843" i="42"/>
  <c r="Y843" i="42"/>
  <c r="W835" i="42"/>
  <c r="Y835" i="42"/>
  <c r="W827" i="42"/>
  <c r="Y827" i="42"/>
  <c r="W819" i="42"/>
  <c r="Y819" i="42"/>
  <c r="W811" i="42"/>
  <c r="Y811" i="42"/>
  <c r="W803" i="42"/>
  <c r="Y803" i="42"/>
  <c r="W795" i="42"/>
  <c r="Y795" i="42"/>
  <c r="W787" i="42"/>
  <c r="Y787" i="42"/>
  <c r="W779" i="42"/>
  <c r="Y779" i="42"/>
  <c r="W771" i="42"/>
  <c r="Y771" i="42"/>
  <c r="W763" i="42"/>
  <c r="Y763" i="42"/>
  <c r="W755" i="42"/>
  <c r="Y755" i="42"/>
  <c r="W747" i="42"/>
  <c r="Y747" i="42"/>
  <c r="W739" i="42"/>
  <c r="Y739" i="42"/>
  <c r="W731" i="42"/>
  <c r="Y731" i="42"/>
  <c r="W723" i="42"/>
  <c r="Y723" i="42"/>
  <c r="W715" i="42"/>
  <c r="Y715" i="42"/>
  <c r="W707" i="42"/>
  <c r="Y707" i="42"/>
  <c r="W699" i="42"/>
  <c r="Y699" i="42"/>
  <c r="W691" i="42"/>
  <c r="Y691" i="42"/>
  <c r="W675" i="42"/>
  <c r="Y675" i="42"/>
  <c r="W667" i="42"/>
  <c r="Y667" i="42"/>
  <c r="W659" i="42"/>
  <c r="Y659" i="42"/>
  <c r="W643" i="42"/>
  <c r="Y643" i="42"/>
  <c r="W635" i="42"/>
  <c r="Y635" i="42"/>
  <c r="W627" i="42"/>
  <c r="Y627" i="42"/>
  <c r="W611" i="42"/>
  <c r="Y611" i="42"/>
  <c r="W603" i="42"/>
  <c r="Y603" i="42"/>
  <c r="W595" i="42"/>
  <c r="Y595" i="42"/>
  <c r="W579" i="42"/>
  <c r="Y579" i="42"/>
  <c r="W571" i="42"/>
  <c r="Y571" i="42"/>
  <c r="W563" i="42"/>
  <c r="Y563" i="42"/>
  <c r="W547" i="42"/>
  <c r="Y547" i="42"/>
  <c r="W539" i="42"/>
  <c r="Y539" i="42"/>
  <c r="W531" i="42"/>
  <c r="Y531" i="42"/>
  <c r="W515" i="42"/>
  <c r="Y515" i="42"/>
  <c r="X507" i="42"/>
  <c r="Y507" i="42"/>
  <c r="X499" i="42"/>
  <c r="Y499" i="42"/>
  <c r="X491" i="42"/>
  <c r="Y491" i="42"/>
  <c r="X483" i="42"/>
  <c r="Y483" i="42"/>
  <c r="X475" i="42"/>
  <c r="Y475" i="42"/>
  <c r="X467" i="42"/>
  <c r="Y467" i="42"/>
  <c r="X459" i="42"/>
  <c r="Y459" i="42"/>
  <c r="X451" i="42"/>
  <c r="Y451" i="42"/>
  <c r="X443" i="42"/>
  <c r="Y443" i="42"/>
  <c r="X435" i="42"/>
  <c r="Y435" i="42"/>
  <c r="X427" i="42"/>
  <c r="Y427" i="42"/>
  <c r="X419" i="42"/>
  <c r="Y419" i="42"/>
  <c r="X411" i="42"/>
  <c r="Y411" i="42"/>
  <c r="X403" i="42"/>
  <c r="Y403" i="42"/>
  <c r="X395" i="42"/>
  <c r="Y395" i="42"/>
  <c r="X387" i="42"/>
  <c r="Y387" i="42"/>
  <c r="X379" i="42"/>
  <c r="Y379" i="42"/>
  <c r="X371" i="42"/>
  <c r="Y371" i="42"/>
  <c r="X363" i="42"/>
  <c r="Y363" i="42"/>
  <c r="X355" i="42"/>
  <c r="Y355" i="42"/>
  <c r="X347" i="42"/>
  <c r="Y347" i="42"/>
  <c r="X339" i="42"/>
  <c r="Y339" i="42"/>
  <c r="X331" i="42"/>
  <c r="Y331" i="42"/>
  <c r="X323" i="42"/>
  <c r="Y323" i="42"/>
  <c r="X315" i="42"/>
  <c r="Y315" i="42"/>
  <c r="X307" i="42"/>
  <c r="Y307" i="42"/>
  <c r="X299" i="42"/>
  <c r="Y299" i="42"/>
  <c r="X291" i="42"/>
  <c r="Y291" i="42"/>
  <c r="X283" i="42"/>
  <c r="Y283" i="42"/>
  <c r="X275" i="42"/>
  <c r="Y275" i="42"/>
  <c r="X267" i="42"/>
  <c r="Y267" i="42"/>
  <c r="X259" i="42"/>
  <c r="Y259" i="42"/>
  <c r="X251" i="42"/>
  <c r="Y251" i="42"/>
  <c r="X243" i="42"/>
  <c r="Y243" i="42"/>
  <c r="X235" i="42"/>
  <c r="Y235" i="42"/>
  <c r="X227" i="42"/>
  <c r="Y227" i="42"/>
  <c r="X219" i="42"/>
  <c r="Y219" i="42"/>
  <c r="X211" i="42"/>
  <c r="Y211" i="42"/>
  <c r="X203" i="42"/>
  <c r="Y203" i="42"/>
  <c r="X195" i="42"/>
  <c r="Y195" i="42"/>
  <c r="X187" i="42"/>
  <c r="Y187" i="42"/>
  <c r="X179" i="42"/>
  <c r="Y179" i="42"/>
  <c r="X171" i="42"/>
  <c r="Y171" i="42"/>
  <c r="X163" i="42"/>
  <c r="Y163" i="42"/>
  <c r="X155" i="42"/>
  <c r="Y155" i="42"/>
  <c r="X147" i="42"/>
  <c r="Y147" i="42"/>
  <c r="X139" i="42"/>
  <c r="Y139" i="42"/>
  <c r="X131" i="42"/>
  <c r="Y131" i="42"/>
  <c r="X123" i="42"/>
  <c r="Y123" i="42"/>
  <c r="X115" i="42"/>
  <c r="Y115" i="42"/>
  <c r="X107" i="42"/>
  <c r="Y107" i="42"/>
  <c r="X99" i="42"/>
  <c r="Y99" i="42"/>
  <c r="X91" i="42"/>
  <c r="Y91" i="42"/>
  <c r="X83" i="42"/>
  <c r="Y83" i="42"/>
  <c r="X75" i="42"/>
  <c r="Y75" i="42"/>
  <c r="X67" i="42"/>
  <c r="Y67" i="42"/>
  <c r="X59" i="42"/>
  <c r="Y59" i="42"/>
  <c r="X51" i="42"/>
  <c r="Y51" i="42"/>
  <c r="X43" i="42"/>
  <c r="Y43" i="42"/>
  <c r="X35" i="42"/>
  <c r="Y35" i="42"/>
  <c r="X27" i="42"/>
  <c r="Y27" i="42"/>
  <c r="X19" i="42"/>
  <c r="Y19" i="42"/>
  <c r="Y992" i="42"/>
  <c r="Y960" i="42"/>
  <c r="Y928" i="42"/>
  <c r="W1010" i="42"/>
  <c r="Y1010" i="42"/>
  <c r="W1002" i="42"/>
  <c r="Y1002" i="42"/>
  <c r="W994" i="42"/>
  <c r="Y994" i="42"/>
  <c r="W986" i="42"/>
  <c r="Y986" i="42"/>
  <c r="W978" i="42"/>
  <c r="Y978" i="42"/>
  <c r="W970" i="42"/>
  <c r="Y970" i="42"/>
  <c r="W962" i="42"/>
  <c r="Y962" i="42"/>
  <c r="W954" i="42"/>
  <c r="Y954" i="42"/>
  <c r="W946" i="42"/>
  <c r="Y946" i="42"/>
  <c r="W938" i="42"/>
  <c r="Y938" i="42"/>
  <c r="W930" i="42"/>
  <c r="Y930" i="42"/>
  <c r="W922" i="42"/>
  <c r="Y922" i="42"/>
  <c r="W914" i="42"/>
  <c r="Y914" i="42"/>
  <c r="W906" i="42"/>
  <c r="Y906" i="42"/>
  <c r="W898" i="42"/>
  <c r="Y898" i="42"/>
  <c r="W890" i="42"/>
  <c r="Y890" i="42"/>
  <c r="W882" i="42"/>
  <c r="Y882" i="42"/>
  <c r="W874" i="42"/>
  <c r="Y874" i="42"/>
  <c r="W866" i="42"/>
  <c r="Y866" i="42"/>
  <c r="W858" i="42"/>
  <c r="Y858" i="42"/>
  <c r="W850" i="42"/>
  <c r="Y850" i="42"/>
  <c r="W842" i="42"/>
  <c r="Y842" i="42"/>
  <c r="W834" i="42"/>
  <c r="Y834" i="42"/>
  <c r="W826" i="42"/>
  <c r="Y826" i="42"/>
  <c r="W818" i="42"/>
  <c r="Y818" i="42"/>
  <c r="W810" i="42"/>
  <c r="Y810" i="42"/>
  <c r="W802" i="42"/>
  <c r="Y802" i="42"/>
  <c r="W794" i="42"/>
  <c r="Y794" i="42"/>
  <c r="W786" i="42"/>
  <c r="Y786" i="42"/>
  <c r="W778" i="42"/>
  <c r="Y778" i="42"/>
  <c r="W770" i="42"/>
  <c r="Y770" i="42"/>
  <c r="W762" i="42"/>
  <c r="Y762" i="42"/>
  <c r="W754" i="42"/>
  <c r="Y754" i="42"/>
  <c r="W746" i="42"/>
  <c r="Y746" i="42"/>
  <c r="W738" i="42"/>
  <c r="Y738" i="42"/>
  <c r="W730" i="42"/>
  <c r="Y730" i="42"/>
  <c r="W722" i="42"/>
  <c r="Y722" i="42"/>
  <c r="W714" i="42"/>
  <c r="Y714" i="42"/>
  <c r="W706" i="42"/>
  <c r="Y706" i="42"/>
  <c r="W698" i="42"/>
  <c r="Y698" i="42"/>
  <c r="W690" i="42"/>
  <c r="Y690" i="42"/>
  <c r="W682" i="42"/>
  <c r="Y682" i="42"/>
  <c r="W674" i="42"/>
  <c r="Y674" i="42"/>
  <c r="W658" i="42"/>
  <c r="Y658" i="42"/>
  <c r="W650" i="42"/>
  <c r="Y650" i="42"/>
  <c r="W642" i="42"/>
  <c r="Y642" i="42"/>
  <c r="W626" i="42"/>
  <c r="Y626" i="42"/>
  <c r="W618" i="42"/>
  <c r="Y618" i="42"/>
  <c r="W610" i="42"/>
  <c r="Y610" i="42"/>
  <c r="W594" i="42"/>
  <c r="Y594" i="42"/>
  <c r="W586" i="42"/>
  <c r="Y586" i="42"/>
  <c r="W578" i="42"/>
  <c r="Y578" i="42"/>
  <c r="W562" i="42"/>
  <c r="Y562" i="42"/>
  <c r="W554" i="42"/>
  <c r="Y554" i="42"/>
  <c r="W546" i="42"/>
  <c r="Y546" i="42"/>
  <c r="W530" i="42"/>
  <c r="Y530" i="42"/>
  <c r="W522" i="42"/>
  <c r="Y522" i="42"/>
  <c r="W514" i="42"/>
  <c r="Y514" i="42"/>
  <c r="X506" i="42"/>
  <c r="Y506" i="42"/>
  <c r="X498" i="42"/>
  <c r="Y498" i="42"/>
  <c r="X490" i="42"/>
  <c r="Y490" i="42"/>
  <c r="X482" i="42"/>
  <c r="Y482" i="42"/>
  <c r="X474" i="42"/>
  <c r="Y474" i="42"/>
  <c r="X466" i="42"/>
  <c r="Y466" i="42"/>
  <c r="X458" i="42"/>
  <c r="Y458" i="42"/>
  <c r="X450" i="42"/>
  <c r="Y450" i="42"/>
  <c r="X442" i="42"/>
  <c r="Y442" i="42"/>
  <c r="X434" i="42"/>
  <c r="Y434" i="42"/>
  <c r="X426" i="42"/>
  <c r="Y426" i="42"/>
  <c r="X418" i="42"/>
  <c r="Y418" i="42"/>
  <c r="X410" i="42"/>
  <c r="Y410" i="42"/>
  <c r="X402" i="42"/>
  <c r="Y402" i="42"/>
  <c r="X394" i="42"/>
  <c r="Y394" i="42"/>
  <c r="X386" i="42"/>
  <c r="Y386" i="42"/>
  <c r="X378" i="42"/>
  <c r="Y378" i="42"/>
  <c r="X370" i="42"/>
  <c r="Y370" i="42"/>
  <c r="X362" i="42"/>
  <c r="Y362" i="42"/>
  <c r="X354" i="42"/>
  <c r="Y354" i="42"/>
  <c r="X346" i="42"/>
  <c r="Y346" i="42"/>
  <c r="X338" i="42"/>
  <c r="Y338" i="42"/>
  <c r="X330" i="42"/>
  <c r="Y330" i="42"/>
  <c r="X322" i="42"/>
  <c r="Y322" i="42"/>
  <c r="X314" i="42"/>
  <c r="Y314" i="42"/>
  <c r="X306" i="42"/>
  <c r="Y306" i="42"/>
  <c r="X298" i="42"/>
  <c r="Y298" i="42"/>
  <c r="X290" i="42"/>
  <c r="Y290" i="42"/>
  <c r="X282" i="42"/>
  <c r="Y282" i="42"/>
  <c r="X274" i="42"/>
  <c r="Y274" i="42"/>
  <c r="X266" i="42"/>
  <c r="Y266" i="42"/>
  <c r="X258" i="42"/>
  <c r="Y258" i="42"/>
  <c r="X250" i="42"/>
  <c r="Y250" i="42"/>
  <c r="X242" i="42"/>
  <c r="Y242" i="42"/>
  <c r="X234" i="42"/>
  <c r="Y234" i="42"/>
  <c r="X226" i="42"/>
  <c r="Y226" i="42"/>
  <c r="X218" i="42"/>
  <c r="Y218" i="42"/>
  <c r="X210" i="42"/>
  <c r="Y210" i="42"/>
  <c r="X202" i="42"/>
  <c r="Y202" i="42"/>
  <c r="X194" i="42"/>
  <c r="Y194" i="42"/>
  <c r="X186" i="42"/>
  <c r="Y186" i="42"/>
  <c r="X178" i="42"/>
  <c r="Y178" i="42"/>
  <c r="X170" i="42"/>
  <c r="Y170" i="42"/>
  <c r="X162" i="42"/>
  <c r="Y162" i="42"/>
  <c r="X154" i="42"/>
  <c r="Y154" i="42"/>
  <c r="X146" i="42"/>
  <c r="Y146" i="42"/>
  <c r="X138" i="42"/>
  <c r="Y138" i="42"/>
  <c r="X130" i="42"/>
  <c r="Y130" i="42"/>
  <c r="X122" i="42"/>
  <c r="Y122" i="42"/>
  <c r="X114" i="42"/>
  <c r="Y114" i="42"/>
  <c r="X106" i="42"/>
  <c r="Y106" i="42"/>
  <c r="X98" i="42"/>
  <c r="Y98" i="42"/>
  <c r="X90" i="42"/>
  <c r="Y90" i="42"/>
  <c r="X82" i="42"/>
  <c r="Y82" i="42"/>
  <c r="X74" i="42"/>
  <c r="Y74" i="42"/>
  <c r="X66" i="42"/>
  <c r="Y66" i="42"/>
  <c r="X58" i="42"/>
  <c r="Y58" i="42"/>
  <c r="X50" i="42"/>
  <c r="Y50" i="42"/>
  <c r="X42" i="42"/>
  <c r="Y42" i="42"/>
  <c r="X34" i="42"/>
  <c r="Y34" i="42"/>
  <c r="X26" i="42"/>
  <c r="Y26" i="42"/>
  <c r="X18" i="42"/>
  <c r="Y18" i="42"/>
  <c r="Y991" i="42"/>
  <c r="Y959" i="42"/>
  <c r="Y927" i="42"/>
  <c r="W1009" i="42"/>
  <c r="Y1009" i="42"/>
  <c r="W1001" i="42"/>
  <c r="Y1001" i="42"/>
  <c r="W993" i="42"/>
  <c r="Y993" i="42"/>
  <c r="W985" i="42"/>
  <c r="Y985" i="42"/>
  <c r="W977" i="42"/>
  <c r="Y977" i="42"/>
  <c r="W969" i="42"/>
  <c r="Y969" i="42"/>
  <c r="W961" i="42"/>
  <c r="Y961" i="42"/>
  <c r="W953" i="42"/>
  <c r="Y953" i="42"/>
  <c r="W945" i="42"/>
  <c r="Y945" i="42"/>
  <c r="W937" i="42"/>
  <c r="Y937" i="42"/>
  <c r="W929" i="42"/>
  <c r="Y929" i="42"/>
  <c r="W921" i="42"/>
  <c r="Y921" i="42"/>
  <c r="W913" i="42"/>
  <c r="Y913" i="42"/>
  <c r="W905" i="42"/>
  <c r="Y905" i="42"/>
  <c r="W897" i="42"/>
  <c r="Y897" i="42"/>
  <c r="W889" i="42"/>
  <c r="Y889" i="42"/>
  <c r="W881" i="42"/>
  <c r="Y881" i="42"/>
  <c r="W873" i="42"/>
  <c r="Y873" i="42"/>
  <c r="W865" i="42"/>
  <c r="Y865" i="42"/>
  <c r="W857" i="42"/>
  <c r="Y857" i="42"/>
  <c r="W849" i="42"/>
  <c r="Y849" i="42"/>
  <c r="W841" i="42"/>
  <c r="Y841" i="42"/>
  <c r="W833" i="42"/>
  <c r="Y833" i="42"/>
  <c r="W825" i="42"/>
  <c r="Y825" i="42"/>
  <c r="W817" i="42"/>
  <c r="Y817" i="42"/>
  <c r="W809" i="42"/>
  <c r="Y809" i="42"/>
  <c r="W801" i="42"/>
  <c r="Y801" i="42"/>
  <c r="W793" i="42"/>
  <c r="Y793" i="42"/>
  <c r="W785" i="42"/>
  <c r="Y785" i="42"/>
  <c r="W777" i="42"/>
  <c r="Y777" i="42"/>
  <c r="W769" i="42"/>
  <c r="Y769" i="42"/>
  <c r="W761" i="42"/>
  <c r="Y761" i="42"/>
  <c r="W753" i="42"/>
  <c r="Y753" i="42"/>
  <c r="W745" i="42"/>
  <c r="Y745" i="42"/>
  <c r="W737" i="42"/>
  <c r="Y737" i="42"/>
  <c r="W729" i="42"/>
  <c r="Y729" i="42"/>
  <c r="W721" i="42"/>
  <c r="Y721" i="42"/>
  <c r="W713" i="42"/>
  <c r="Y713" i="42"/>
  <c r="W705" i="42"/>
  <c r="Y705" i="42"/>
  <c r="W697" i="42"/>
  <c r="Y697" i="42"/>
  <c r="W689" i="42"/>
  <c r="Y689" i="42"/>
  <c r="X513" i="42"/>
  <c r="Y513" i="42"/>
  <c r="X505" i="42"/>
  <c r="Y505" i="42"/>
  <c r="X497" i="42"/>
  <c r="Y497" i="42"/>
  <c r="X489" i="42"/>
  <c r="Y489" i="42"/>
  <c r="X481" i="42"/>
  <c r="Y481" i="42"/>
  <c r="X473" i="42"/>
  <c r="Y473" i="42"/>
  <c r="X465" i="42"/>
  <c r="Y465" i="42"/>
  <c r="Y984" i="42"/>
  <c r="Y952" i="42"/>
  <c r="Y920" i="42"/>
  <c r="W896" i="42"/>
  <c r="Y896" i="42"/>
  <c r="W888" i="42"/>
  <c r="Y888" i="42"/>
  <c r="W880" i="42"/>
  <c r="Y880" i="42"/>
  <c r="W872" i="42"/>
  <c r="Y872" i="42"/>
  <c r="W864" i="42"/>
  <c r="Y864" i="42"/>
  <c r="W856" i="42"/>
  <c r="Y856" i="42"/>
  <c r="W848" i="42"/>
  <c r="Y848" i="42"/>
  <c r="W840" i="42"/>
  <c r="Y840" i="42"/>
  <c r="W832" i="42"/>
  <c r="Y832" i="42"/>
  <c r="W824" i="42"/>
  <c r="Y824" i="42"/>
  <c r="W816" i="42"/>
  <c r="Y816" i="42"/>
  <c r="W808" i="42"/>
  <c r="Y808" i="42"/>
  <c r="W800" i="42"/>
  <c r="Y800" i="42"/>
  <c r="W792" i="42"/>
  <c r="Y792" i="42"/>
  <c r="W784" i="42"/>
  <c r="Y784" i="42"/>
  <c r="W688" i="42"/>
  <c r="Y688" i="42"/>
  <c r="W680" i="42"/>
  <c r="Y680" i="42"/>
  <c r="W664" i="42"/>
  <c r="Y664" i="42"/>
  <c r="W656" i="42"/>
  <c r="Y656" i="42"/>
  <c r="W648" i="42"/>
  <c r="Y648" i="42"/>
  <c r="W632" i="42"/>
  <c r="Y632" i="42"/>
  <c r="W624" i="42"/>
  <c r="Y624" i="42"/>
  <c r="W616" i="42"/>
  <c r="Y616" i="42"/>
  <c r="W600" i="42"/>
  <c r="Y600" i="42"/>
  <c r="W592" i="42"/>
  <c r="Y592" i="42"/>
  <c r="W584" i="42"/>
  <c r="Y584" i="42"/>
  <c r="W568" i="42"/>
  <c r="Y568" i="42"/>
  <c r="W560" i="42"/>
  <c r="Y560" i="42"/>
  <c r="W552" i="42"/>
  <c r="Y552" i="42"/>
  <c r="W536" i="42"/>
  <c r="Y536" i="42"/>
  <c r="W528" i="42"/>
  <c r="Y528" i="42"/>
  <c r="W520" i="42"/>
  <c r="Y520" i="42"/>
  <c r="X512" i="42"/>
  <c r="Y512" i="42"/>
  <c r="X504" i="42"/>
  <c r="Y504" i="42"/>
  <c r="X496" i="42"/>
  <c r="Y496" i="42"/>
  <c r="X488" i="42"/>
  <c r="Y488" i="42"/>
  <c r="X480" i="42"/>
  <c r="Y480" i="42"/>
  <c r="X472" i="42"/>
  <c r="Y472" i="42"/>
  <c r="X464" i="42"/>
  <c r="Y464" i="42"/>
  <c r="X456" i="42"/>
  <c r="Y456" i="42"/>
  <c r="X448" i="42"/>
  <c r="Y448" i="42"/>
  <c r="X440" i="42"/>
  <c r="Y440" i="42"/>
  <c r="X432" i="42"/>
  <c r="Y432" i="42"/>
  <c r="X424" i="42"/>
  <c r="Y424" i="42"/>
  <c r="X416" i="42"/>
  <c r="Y416" i="42"/>
  <c r="X408" i="42"/>
  <c r="Y408" i="42"/>
  <c r="X400" i="42"/>
  <c r="Y400" i="42"/>
  <c r="X392" i="42"/>
  <c r="Y392" i="42"/>
  <c r="X384" i="42"/>
  <c r="Y384" i="42"/>
  <c r="X376" i="42"/>
  <c r="Y376" i="42"/>
  <c r="X368" i="42"/>
  <c r="Y368" i="42"/>
  <c r="X360" i="42"/>
  <c r="Y360" i="42"/>
  <c r="X352" i="42"/>
  <c r="Y352" i="42"/>
  <c r="X344" i="42"/>
  <c r="Y344" i="42"/>
  <c r="X336" i="42"/>
  <c r="Y336" i="42"/>
  <c r="X328" i="42"/>
  <c r="Y328" i="42"/>
  <c r="X320" i="42"/>
  <c r="Y320" i="42"/>
  <c r="X312" i="42"/>
  <c r="Y312" i="42"/>
  <c r="X304" i="42"/>
  <c r="Y304" i="42"/>
  <c r="X296" i="42"/>
  <c r="Y296" i="42"/>
  <c r="X288" i="42"/>
  <c r="Y288" i="42"/>
  <c r="X280" i="42"/>
  <c r="Y280" i="42"/>
  <c r="X272" i="42"/>
  <c r="Y272" i="42"/>
  <c r="X264" i="42"/>
  <c r="Y264" i="42"/>
  <c r="X256" i="42"/>
  <c r="Y256" i="42"/>
  <c r="X248" i="42"/>
  <c r="Y248" i="42"/>
  <c r="X240" i="42"/>
  <c r="Y240" i="42"/>
  <c r="X232" i="42"/>
  <c r="Y232" i="42"/>
  <c r="X224" i="42"/>
  <c r="Y224" i="42"/>
  <c r="X216" i="42"/>
  <c r="Y216" i="42"/>
  <c r="X208" i="42"/>
  <c r="Y208" i="42"/>
  <c r="X200" i="42"/>
  <c r="Y200" i="42"/>
  <c r="X192" i="42"/>
  <c r="Y192" i="42"/>
  <c r="X184" i="42"/>
  <c r="Y184" i="42"/>
  <c r="X176" i="42"/>
  <c r="Y176" i="42"/>
  <c r="X168" i="42"/>
  <c r="Y168" i="42"/>
  <c r="X160" i="42"/>
  <c r="Y160" i="42"/>
  <c r="X152" i="42"/>
  <c r="Y152" i="42"/>
  <c r="X144" i="42"/>
  <c r="Y144" i="42"/>
  <c r="X136" i="42"/>
  <c r="Y136" i="42"/>
  <c r="X128" i="42"/>
  <c r="Y128" i="42"/>
  <c r="X120" i="42"/>
  <c r="Y120" i="42"/>
  <c r="X112" i="42"/>
  <c r="Y112" i="42"/>
  <c r="X104" i="42"/>
  <c r="Y104" i="42"/>
  <c r="X96" i="42"/>
  <c r="Y96" i="42"/>
  <c r="X88" i="42"/>
  <c r="Y88" i="42"/>
  <c r="X80" i="42"/>
  <c r="Y80" i="42"/>
  <c r="X72" i="42"/>
  <c r="Y72" i="42"/>
  <c r="X64" i="42"/>
  <c r="Y64" i="42"/>
  <c r="X56" i="42"/>
  <c r="Y56" i="42"/>
  <c r="Y983" i="42"/>
  <c r="Y951" i="42"/>
  <c r="Y919" i="42"/>
  <c r="W895" i="42"/>
  <c r="Y895" i="42"/>
  <c r="W887" i="42"/>
  <c r="Y887" i="42"/>
  <c r="W879" i="42"/>
  <c r="Y879" i="42"/>
  <c r="W871" i="42"/>
  <c r="Y871" i="42"/>
  <c r="W863" i="42"/>
  <c r="Y863" i="42"/>
  <c r="W855" i="42"/>
  <c r="Y855" i="42"/>
  <c r="W847" i="42"/>
  <c r="Y847" i="42"/>
  <c r="W839" i="42"/>
  <c r="Y839" i="42"/>
  <c r="W831" i="42"/>
  <c r="Y831" i="42"/>
  <c r="W823" i="42"/>
  <c r="Y823" i="42"/>
  <c r="W815" i="42"/>
  <c r="Y815" i="42"/>
  <c r="W807" i="42"/>
  <c r="Y807" i="42"/>
  <c r="W799" i="42"/>
  <c r="Y799" i="42"/>
  <c r="W791" i="42"/>
  <c r="Y791" i="42"/>
  <c r="W783" i="42"/>
  <c r="Y783" i="42"/>
  <c r="W775" i="42"/>
  <c r="Y775" i="42"/>
  <c r="W767" i="42"/>
  <c r="Y767" i="42"/>
  <c r="W759" i="42"/>
  <c r="Y759" i="42"/>
  <c r="W751" i="42"/>
  <c r="Y751" i="42"/>
  <c r="W743" i="42"/>
  <c r="Y743" i="42"/>
  <c r="W735" i="42"/>
  <c r="Y735" i="42"/>
  <c r="W727" i="42"/>
  <c r="Y727" i="42"/>
  <c r="W719" i="42"/>
  <c r="Y719" i="42"/>
  <c r="W711" i="42"/>
  <c r="Y711" i="42"/>
  <c r="W703" i="42"/>
  <c r="Y703" i="42"/>
  <c r="W695" i="42"/>
  <c r="Y695" i="42"/>
  <c r="W679" i="42"/>
  <c r="Y679" i="42"/>
  <c r="W671" i="42"/>
  <c r="Y671" i="42"/>
  <c r="W663" i="42"/>
  <c r="Y663" i="42"/>
  <c r="W647" i="42"/>
  <c r="Y647" i="42"/>
  <c r="W639" i="42"/>
  <c r="Y639" i="42"/>
  <c r="W631" i="42"/>
  <c r="Y631" i="42"/>
  <c r="W615" i="42"/>
  <c r="Y615" i="42"/>
  <c r="W607" i="42"/>
  <c r="Y607" i="42"/>
  <c r="W599" i="42"/>
  <c r="Y599" i="42"/>
  <c r="W583" i="42"/>
  <c r="Y583" i="42"/>
  <c r="W575" i="42"/>
  <c r="Y575" i="42"/>
  <c r="W567" i="42"/>
  <c r="Y567" i="42"/>
  <c r="W551" i="42"/>
  <c r="Y551" i="42"/>
  <c r="W543" i="42"/>
  <c r="Y543" i="42"/>
  <c r="W535" i="42"/>
  <c r="Y535" i="42"/>
  <c r="W519" i="42"/>
  <c r="Y519" i="42"/>
  <c r="X511" i="42"/>
  <c r="Y511" i="42"/>
  <c r="X503" i="42"/>
  <c r="Y503" i="42"/>
  <c r="X495" i="42"/>
  <c r="Y495" i="42"/>
  <c r="X487" i="42"/>
  <c r="Y487" i="42"/>
  <c r="X479" i="42"/>
  <c r="Y479" i="42"/>
  <c r="X471" i="42"/>
  <c r="Y471" i="42"/>
  <c r="X463" i="42"/>
  <c r="Y463" i="42"/>
  <c r="X455" i="42"/>
  <c r="Y455" i="42"/>
  <c r="X447" i="42"/>
  <c r="Y447" i="42"/>
  <c r="X439" i="42"/>
  <c r="Y439" i="42"/>
  <c r="X431" i="42"/>
  <c r="Y431" i="42"/>
  <c r="X423" i="42"/>
  <c r="Y423" i="42"/>
  <c r="X415" i="42"/>
  <c r="Y415" i="42"/>
  <c r="X407" i="42"/>
  <c r="Y407" i="42"/>
  <c r="X399" i="42"/>
  <c r="Y399" i="42"/>
  <c r="X391" i="42"/>
  <c r="Y391" i="42"/>
  <c r="X383" i="42"/>
  <c r="Y383" i="42"/>
  <c r="X375" i="42"/>
  <c r="Y375" i="42"/>
  <c r="X367" i="42"/>
  <c r="Y367" i="42"/>
  <c r="X359" i="42"/>
  <c r="Y359" i="42"/>
  <c r="X351" i="42"/>
  <c r="Y351" i="42"/>
  <c r="X343" i="42"/>
  <c r="Y343" i="42"/>
  <c r="X335" i="42"/>
  <c r="Y335" i="42"/>
  <c r="X327" i="42"/>
  <c r="Y327" i="42"/>
  <c r="X319" i="42"/>
  <c r="Y319" i="42"/>
  <c r="X311" i="42"/>
  <c r="Y311" i="42"/>
  <c r="X303" i="42"/>
  <c r="Y303" i="42"/>
  <c r="Y1008" i="42"/>
  <c r="Y976" i="42"/>
  <c r="Y944" i="42"/>
  <c r="Y912" i="42"/>
  <c r="W1006" i="42"/>
  <c r="Y1006" i="42"/>
  <c r="W998" i="42"/>
  <c r="Y998" i="42"/>
  <c r="W990" i="42"/>
  <c r="Y990" i="42"/>
  <c r="W982" i="42"/>
  <c r="Y982" i="42"/>
  <c r="W974" i="42"/>
  <c r="Y974" i="42"/>
  <c r="W966" i="42"/>
  <c r="Y966" i="42"/>
  <c r="W958" i="42"/>
  <c r="Y958" i="42"/>
  <c r="W950" i="42"/>
  <c r="Y950" i="42"/>
  <c r="W942" i="42"/>
  <c r="Y942" i="42"/>
  <c r="W934" i="42"/>
  <c r="Y934" i="42"/>
  <c r="W926" i="42"/>
  <c r="Y926" i="42"/>
  <c r="W918" i="42"/>
  <c r="Y918" i="42"/>
  <c r="W910" i="42"/>
  <c r="Y910" i="42"/>
  <c r="W902" i="42"/>
  <c r="Y902" i="42"/>
  <c r="W894" i="42"/>
  <c r="Y894" i="42"/>
  <c r="W886" i="42"/>
  <c r="Y886" i="42"/>
  <c r="W878" i="42"/>
  <c r="Y878" i="42"/>
  <c r="W870" i="42"/>
  <c r="Y870" i="42"/>
  <c r="W862" i="42"/>
  <c r="Y862" i="42"/>
  <c r="W854" i="42"/>
  <c r="Y854" i="42"/>
  <c r="W846" i="42"/>
  <c r="Y846" i="42"/>
  <c r="W838" i="42"/>
  <c r="Y838" i="42"/>
  <c r="W830" i="42"/>
  <c r="Y830" i="42"/>
  <c r="W822" i="42"/>
  <c r="Y822" i="42"/>
  <c r="W814" i="42"/>
  <c r="Y814" i="42"/>
  <c r="W806" i="42"/>
  <c r="Y806" i="42"/>
  <c r="W798" i="42"/>
  <c r="Y798" i="42"/>
  <c r="W790" i="42"/>
  <c r="Y790" i="42"/>
  <c r="W782" i="42"/>
  <c r="Y782" i="42"/>
  <c r="W774" i="42"/>
  <c r="Y774" i="42"/>
  <c r="W766" i="42"/>
  <c r="Y766" i="42"/>
  <c r="W758" i="42"/>
  <c r="Y758" i="42"/>
  <c r="W750" i="42"/>
  <c r="Y750" i="42"/>
  <c r="W742" i="42"/>
  <c r="Y742" i="42"/>
  <c r="W734" i="42"/>
  <c r="Y734" i="42"/>
  <c r="W726" i="42"/>
  <c r="Y726" i="42"/>
  <c r="W718" i="42"/>
  <c r="Y718" i="42"/>
  <c r="W710" i="42"/>
  <c r="Y710" i="42"/>
  <c r="W702" i="42"/>
  <c r="Y702" i="42"/>
  <c r="W694" i="42"/>
  <c r="Y694" i="42"/>
  <c r="W686" i="42"/>
  <c r="Y686" i="42"/>
  <c r="W678" i="42"/>
  <c r="Y678" i="42"/>
  <c r="W670" i="42"/>
  <c r="Y670" i="42"/>
  <c r="W654" i="42"/>
  <c r="Y654" i="42"/>
  <c r="W646" i="42"/>
  <c r="Y646" i="42"/>
  <c r="W638" i="42"/>
  <c r="Y638" i="42"/>
  <c r="W622" i="42"/>
  <c r="Y622" i="42"/>
  <c r="W614" i="42"/>
  <c r="Y614" i="42"/>
  <c r="W606" i="42"/>
  <c r="Y606" i="42"/>
  <c r="W590" i="42"/>
  <c r="Y590" i="42"/>
  <c r="W582" i="42"/>
  <c r="Y582" i="42"/>
  <c r="W574" i="42"/>
  <c r="Y574" i="42"/>
  <c r="W558" i="42"/>
  <c r="Y558" i="42"/>
  <c r="W550" i="42"/>
  <c r="Y550" i="42"/>
  <c r="W542" i="42"/>
  <c r="Y542" i="42"/>
  <c r="W526" i="42"/>
  <c r="Y526" i="42"/>
  <c r="W518" i="42"/>
  <c r="Y518" i="42"/>
  <c r="X510" i="42"/>
  <c r="Y510" i="42"/>
  <c r="X502" i="42"/>
  <c r="Y502" i="42"/>
  <c r="X494" i="42"/>
  <c r="Y494" i="42"/>
  <c r="X486" i="42"/>
  <c r="Y486" i="42"/>
  <c r="X478" i="42"/>
  <c r="Y478" i="42"/>
  <c r="X470" i="42"/>
  <c r="Y470" i="42"/>
  <c r="X462" i="42"/>
  <c r="Y462" i="42"/>
  <c r="X454" i="42"/>
  <c r="Y454" i="42"/>
  <c r="X446" i="42"/>
  <c r="Y446" i="42"/>
  <c r="X438" i="42"/>
  <c r="Y438" i="42"/>
  <c r="X430" i="42"/>
  <c r="Y430" i="42"/>
  <c r="X422" i="42"/>
  <c r="Y422" i="42"/>
  <c r="X414" i="42"/>
  <c r="Y414" i="42"/>
  <c r="X406" i="42"/>
  <c r="Y406" i="42"/>
  <c r="X398" i="42"/>
  <c r="Y398" i="42"/>
  <c r="X390" i="42"/>
  <c r="Y390" i="42"/>
  <c r="X382" i="42"/>
  <c r="Y382" i="42"/>
  <c r="X374" i="42"/>
  <c r="Y374" i="42"/>
  <c r="X366" i="42"/>
  <c r="Y366" i="42"/>
  <c r="X358" i="42"/>
  <c r="Y358" i="42"/>
  <c r="X350" i="42"/>
  <c r="Y350" i="42"/>
  <c r="X342" i="42"/>
  <c r="Y342" i="42"/>
  <c r="X334" i="42"/>
  <c r="Y334" i="42"/>
  <c r="X326" i="42"/>
  <c r="Y326" i="42"/>
  <c r="X318" i="42"/>
  <c r="Y318" i="42"/>
  <c r="X310" i="42"/>
  <c r="Y310" i="42"/>
  <c r="X302" i="42"/>
  <c r="Y302" i="42"/>
  <c r="X294" i="42"/>
  <c r="Y294" i="42"/>
  <c r="X286" i="42"/>
  <c r="Y286" i="42"/>
  <c r="X278" i="42"/>
  <c r="Y278" i="42"/>
  <c r="X270" i="42"/>
  <c r="Y270" i="42"/>
  <c r="X262" i="42"/>
  <c r="Y262" i="42"/>
  <c r="X254" i="42"/>
  <c r="Y254" i="42"/>
  <c r="X246" i="42"/>
  <c r="Y246" i="42"/>
  <c r="X238" i="42"/>
  <c r="Y238" i="42"/>
  <c r="X230" i="42"/>
  <c r="Y230" i="42"/>
  <c r="X222" i="42"/>
  <c r="Y222" i="42"/>
  <c r="X214" i="42"/>
  <c r="Y214" i="42"/>
  <c r="Y1007" i="42"/>
  <c r="Y975" i="42"/>
  <c r="Y943" i="42"/>
  <c r="Y911" i="42"/>
  <c r="W1005" i="42"/>
  <c r="Y1005" i="42"/>
  <c r="W997" i="42"/>
  <c r="Y997" i="42"/>
  <c r="W989" i="42"/>
  <c r="Y989" i="42"/>
  <c r="W981" i="42"/>
  <c r="Y981" i="42"/>
  <c r="W973" i="42"/>
  <c r="Y973" i="42"/>
  <c r="W965" i="42"/>
  <c r="Y965" i="42"/>
  <c r="W957" i="42"/>
  <c r="Y957" i="42"/>
  <c r="W949" i="42"/>
  <c r="Y949" i="42"/>
  <c r="W941" i="42"/>
  <c r="Y941" i="42"/>
  <c r="W933" i="42"/>
  <c r="Y933" i="42"/>
  <c r="W925" i="42"/>
  <c r="Y925" i="42"/>
  <c r="W917" i="42"/>
  <c r="Y917" i="42"/>
  <c r="W909" i="42"/>
  <c r="Y909" i="42"/>
  <c r="W901" i="42"/>
  <c r="Y901" i="42"/>
  <c r="W893" i="42"/>
  <c r="Y893" i="42"/>
  <c r="W885" i="42"/>
  <c r="Y885" i="42"/>
  <c r="W877" i="42"/>
  <c r="Y877" i="42"/>
  <c r="W869" i="42"/>
  <c r="Y869" i="42"/>
  <c r="X509" i="42"/>
  <c r="Y509" i="42"/>
  <c r="X501" i="42"/>
  <c r="Y501" i="42"/>
  <c r="X493" i="42"/>
  <c r="Y493" i="42"/>
  <c r="X485" i="42"/>
  <c r="Y485" i="42"/>
  <c r="X477" i="42"/>
  <c r="Y477" i="42"/>
  <c r="X469" i="42"/>
  <c r="Y469" i="42"/>
  <c r="X461" i="42"/>
  <c r="Y461" i="42"/>
  <c r="X453" i="42"/>
  <c r="Y453" i="42"/>
  <c r="X445" i="42"/>
  <c r="Y445" i="42"/>
  <c r="X437" i="42"/>
  <c r="Y437" i="42"/>
  <c r="X429" i="42"/>
  <c r="Y429" i="42"/>
  <c r="X421" i="42"/>
  <c r="Y421" i="42"/>
  <c r="X413" i="42"/>
  <c r="Y413" i="42"/>
  <c r="X405" i="42"/>
  <c r="Y405" i="42"/>
  <c r="X397" i="42"/>
  <c r="Y397" i="42"/>
  <c r="X389" i="42"/>
  <c r="Y389" i="42"/>
  <c r="X381" i="42"/>
  <c r="Y381" i="42"/>
  <c r="X373" i="42"/>
  <c r="Y373" i="42"/>
  <c r="X365" i="42"/>
  <c r="Y365" i="42"/>
  <c r="X357" i="42"/>
  <c r="Y357" i="42"/>
  <c r="X349" i="42"/>
  <c r="Y349" i="42"/>
  <c r="X341" i="42"/>
  <c r="Y341" i="42"/>
  <c r="X333" i="42"/>
  <c r="Y333" i="42"/>
  <c r="X325" i="42"/>
  <c r="Y325" i="42"/>
  <c r="X317" i="42"/>
  <c r="Y317" i="42"/>
  <c r="X309" i="42"/>
  <c r="Y309" i="42"/>
  <c r="X301" i="42"/>
  <c r="Y301" i="42"/>
  <c r="X293" i="42"/>
  <c r="Y293" i="42"/>
  <c r="X285" i="42"/>
  <c r="Y285" i="42"/>
  <c r="X277" i="42"/>
  <c r="Y277" i="42"/>
  <c r="X269" i="42"/>
  <c r="Y269" i="42"/>
  <c r="X261" i="42"/>
  <c r="Y261" i="42"/>
  <c r="X253" i="42"/>
  <c r="Y253" i="42"/>
  <c r="X245" i="42"/>
  <c r="Y245" i="42"/>
  <c r="X237" i="42"/>
  <c r="Y237" i="42"/>
  <c r="X229" i="42"/>
  <c r="Y229" i="42"/>
  <c r="X221" i="42"/>
  <c r="Y221" i="42"/>
  <c r="X213" i="42"/>
  <c r="Y213" i="42"/>
  <c r="X205" i="42"/>
  <c r="Y205" i="42"/>
  <c r="X197" i="42"/>
  <c r="Y197" i="42"/>
  <c r="X189" i="42"/>
  <c r="Y189" i="42"/>
  <c r="X181" i="42"/>
  <c r="Y181" i="42"/>
  <c r="X173" i="42"/>
  <c r="Y173" i="42"/>
  <c r="X165" i="42"/>
  <c r="Y165" i="42"/>
  <c r="X157" i="42"/>
  <c r="Y157" i="42"/>
  <c r="X149" i="42"/>
  <c r="Y149" i="42"/>
  <c r="X141" i="42"/>
  <c r="Y141" i="42"/>
  <c r="X133" i="42"/>
  <c r="Y133" i="42"/>
  <c r="X125" i="42"/>
  <c r="Y125" i="42"/>
  <c r="Y1000" i="42"/>
  <c r="Y968" i="42"/>
  <c r="Y936" i="42"/>
  <c r="Y904" i="42"/>
  <c r="W1012" i="42"/>
  <c r="Y1012" i="42"/>
  <c r="W1004" i="42"/>
  <c r="Y1004" i="42"/>
  <c r="W996" i="42"/>
  <c r="Y996" i="42"/>
  <c r="W988" i="42"/>
  <c r="Y988" i="42"/>
  <c r="W980" i="42"/>
  <c r="Y980" i="42"/>
  <c r="W972" i="42"/>
  <c r="Y972" i="42"/>
  <c r="W964" i="42"/>
  <c r="Y964" i="42"/>
  <c r="W956" i="42"/>
  <c r="Y956" i="42"/>
  <c r="W948" i="42"/>
  <c r="Y948" i="42"/>
  <c r="W940" i="42"/>
  <c r="Y940" i="42"/>
  <c r="W932" i="42"/>
  <c r="Y932" i="42"/>
  <c r="W924" i="42"/>
  <c r="Y924" i="42"/>
  <c r="W916" i="42"/>
  <c r="Y916" i="42"/>
  <c r="W908" i="42"/>
  <c r="Y908" i="42"/>
  <c r="W900" i="42"/>
  <c r="Y900" i="42"/>
  <c r="W892" i="42"/>
  <c r="Y892" i="42"/>
  <c r="W884" i="42"/>
  <c r="Y884" i="42"/>
  <c r="W876" i="42"/>
  <c r="Y876" i="42"/>
  <c r="W868" i="42"/>
  <c r="Y868" i="42"/>
  <c r="W860" i="42"/>
  <c r="Y860" i="42"/>
  <c r="W852" i="42"/>
  <c r="Y852" i="42"/>
  <c r="W844" i="42"/>
  <c r="Y844" i="42"/>
  <c r="W836" i="42"/>
  <c r="Y836" i="42"/>
  <c r="W828" i="42"/>
  <c r="Y828" i="42"/>
  <c r="W820" i="42"/>
  <c r="Y820" i="42"/>
  <c r="W812" i="42"/>
  <c r="Y812" i="42"/>
  <c r="W804" i="42"/>
  <c r="Y804" i="42"/>
  <c r="W796" i="42"/>
  <c r="Y796" i="42"/>
  <c r="W788" i="42"/>
  <c r="Y788" i="42"/>
  <c r="W780" i="42"/>
  <c r="Y780" i="42"/>
  <c r="W772" i="42"/>
  <c r="Y772" i="42"/>
  <c r="W764" i="42"/>
  <c r="Y764" i="42"/>
  <c r="W756" i="42"/>
  <c r="Y756" i="42"/>
  <c r="W748" i="42"/>
  <c r="Y748" i="42"/>
  <c r="W740" i="42"/>
  <c r="Y740" i="42"/>
  <c r="W732" i="42"/>
  <c r="Y732" i="42"/>
  <c r="W724" i="42"/>
  <c r="Y724" i="42"/>
  <c r="W716" i="42"/>
  <c r="Y716" i="42"/>
  <c r="W708" i="42"/>
  <c r="Y708" i="42"/>
  <c r="W700" i="42"/>
  <c r="Y700" i="42"/>
  <c r="W684" i="42"/>
  <c r="Y684" i="42"/>
  <c r="W668" i="42"/>
  <c r="Y668" i="42"/>
  <c r="W660" i="42"/>
  <c r="Y660" i="42"/>
  <c r="W652" i="42"/>
  <c r="Y652" i="42"/>
  <c r="W636" i="42"/>
  <c r="Y636" i="42"/>
  <c r="W628" i="42"/>
  <c r="Y628" i="42"/>
  <c r="W620" i="42"/>
  <c r="Y620" i="42"/>
  <c r="W604" i="42"/>
  <c r="Y604" i="42"/>
  <c r="W596" i="42"/>
  <c r="Y596" i="42"/>
  <c r="W588" i="42"/>
  <c r="Y588" i="42"/>
  <c r="W572" i="42"/>
  <c r="Y572" i="42"/>
  <c r="W564" i="42"/>
  <c r="Y564" i="42"/>
  <c r="W556" i="42"/>
  <c r="Y556" i="42"/>
  <c r="W540" i="42"/>
  <c r="Y540" i="42"/>
  <c r="W532" i="42"/>
  <c r="Y532" i="42"/>
  <c r="W524" i="42"/>
  <c r="Y524" i="42"/>
  <c r="X508" i="42"/>
  <c r="Y508" i="42"/>
  <c r="X500" i="42"/>
  <c r="Y500" i="42"/>
  <c r="X492" i="42"/>
  <c r="Y492" i="42"/>
  <c r="X484" i="42"/>
  <c r="Y484" i="42"/>
  <c r="X476" i="42"/>
  <c r="Y476" i="42"/>
  <c r="X468" i="42"/>
  <c r="Y468" i="42"/>
  <c r="X460" i="42"/>
  <c r="Y460" i="42"/>
  <c r="X452" i="42"/>
  <c r="Y452" i="42"/>
  <c r="X444" i="42"/>
  <c r="Y444" i="42"/>
  <c r="X436" i="42"/>
  <c r="Y436" i="42"/>
  <c r="X428" i="42"/>
  <c r="Y428" i="42"/>
  <c r="X420" i="42"/>
  <c r="Y420" i="42"/>
  <c r="X412" i="42"/>
  <c r="Y412" i="42"/>
  <c r="X404" i="42"/>
  <c r="Y404" i="42"/>
  <c r="X396" i="42"/>
  <c r="Y396" i="42"/>
  <c r="X388" i="42"/>
  <c r="Y388" i="42"/>
  <c r="X380" i="42"/>
  <c r="Y380" i="42"/>
  <c r="X372" i="42"/>
  <c r="Y372" i="42"/>
  <c r="X364" i="42"/>
  <c r="Y364" i="42"/>
  <c r="X356" i="42"/>
  <c r="Y356" i="42"/>
  <c r="X348" i="42"/>
  <c r="Y348" i="42"/>
  <c r="X340" i="42"/>
  <c r="Y340" i="42"/>
  <c r="X332" i="42"/>
  <c r="Y332" i="42"/>
  <c r="X324" i="42"/>
  <c r="Y324" i="42"/>
  <c r="X316" i="42"/>
  <c r="Y316" i="42"/>
  <c r="X308" i="42"/>
  <c r="Y308" i="42"/>
  <c r="X300" i="42"/>
  <c r="Y300" i="42"/>
  <c r="X292" i="42"/>
  <c r="Y292" i="42"/>
  <c r="Y999" i="42"/>
  <c r="Y967" i="42"/>
  <c r="Y935" i="42"/>
  <c r="Y903" i="42"/>
  <c r="X295" i="42"/>
  <c r="Y295" i="42"/>
  <c r="X287" i="42"/>
  <c r="Y287" i="42"/>
  <c r="X271" i="42"/>
  <c r="Y271" i="42"/>
  <c r="X263" i="42"/>
  <c r="Y263" i="42"/>
  <c r="X255" i="42"/>
  <c r="Y255" i="42"/>
  <c r="X239" i="42"/>
  <c r="Y239" i="42"/>
  <c r="X231" i="42"/>
  <c r="Y231" i="42"/>
  <c r="X223" i="42"/>
  <c r="Y223" i="42"/>
  <c r="X207" i="42"/>
  <c r="Y207" i="42"/>
  <c r="X199" i="42"/>
  <c r="Y199" i="42"/>
  <c r="X191" i="42"/>
  <c r="Y191" i="42"/>
  <c r="X175" i="42"/>
  <c r="Y175" i="42"/>
  <c r="X167" i="42"/>
  <c r="Y167" i="42"/>
  <c r="X159" i="42"/>
  <c r="Y159" i="42"/>
  <c r="X143" i="42"/>
  <c r="Y143" i="42"/>
  <c r="X135" i="42"/>
  <c r="Y135" i="42"/>
  <c r="X127" i="42"/>
  <c r="Y127" i="42"/>
  <c r="X111" i="42"/>
  <c r="Y111" i="42"/>
  <c r="X103" i="42"/>
  <c r="Y103" i="42"/>
  <c r="X95" i="42"/>
  <c r="Y95" i="42"/>
  <c r="X79" i="42"/>
  <c r="Y79" i="42"/>
  <c r="X71" i="42"/>
  <c r="Y71" i="42"/>
  <c r="X63" i="42"/>
  <c r="Y63" i="42"/>
  <c r="X47" i="42"/>
  <c r="Y47" i="42"/>
  <c r="X39" i="42"/>
  <c r="Y39" i="42"/>
  <c r="X31" i="42"/>
  <c r="Y31" i="42"/>
  <c r="X23" i="42"/>
  <c r="Y23" i="42"/>
  <c r="Y236" i="42"/>
  <c r="Y151" i="42"/>
  <c r="Y108" i="42"/>
  <c r="X206" i="42"/>
  <c r="Y206" i="42"/>
  <c r="X190" i="42"/>
  <c r="Y190" i="42"/>
  <c r="X182" i="42"/>
  <c r="Y182" i="42"/>
  <c r="X174" i="42"/>
  <c r="Y174" i="42"/>
  <c r="X158" i="42"/>
  <c r="Y158" i="42"/>
  <c r="X150" i="42"/>
  <c r="Y150" i="42"/>
  <c r="X142" i="42"/>
  <c r="Y142" i="42"/>
  <c r="X126" i="42"/>
  <c r="Y126" i="42"/>
  <c r="X118" i="42"/>
  <c r="Y118" i="42"/>
  <c r="X110" i="42"/>
  <c r="Y110" i="42"/>
  <c r="X94" i="42"/>
  <c r="Y94" i="42"/>
  <c r="X86" i="42"/>
  <c r="Y86" i="42"/>
  <c r="X78" i="42"/>
  <c r="Y78" i="42"/>
  <c r="X62" i="42"/>
  <c r="Y62" i="42"/>
  <c r="X54" i="42"/>
  <c r="Y54" i="42"/>
  <c r="X46" i="42"/>
  <c r="Y46" i="42"/>
  <c r="X30" i="42"/>
  <c r="Y30" i="42"/>
  <c r="X22" i="42"/>
  <c r="Y22" i="42"/>
  <c r="Y102" i="42"/>
  <c r="X117" i="42"/>
  <c r="Y117" i="42"/>
  <c r="X109" i="42"/>
  <c r="Y109" i="42"/>
  <c r="X101" i="42"/>
  <c r="Y101" i="42"/>
  <c r="X93" i="42"/>
  <c r="Y93" i="42"/>
  <c r="X85" i="42"/>
  <c r="Y85" i="42"/>
  <c r="X77" i="42"/>
  <c r="Y77" i="42"/>
  <c r="X69" i="42"/>
  <c r="Y69" i="42"/>
  <c r="X61" i="42"/>
  <c r="Y61" i="42"/>
  <c r="X53" i="42"/>
  <c r="Y53" i="42"/>
  <c r="X45" i="42"/>
  <c r="Y45" i="42"/>
  <c r="X37" i="42"/>
  <c r="Y37" i="42"/>
  <c r="X29" i="42"/>
  <c r="Y29" i="42"/>
  <c r="X21" i="42"/>
  <c r="Y21" i="42"/>
  <c r="Y183" i="42"/>
  <c r="Y140" i="42"/>
  <c r="Y55" i="42"/>
  <c r="X284" i="42"/>
  <c r="Y284" i="42"/>
  <c r="X276" i="42"/>
  <c r="Y276" i="42"/>
  <c r="X260" i="42"/>
  <c r="Y260" i="42"/>
  <c r="X252" i="42"/>
  <c r="Y252" i="42"/>
  <c r="X244" i="42"/>
  <c r="Y244" i="42"/>
  <c r="X228" i="42"/>
  <c r="Y228" i="42"/>
  <c r="X220" i="42"/>
  <c r="Y220" i="42"/>
  <c r="X212" i="42"/>
  <c r="Y212" i="42"/>
  <c r="X196" i="42"/>
  <c r="Y196" i="42"/>
  <c r="X188" i="42"/>
  <c r="Y188" i="42"/>
  <c r="X180" i="42"/>
  <c r="Y180" i="42"/>
  <c r="X164" i="42"/>
  <c r="Y164" i="42"/>
  <c r="X156" i="42"/>
  <c r="Y156" i="42"/>
  <c r="X148" i="42"/>
  <c r="Y148" i="42"/>
  <c r="X132" i="42"/>
  <c r="Y132" i="42"/>
  <c r="X124" i="42"/>
  <c r="Y124" i="42"/>
  <c r="X116" i="42"/>
  <c r="Y116" i="42"/>
  <c r="X100" i="42"/>
  <c r="Y100" i="42"/>
  <c r="X92" i="42"/>
  <c r="Y92" i="42"/>
  <c r="X84" i="42"/>
  <c r="Y84" i="42"/>
  <c r="X68" i="42"/>
  <c r="Y68" i="42"/>
  <c r="X60" i="42"/>
  <c r="Y60" i="42"/>
  <c r="X52" i="42"/>
  <c r="Y52" i="42"/>
  <c r="X36" i="42"/>
  <c r="Y36" i="42"/>
  <c r="X28" i="42"/>
  <c r="Y28" i="42"/>
  <c r="X20" i="42"/>
  <c r="Y20" i="42"/>
  <c r="Y134" i="42"/>
  <c r="Y48" i="42"/>
  <c r="Y279" i="42"/>
  <c r="Y215" i="42"/>
  <c r="Y172" i="42"/>
  <c r="Y87" i="42"/>
  <c r="Y44" i="42"/>
  <c r="Y247" i="42"/>
  <c r="Y166" i="42"/>
  <c r="Y38" i="42"/>
  <c r="X457" i="42"/>
  <c r="Y457" i="42"/>
  <c r="X449" i="42"/>
  <c r="Y449" i="42"/>
  <c r="X441" i="42"/>
  <c r="Y441" i="42"/>
  <c r="X433" i="42"/>
  <c r="Y433" i="42"/>
  <c r="X425" i="42"/>
  <c r="Y425" i="42"/>
  <c r="X417" i="42"/>
  <c r="Y417" i="42"/>
  <c r="X409" i="42"/>
  <c r="Y409" i="42"/>
  <c r="X401" i="42"/>
  <c r="Y401" i="42"/>
  <c r="X393" i="42"/>
  <c r="Y393" i="42"/>
  <c r="X385" i="42"/>
  <c r="Y385" i="42"/>
  <c r="X377" i="42"/>
  <c r="Y377" i="42"/>
  <c r="X369" i="42"/>
  <c r="Y369" i="42"/>
  <c r="X361" i="42"/>
  <c r="Y361" i="42"/>
  <c r="X353" i="42"/>
  <c r="Y353" i="42"/>
  <c r="X345" i="42"/>
  <c r="Y345" i="42"/>
  <c r="X337" i="42"/>
  <c r="Y337" i="42"/>
  <c r="X329" i="42"/>
  <c r="Y329" i="42"/>
  <c r="X321" i="42"/>
  <c r="Y321" i="42"/>
  <c r="X313" i="42"/>
  <c r="Y313" i="42"/>
  <c r="X305" i="42"/>
  <c r="Y305" i="42"/>
  <c r="X297" i="42"/>
  <c r="Y297" i="42"/>
  <c r="X289" i="42"/>
  <c r="Y289" i="42"/>
  <c r="X281" i="42"/>
  <c r="Y281" i="42"/>
  <c r="X273" i="42"/>
  <c r="Y273" i="42"/>
  <c r="X265" i="42"/>
  <c r="Y265" i="42"/>
  <c r="X257" i="42"/>
  <c r="Y257" i="42"/>
  <c r="X249" i="42"/>
  <c r="Y249" i="42"/>
  <c r="X241" i="42"/>
  <c r="Y241" i="42"/>
  <c r="X233" i="42"/>
  <c r="Y233" i="42"/>
  <c r="X225" i="42"/>
  <c r="Y225" i="42"/>
  <c r="X217" i="42"/>
  <c r="Y217" i="42"/>
  <c r="X209" i="42"/>
  <c r="Y209" i="42"/>
  <c r="X201" i="42"/>
  <c r="Y201" i="42"/>
  <c r="X193" i="42"/>
  <c r="Y193" i="42"/>
  <c r="X185" i="42"/>
  <c r="Y185" i="42"/>
  <c r="X177" i="42"/>
  <c r="Y177" i="42"/>
  <c r="X169" i="42"/>
  <c r="Y169" i="42"/>
  <c r="X161" i="42"/>
  <c r="Y161" i="42"/>
  <c r="X153" i="42"/>
  <c r="Y153" i="42"/>
  <c r="X145" i="42"/>
  <c r="Y145" i="42"/>
  <c r="X137" i="42"/>
  <c r="Y137" i="42"/>
  <c r="X129" i="42"/>
  <c r="Y129" i="42"/>
  <c r="X121" i="42"/>
  <c r="Y121" i="42"/>
  <c r="X113" i="42"/>
  <c r="Y113" i="42"/>
  <c r="X105" i="42"/>
  <c r="Y105" i="42"/>
  <c r="X97" i="42"/>
  <c r="Y97" i="42"/>
  <c r="X89" i="42"/>
  <c r="Y89" i="42"/>
  <c r="X81" i="42"/>
  <c r="Y81" i="42"/>
  <c r="X73" i="42"/>
  <c r="Y73" i="42"/>
  <c r="X65" i="42"/>
  <c r="Y65" i="42"/>
  <c r="X57" i="42"/>
  <c r="Y57" i="42"/>
  <c r="X49" i="42"/>
  <c r="Y49" i="42"/>
  <c r="X41" i="42"/>
  <c r="Y41" i="42"/>
  <c r="X33" i="42"/>
  <c r="Y33" i="42"/>
  <c r="X25" i="42"/>
  <c r="Y25" i="42"/>
  <c r="X17" i="42"/>
  <c r="Y17" i="42"/>
  <c r="Y204" i="42"/>
  <c r="Y119" i="42"/>
  <c r="Y76" i="42"/>
  <c r="X40" i="42"/>
  <c r="Y40" i="42"/>
  <c r="X32" i="42"/>
  <c r="Y32" i="42"/>
  <c r="X24" i="42"/>
  <c r="Y24" i="42"/>
  <c r="Y268" i="42"/>
  <c r="Y198" i="42"/>
  <c r="Y70" i="42"/>
  <c r="W861" i="42"/>
  <c r="X861" i="42"/>
  <c r="W853" i="42"/>
  <c r="X853" i="42"/>
  <c r="W845" i="42"/>
  <c r="X845" i="42"/>
  <c r="W837" i="42"/>
  <c r="X837" i="42"/>
  <c r="W829" i="42"/>
  <c r="X829" i="42"/>
  <c r="W821" i="42"/>
  <c r="X821" i="42"/>
  <c r="W813" i="42"/>
  <c r="X813" i="42"/>
  <c r="W805" i="42"/>
  <c r="X805" i="42"/>
  <c r="W797" i="42"/>
  <c r="X797" i="42"/>
  <c r="W789" i="42"/>
  <c r="X789" i="42"/>
  <c r="W781" i="42"/>
  <c r="X781" i="42"/>
  <c r="W773" i="42"/>
  <c r="X773" i="42"/>
  <c r="W765" i="42"/>
  <c r="X765" i="42"/>
  <c r="W757" i="42"/>
  <c r="X757" i="42"/>
  <c r="W749" i="42"/>
  <c r="X749" i="42"/>
  <c r="W741" i="42"/>
  <c r="X741" i="42"/>
  <c r="W733" i="42"/>
  <c r="X733" i="42"/>
  <c r="W725" i="42"/>
  <c r="X725" i="42"/>
  <c r="W717" i="42"/>
  <c r="X717" i="42"/>
  <c r="W709" i="42"/>
  <c r="X709" i="42"/>
  <c r="W701" i="42"/>
  <c r="X701" i="42"/>
  <c r="W693" i="42"/>
  <c r="X693" i="42"/>
  <c r="W685" i="42"/>
  <c r="X685" i="42"/>
  <c r="W677" i="42"/>
  <c r="X677" i="42"/>
  <c r="W669" i="42"/>
  <c r="X669" i="42"/>
  <c r="W661" i="42"/>
  <c r="X661" i="42"/>
  <c r="W653" i="42"/>
  <c r="X653" i="42"/>
  <c r="W645" i="42"/>
  <c r="X645" i="42"/>
  <c r="W637" i="42"/>
  <c r="X637" i="42"/>
  <c r="W629" i="42"/>
  <c r="X629" i="42"/>
  <c r="W621" i="42"/>
  <c r="X621" i="42"/>
  <c r="W613" i="42"/>
  <c r="X613" i="42"/>
  <c r="W605" i="42"/>
  <c r="X605" i="42"/>
  <c r="W597" i="42"/>
  <c r="X597" i="42"/>
  <c r="W589" i="42"/>
  <c r="X589" i="42"/>
  <c r="W581" i="42"/>
  <c r="X581" i="42"/>
  <c r="W573" i="42"/>
  <c r="X573" i="42"/>
  <c r="W565" i="42"/>
  <c r="X565" i="42"/>
  <c r="W557" i="42"/>
  <c r="X557" i="42"/>
  <c r="W549" i="42"/>
  <c r="X549" i="42"/>
  <c r="W541" i="42"/>
  <c r="X541" i="42"/>
  <c r="W533" i="42"/>
  <c r="X533" i="42"/>
  <c r="W525" i="42"/>
  <c r="X525" i="42"/>
  <c r="W517" i="42"/>
  <c r="X517" i="42"/>
  <c r="X1010" i="42"/>
  <c r="X1002" i="42"/>
  <c r="X994" i="42"/>
  <c r="X986" i="42"/>
  <c r="X978" i="42"/>
  <c r="X970" i="42"/>
  <c r="X962" i="42"/>
  <c r="X954" i="42"/>
  <c r="X946" i="42"/>
  <c r="X938" i="42"/>
  <c r="X930" i="42"/>
  <c r="X922" i="42"/>
  <c r="X914" i="42"/>
  <c r="X906" i="42"/>
  <c r="X898" i="42"/>
  <c r="X890" i="42"/>
  <c r="X882" i="42"/>
  <c r="X874" i="42"/>
  <c r="X866" i="42"/>
  <c r="X857" i="42"/>
  <c r="X848" i="42"/>
  <c r="X839" i="42"/>
  <c r="X830" i="42"/>
  <c r="X820" i="42"/>
  <c r="X811" i="42"/>
  <c r="X802" i="42"/>
  <c r="X793" i="42"/>
  <c r="X784" i="42"/>
  <c r="X774" i="42"/>
  <c r="X763" i="42"/>
  <c r="X753" i="42"/>
  <c r="X742" i="42"/>
  <c r="X731" i="42"/>
  <c r="X721" i="42"/>
  <c r="X710" i="42"/>
  <c r="X699" i="42"/>
  <c r="X688" i="42"/>
  <c r="X674" i="42"/>
  <c r="X659" i="42"/>
  <c r="X646" i="42"/>
  <c r="X631" i="42"/>
  <c r="X616" i="42"/>
  <c r="X603" i="42"/>
  <c r="X588" i="42"/>
  <c r="X574" i="42"/>
  <c r="X560" i="42"/>
  <c r="X546" i="42"/>
  <c r="X531" i="42"/>
  <c r="X518" i="42"/>
  <c r="W692" i="42"/>
  <c r="X692" i="42"/>
  <c r="W676" i="42"/>
  <c r="X676" i="42"/>
  <c r="W644" i="42"/>
  <c r="X644" i="42"/>
  <c r="W612" i="42"/>
  <c r="X612" i="42"/>
  <c r="W580" i="42"/>
  <c r="X580" i="42"/>
  <c r="W548" i="42"/>
  <c r="X548" i="42"/>
  <c r="W516" i="42"/>
  <c r="X516" i="42"/>
  <c r="X1009" i="42"/>
  <c r="X1001" i="42"/>
  <c r="X993" i="42"/>
  <c r="X985" i="42"/>
  <c r="X977" i="42"/>
  <c r="X969" i="42"/>
  <c r="X961" i="42"/>
  <c r="X953" i="42"/>
  <c r="X945" i="42"/>
  <c r="X937" i="42"/>
  <c r="X929" i="42"/>
  <c r="X921" i="42"/>
  <c r="X913" i="42"/>
  <c r="X905" i="42"/>
  <c r="X897" i="42"/>
  <c r="X889" i="42"/>
  <c r="X881" i="42"/>
  <c r="X873" i="42"/>
  <c r="X865" i="42"/>
  <c r="X856" i="42"/>
  <c r="X847" i="42"/>
  <c r="X838" i="42"/>
  <c r="X828" i="42"/>
  <c r="X819" i="42"/>
  <c r="X810" i="42"/>
  <c r="X801" i="42"/>
  <c r="X792" i="42"/>
  <c r="X783" i="42"/>
  <c r="X772" i="42"/>
  <c r="X762" i="42"/>
  <c r="X751" i="42"/>
  <c r="X740" i="42"/>
  <c r="X730" i="42"/>
  <c r="X719" i="42"/>
  <c r="X708" i="42"/>
  <c r="X698" i="42"/>
  <c r="X686" i="42"/>
  <c r="X671" i="42"/>
  <c r="X658" i="42"/>
  <c r="X643" i="42"/>
  <c r="X628" i="42"/>
  <c r="X615" i="42"/>
  <c r="X600" i="42"/>
  <c r="X586" i="42"/>
  <c r="X572" i="42"/>
  <c r="X558" i="42"/>
  <c r="X543" i="42"/>
  <c r="X530" i="42"/>
  <c r="X515" i="42"/>
  <c r="W683" i="42"/>
  <c r="X683" i="42"/>
  <c r="W651" i="42"/>
  <c r="X651" i="42"/>
  <c r="W619" i="42"/>
  <c r="X619" i="42"/>
  <c r="W587" i="42"/>
  <c r="X587" i="42"/>
  <c r="W555" i="42"/>
  <c r="X555" i="42"/>
  <c r="W523" i="42"/>
  <c r="X523" i="42"/>
  <c r="X1008" i="42"/>
  <c r="X1000" i="42"/>
  <c r="X992" i="42"/>
  <c r="X984" i="42"/>
  <c r="X976" i="42"/>
  <c r="X968" i="42"/>
  <c r="X960" i="42"/>
  <c r="X952" i="42"/>
  <c r="X944" i="42"/>
  <c r="X936" i="42"/>
  <c r="X928" i="42"/>
  <c r="X920" i="42"/>
  <c r="X912" i="42"/>
  <c r="X904" i="42"/>
  <c r="X896" i="42"/>
  <c r="X888" i="42"/>
  <c r="X880" i="42"/>
  <c r="X872" i="42"/>
  <c r="X864" i="42"/>
  <c r="X855" i="42"/>
  <c r="X846" i="42"/>
  <c r="X836" i="42"/>
  <c r="X827" i="42"/>
  <c r="X818" i="42"/>
  <c r="X809" i="42"/>
  <c r="X800" i="42"/>
  <c r="X791" i="42"/>
  <c r="X782" i="42"/>
  <c r="X771" i="42"/>
  <c r="X761" i="42"/>
  <c r="X750" i="42"/>
  <c r="X739" i="42"/>
  <c r="X729" i="42"/>
  <c r="X718" i="42"/>
  <c r="X707" i="42"/>
  <c r="X697" i="42"/>
  <c r="X684" i="42"/>
  <c r="X670" i="42"/>
  <c r="X656" i="42"/>
  <c r="X642" i="42"/>
  <c r="X627" i="42"/>
  <c r="X614" i="42"/>
  <c r="X599" i="42"/>
  <c r="X584" i="42"/>
  <c r="X571" i="42"/>
  <c r="X556" i="42"/>
  <c r="X542" i="42"/>
  <c r="X528" i="42"/>
  <c r="X514" i="42"/>
  <c r="W666" i="42"/>
  <c r="X666" i="42"/>
  <c r="W634" i="42"/>
  <c r="X634" i="42"/>
  <c r="W602" i="42"/>
  <c r="X602" i="42"/>
  <c r="W570" i="42"/>
  <c r="X570" i="42"/>
  <c r="W538" i="42"/>
  <c r="X538" i="42"/>
  <c r="X1007" i="42"/>
  <c r="X999" i="42"/>
  <c r="X991" i="42"/>
  <c r="X983" i="42"/>
  <c r="X975" i="42"/>
  <c r="X967" i="42"/>
  <c r="X959" i="42"/>
  <c r="X951" i="42"/>
  <c r="X943" i="42"/>
  <c r="X935" i="42"/>
  <c r="X927" i="42"/>
  <c r="X919" i="42"/>
  <c r="X911" i="42"/>
  <c r="X903" i="42"/>
  <c r="X895" i="42"/>
  <c r="X887" i="42"/>
  <c r="X879" i="42"/>
  <c r="X871" i="42"/>
  <c r="X863" i="42"/>
  <c r="X854" i="42"/>
  <c r="X844" i="42"/>
  <c r="X835" i="42"/>
  <c r="X826" i="42"/>
  <c r="X817" i="42"/>
  <c r="X808" i="42"/>
  <c r="X799" i="42"/>
  <c r="X790" i="42"/>
  <c r="X780" i="42"/>
  <c r="X770" i="42"/>
  <c r="X759" i="42"/>
  <c r="X748" i="42"/>
  <c r="X738" i="42"/>
  <c r="X727" i="42"/>
  <c r="X716" i="42"/>
  <c r="X706" i="42"/>
  <c r="X695" i="42"/>
  <c r="X682" i="42"/>
  <c r="X668" i="42"/>
  <c r="X654" i="42"/>
  <c r="X639" i="42"/>
  <c r="X626" i="42"/>
  <c r="X611" i="42"/>
  <c r="X596" i="42"/>
  <c r="X583" i="42"/>
  <c r="X568" i="42"/>
  <c r="X554" i="42"/>
  <c r="X540" i="42"/>
  <c r="X526" i="42"/>
  <c r="W681" i="42"/>
  <c r="X681" i="42"/>
  <c r="W673" i="42"/>
  <c r="X673" i="42"/>
  <c r="W665" i="42"/>
  <c r="X665" i="42"/>
  <c r="W657" i="42"/>
  <c r="X657" i="42"/>
  <c r="W649" i="42"/>
  <c r="X649" i="42"/>
  <c r="W641" i="42"/>
  <c r="X641" i="42"/>
  <c r="W633" i="42"/>
  <c r="X633" i="42"/>
  <c r="W625" i="42"/>
  <c r="X625" i="42"/>
  <c r="W617" i="42"/>
  <c r="X617" i="42"/>
  <c r="W609" i="42"/>
  <c r="X609" i="42"/>
  <c r="W601" i="42"/>
  <c r="X601" i="42"/>
  <c r="W593" i="42"/>
  <c r="X593" i="42"/>
  <c r="W585" i="42"/>
  <c r="X585" i="42"/>
  <c r="W577" i="42"/>
  <c r="X577" i="42"/>
  <c r="W569" i="42"/>
  <c r="X569" i="42"/>
  <c r="W561" i="42"/>
  <c r="X561" i="42"/>
  <c r="W553" i="42"/>
  <c r="X553" i="42"/>
  <c r="W545" i="42"/>
  <c r="X545" i="42"/>
  <c r="W537" i="42"/>
  <c r="X537" i="42"/>
  <c r="W529" i="42"/>
  <c r="X529" i="42"/>
  <c r="W521" i="42"/>
  <c r="X521" i="42"/>
  <c r="X1006" i="42"/>
  <c r="X998" i="42"/>
  <c r="X990" i="42"/>
  <c r="X982" i="42"/>
  <c r="X974" i="42"/>
  <c r="X966" i="42"/>
  <c r="X958" i="42"/>
  <c r="X950" i="42"/>
  <c r="X942" i="42"/>
  <c r="X934" i="42"/>
  <c r="X926" i="42"/>
  <c r="X918" i="42"/>
  <c r="X910" i="42"/>
  <c r="X902" i="42"/>
  <c r="X894" i="42"/>
  <c r="X886" i="42"/>
  <c r="X878" i="42"/>
  <c r="X870" i="42"/>
  <c r="X862" i="42"/>
  <c r="X852" i="42"/>
  <c r="X843" i="42"/>
  <c r="X834" i="42"/>
  <c r="X825" i="42"/>
  <c r="X816" i="42"/>
  <c r="X807" i="42"/>
  <c r="X798" i="42"/>
  <c r="X788" i="42"/>
  <c r="X779" i="42"/>
  <c r="X769" i="42"/>
  <c r="X758" i="42"/>
  <c r="X747" i="42"/>
  <c r="X737" i="42"/>
  <c r="X726" i="42"/>
  <c r="X715" i="42"/>
  <c r="X705" i="42"/>
  <c r="X694" i="42"/>
  <c r="X680" i="42"/>
  <c r="X667" i="42"/>
  <c r="X652" i="42"/>
  <c r="X638" i="42"/>
  <c r="X624" i="42"/>
  <c r="X610" i="42"/>
  <c r="X595" i="42"/>
  <c r="X582" i="42"/>
  <c r="X567" i="42"/>
  <c r="X552" i="42"/>
  <c r="X539" i="42"/>
  <c r="X524" i="42"/>
  <c r="W776" i="42"/>
  <c r="X776" i="42"/>
  <c r="W768" i="42"/>
  <c r="X768" i="42"/>
  <c r="W760" i="42"/>
  <c r="X760" i="42"/>
  <c r="W752" i="42"/>
  <c r="X752" i="42"/>
  <c r="W744" i="42"/>
  <c r="X744" i="42"/>
  <c r="W736" i="42"/>
  <c r="X736" i="42"/>
  <c r="W728" i="42"/>
  <c r="X728" i="42"/>
  <c r="W720" i="42"/>
  <c r="X720" i="42"/>
  <c r="W712" i="42"/>
  <c r="X712" i="42"/>
  <c r="W704" i="42"/>
  <c r="X704" i="42"/>
  <c r="W696" i="42"/>
  <c r="X696" i="42"/>
  <c r="W672" i="42"/>
  <c r="X672" i="42"/>
  <c r="W640" i="42"/>
  <c r="X640" i="42"/>
  <c r="W608" i="42"/>
  <c r="X608" i="42"/>
  <c r="W576" i="42"/>
  <c r="X576" i="42"/>
  <c r="W544" i="42"/>
  <c r="X544" i="42"/>
  <c r="X1005" i="42"/>
  <c r="X997" i="42"/>
  <c r="X989" i="42"/>
  <c r="X981" i="42"/>
  <c r="X973" i="42"/>
  <c r="X965" i="42"/>
  <c r="X957" i="42"/>
  <c r="X949" i="42"/>
  <c r="X941" i="42"/>
  <c r="X933" i="42"/>
  <c r="X925" i="42"/>
  <c r="X917" i="42"/>
  <c r="X909" i="42"/>
  <c r="X901" i="42"/>
  <c r="X893" i="42"/>
  <c r="X885" i="42"/>
  <c r="X877" i="42"/>
  <c r="X869" i="42"/>
  <c r="X860" i="42"/>
  <c r="X851" i="42"/>
  <c r="X842" i="42"/>
  <c r="X833" i="42"/>
  <c r="X824" i="42"/>
  <c r="X815" i="42"/>
  <c r="X806" i="42"/>
  <c r="X796" i="42"/>
  <c r="X787" i="42"/>
  <c r="X778" i="42"/>
  <c r="X767" i="42"/>
  <c r="X756" i="42"/>
  <c r="X746" i="42"/>
  <c r="X735" i="42"/>
  <c r="X724" i="42"/>
  <c r="X714" i="42"/>
  <c r="X703" i="42"/>
  <c r="X691" i="42"/>
  <c r="X679" i="42"/>
  <c r="X664" i="42"/>
  <c r="X650" i="42"/>
  <c r="X636" i="42"/>
  <c r="X622" i="42"/>
  <c r="X607" i="42"/>
  <c r="X594" i="42"/>
  <c r="X579" i="42"/>
  <c r="X564" i="42"/>
  <c r="X551" i="42"/>
  <c r="X536" i="42"/>
  <c r="X522" i="42"/>
  <c r="W687" i="42"/>
  <c r="X687" i="42"/>
  <c r="W655" i="42"/>
  <c r="X655" i="42"/>
  <c r="W623" i="42"/>
  <c r="X623" i="42"/>
  <c r="W591" i="42"/>
  <c r="X591" i="42"/>
  <c r="W559" i="42"/>
  <c r="X559" i="42"/>
  <c r="W527" i="42"/>
  <c r="X527" i="42"/>
  <c r="X1012" i="42"/>
  <c r="X1004" i="42"/>
  <c r="X996" i="42"/>
  <c r="X988" i="42"/>
  <c r="X980" i="42"/>
  <c r="X972" i="42"/>
  <c r="X964" i="42"/>
  <c r="X956" i="42"/>
  <c r="X948" i="42"/>
  <c r="X940" i="42"/>
  <c r="X932" i="42"/>
  <c r="X924" i="42"/>
  <c r="X916" i="42"/>
  <c r="X908" i="42"/>
  <c r="X900" i="42"/>
  <c r="X892" i="42"/>
  <c r="X884" i="42"/>
  <c r="X876" i="42"/>
  <c r="X868" i="42"/>
  <c r="X859" i="42"/>
  <c r="X850" i="42"/>
  <c r="X841" i="42"/>
  <c r="X832" i="42"/>
  <c r="X823" i="42"/>
  <c r="X814" i="42"/>
  <c r="X804" i="42"/>
  <c r="X795" i="42"/>
  <c r="X786" i="42"/>
  <c r="X777" i="42"/>
  <c r="X766" i="42"/>
  <c r="X755" i="42"/>
  <c r="X745" i="42"/>
  <c r="X734" i="42"/>
  <c r="X723" i="42"/>
  <c r="X713" i="42"/>
  <c r="X702" i="42"/>
  <c r="X690" i="42"/>
  <c r="X678" i="42"/>
  <c r="X663" i="42"/>
  <c r="X648" i="42"/>
  <c r="X635" i="42"/>
  <c r="X620" i="42"/>
  <c r="X606" i="42"/>
  <c r="X592" i="42"/>
  <c r="X578" i="42"/>
  <c r="X563" i="42"/>
  <c r="X550" i="42"/>
  <c r="X535" i="42"/>
  <c r="X520" i="42"/>
  <c r="W662" i="42"/>
  <c r="X662" i="42"/>
  <c r="W630" i="42"/>
  <c r="X630" i="42"/>
  <c r="W598" i="42"/>
  <c r="X598" i="42"/>
  <c r="W566" i="42"/>
  <c r="X566" i="42"/>
  <c r="W534" i="42"/>
  <c r="X534" i="42"/>
  <c r="X1011" i="42"/>
  <c r="X1003" i="42"/>
  <c r="X995" i="42"/>
  <c r="X987" i="42"/>
  <c r="X979" i="42"/>
  <c r="X971" i="42"/>
  <c r="X963" i="42"/>
  <c r="X955" i="42"/>
  <c r="X947" i="42"/>
  <c r="X939" i="42"/>
  <c r="X931" i="42"/>
  <c r="X923" i="42"/>
  <c r="X915" i="42"/>
  <c r="X907" i="42"/>
  <c r="X899" i="42"/>
  <c r="X891" i="42"/>
  <c r="X883" i="42"/>
  <c r="X875" i="42"/>
  <c r="X867" i="42"/>
  <c r="X858" i="42"/>
  <c r="X849" i="42"/>
  <c r="X840" i="42"/>
  <c r="X831" i="42"/>
  <c r="X822" i="42"/>
  <c r="X812" i="42"/>
  <c r="X803" i="42"/>
  <c r="X794" i="42"/>
  <c r="X785" i="42"/>
  <c r="X775" i="42"/>
  <c r="X764" i="42"/>
  <c r="X754" i="42"/>
  <c r="X743" i="42"/>
  <c r="X732" i="42"/>
  <c r="X722" i="42"/>
  <c r="X711" i="42"/>
  <c r="X700" i="42"/>
  <c r="X689" i="42"/>
  <c r="X675" i="42"/>
  <c r="X660" i="42"/>
  <c r="X647" i="42"/>
  <c r="X632" i="42"/>
  <c r="X618" i="42"/>
  <c r="X604" i="42"/>
  <c r="X590" i="42"/>
  <c r="X575" i="42"/>
  <c r="X562" i="42"/>
  <c r="X547" i="42"/>
  <c r="X532" i="42"/>
  <c r="X519" i="42"/>
  <c r="W510" i="42"/>
  <c r="W502" i="42"/>
  <c r="W494" i="42"/>
  <c r="W486" i="42"/>
  <c r="W478" i="42"/>
  <c r="W470" i="42"/>
  <c r="W462" i="42"/>
  <c r="W454" i="42"/>
  <c r="W446" i="42"/>
  <c r="W438" i="42"/>
  <c r="W430" i="42"/>
  <c r="W422" i="42"/>
  <c r="W414" i="42"/>
  <c r="W406" i="42"/>
  <c r="W398" i="42"/>
  <c r="W390" i="42"/>
  <c r="W382" i="42"/>
  <c r="W374" i="42"/>
  <c r="W366" i="42"/>
  <c r="W358" i="42"/>
  <c r="W350" i="42"/>
  <c r="W342" i="42"/>
  <c r="W334" i="42"/>
  <c r="W326" i="42"/>
  <c r="W318" i="42"/>
  <c r="W310" i="42"/>
  <c r="W302" i="42"/>
  <c r="W294" i="42"/>
  <c r="W286" i="42"/>
  <c r="W278" i="42"/>
  <c r="W270" i="42"/>
  <c r="W262" i="42"/>
  <c r="W254" i="42"/>
  <c r="W246" i="42"/>
  <c r="W238" i="42"/>
  <c r="W230" i="42"/>
  <c r="W222" i="42"/>
  <c r="W214" i="42"/>
  <c r="W206" i="42"/>
  <c r="W198" i="42"/>
  <c r="W190" i="42"/>
  <c r="W182" i="42"/>
  <c r="W174" i="42"/>
  <c r="W166" i="42"/>
  <c r="W158" i="42"/>
  <c r="W150" i="42"/>
  <c r="W142" i="42"/>
  <c r="W134" i="42"/>
  <c r="W126" i="42"/>
  <c r="W118" i="42"/>
  <c r="W110" i="42"/>
  <c r="W102" i="42"/>
  <c r="W94" i="42"/>
  <c r="W86" i="42"/>
  <c r="W78" i="42"/>
  <c r="W70" i="42"/>
  <c r="W62" i="42"/>
  <c r="W54" i="42"/>
  <c r="W46" i="42"/>
  <c r="W38" i="42"/>
  <c r="W30" i="42"/>
  <c r="W22" i="42"/>
  <c r="W509" i="42"/>
  <c r="W501" i="42"/>
  <c r="W493" i="42"/>
  <c r="W485" i="42"/>
  <c r="W477" i="42"/>
  <c r="W469" i="42"/>
  <c r="W461" i="42"/>
  <c r="W453" i="42"/>
  <c r="W445" i="42"/>
  <c r="W437" i="42"/>
  <c r="W429" i="42"/>
  <c r="W421" i="42"/>
  <c r="W413" i="42"/>
  <c r="W405" i="42"/>
  <c r="W397" i="42"/>
  <c r="W389" i="42"/>
  <c r="W381" i="42"/>
  <c r="W373" i="42"/>
  <c r="W365" i="42"/>
  <c r="W357" i="42"/>
  <c r="W349" i="42"/>
  <c r="W341" i="42"/>
  <c r="W333" i="42"/>
  <c r="W325" i="42"/>
  <c r="W317" i="42"/>
  <c r="W309" i="42"/>
  <c r="W301" i="42"/>
  <c r="W293" i="42"/>
  <c r="W285" i="42"/>
  <c r="W277" i="42"/>
  <c r="W269" i="42"/>
  <c r="W261" i="42"/>
  <c r="W253" i="42"/>
  <c r="W245" i="42"/>
  <c r="W237" i="42"/>
  <c r="W229" i="42"/>
  <c r="W221" i="42"/>
  <c r="W213" i="42"/>
  <c r="W205" i="42"/>
  <c r="W197" i="42"/>
  <c r="W189" i="42"/>
  <c r="W181" i="42"/>
  <c r="W173" i="42"/>
  <c r="W165" i="42"/>
  <c r="W157" i="42"/>
  <c r="W149" i="42"/>
  <c r="W141" i="42"/>
  <c r="W133" i="42"/>
  <c r="W125" i="42"/>
  <c r="W117" i="42"/>
  <c r="W109" i="42"/>
  <c r="W101" i="42"/>
  <c r="W93" i="42"/>
  <c r="W85" i="42"/>
  <c r="W508" i="42"/>
  <c r="W500" i="42"/>
  <c r="W492" i="42"/>
  <c r="W484" i="42"/>
  <c r="W476" i="42"/>
  <c r="W468" i="42"/>
  <c r="W460" i="42"/>
  <c r="W452" i="42"/>
  <c r="W444" i="42"/>
  <c r="W436" i="42"/>
  <c r="W428" i="42"/>
  <c r="W420" i="42"/>
  <c r="W412" i="42"/>
  <c r="W404" i="42"/>
  <c r="W396" i="42"/>
  <c r="W388" i="42"/>
  <c r="W380" i="42"/>
  <c r="W372" i="42"/>
  <c r="W364" i="42"/>
  <c r="W356" i="42"/>
  <c r="W348" i="42"/>
  <c r="W340" i="42"/>
  <c r="W332" i="42"/>
  <c r="W324" i="42"/>
  <c r="W316" i="42"/>
  <c r="W308" i="42"/>
  <c r="W300" i="42"/>
  <c r="W292" i="42"/>
  <c r="W284" i="42"/>
  <c r="W276" i="42"/>
  <c r="W268" i="42"/>
  <c r="W260" i="42"/>
  <c r="W252" i="42"/>
  <c r="W244" i="42"/>
  <c r="W236" i="42"/>
  <c r="W220" i="42"/>
  <c r="W212" i="42"/>
  <c r="W188" i="42"/>
  <c r="W180" i="42"/>
  <c r="W156" i="42"/>
  <c r="W148" i="42"/>
  <c r="W124" i="42"/>
  <c r="W116" i="42"/>
  <c r="W92" i="42"/>
  <c r="W84" i="42"/>
  <c r="W60" i="42"/>
  <c r="W52" i="42"/>
  <c r="W28" i="42"/>
  <c r="W20" i="42"/>
  <c r="W507" i="42"/>
  <c r="W499" i="42"/>
  <c r="W491" i="42"/>
  <c r="W483" i="42"/>
  <c r="W475" i="42"/>
  <c r="W467" i="42"/>
  <c r="W459" i="42"/>
  <c r="W451" i="42"/>
  <c r="W443" i="42"/>
  <c r="W435" i="42"/>
  <c r="W427" i="42"/>
  <c r="W419" i="42"/>
  <c r="W411" i="42"/>
  <c r="W403" i="42"/>
  <c r="W395" i="42"/>
  <c r="W387" i="42"/>
  <c r="W379" i="42"/>
  <c r="W371" i="42"/>
  <c r="W363" i="42"/>
  <c r="W355" i="42"/>
  <c r="W347" i="42"/>
  <c r="W339" i="42"/>
  <c r="W331" i="42"/>
  <c r="W323" i="42"/>
  <c r="W315" i="42"/>
  <c r="W307" i="42"/>
  <c r="W299" i="42"/>
  <c r="W291" i="42"/>
  <c r="W283" i="42"/>
  <c r="W275" i="42"/>
  <c r="W267" i="42"/>
  <c r="W259" i="42"/>
  <c r="W251" i="42"/>
  <c r="W243" i="42"/>
  <c r="W235" i="42"/>
  <c r="W227" i="42"/>
  <c r="W219" i="42"/>
  <c r="W211" i="42"/>
  <c r="W203" i="42"/>
  <c r="W195" i="42"/>
  <c r="W187" i="42"/>
  <c r="W179" i="42"/>
  <c r="W171" i="42"/>
  <c r="W163" i="42"/>
  <c r="W155" i="42"/>
  <c r="W147" i="42"/>
  <c r="W139" i="42"/>
  <c r="W131" i="42"/>
  <c r="W123" i="42"/>
  <c r="W115" i="42"/>
  <c r="W107" i="42"/>
  <c r="W99" i="42"/>
  <c r="W91" i="42"/>
  <c r="W83" i="42"/>
  <c r="W75" i="42"/>
  <c r="W51" i="42"/>
  <c r="W43" i="42"/>
  <c r="W19" i="42"/>
  <c r="W506" i="42"/>
  <c r="W498" i="42"/>
  <c r="W490" i="42"/>
  <c r="W482" i="42"/>
  <c r="W474" i="42"/>
  <c r="W466" i="42"/>
  <c r="W458" i="42"/>
  <c r="W450" i="42"/>
  <c r="W442" i="42"/>
  <c r="W434" i="42"/>
  <c r="W426" i="42"/>
  <c r="W418" i="42"/>
  <c r="W410" i="42"/>
  <c r="W402" i="42"/>
  <c r="W394" i="42"/>
  <c r="W386" i="42"/>
  <c r="W378" i="42"/>
  <c r="W370" i="42"/>
  <c r="W362" i="42"/>
  <c r="W354" i="42"/>
  <c r="W346" i="42"/>
  <c r="W338" i="42"/>
  <c r="W330" i="42"/>
  <c r="W322" i="42"/>
  <c r="W314" i="42"/>
  <c r="W306" i="42"/>
  <c r="W298" i="42"/>
  <c r="W290" i="42"/>
  <c r="W282" i="42"/>
  <c r="W274" i="42"/>
  <c r="W266" i="42"/>
  <c r="W258" i="42"/>
  <c r="W250" i="42"/>
  <c r="W242" i="42"/>
  <c r="W234" i="42"/>
  <c r="W226" i="42"/>
  <c r="W218" i="42"/>
  <c r="W210" i="42"/>
  <c r="W202" i="42"/>
  <c r="W194" i="42"/>
  <c r="W186" i="42"/>
  <c r="W178" i="42"/>
  <c r="W170" i="42"/>
  <c r="W162" i="42"/>
  <c r="W154" i="42"/>
  <c r="W146" i="42"/>
  <c r="W138" i="42"/>
  <c r="W130" i="42"/>
  <c r="W122" i="42"/>
  <c r="W114" i="42"/>
  <c r="W106" i="42"/>
  <c r="W98" i="42"/>
  <c r="W90" i="42"/>
  <c r="W82" i="42"/>
  <c r="W74" i="42"/>
  <c r="W66" i="42"/>
  <c r="W58" i="42"/>
  <c r="W50" i="42"/>
  <c r="W42" i="42"/>
  <c r="W34" i="42"/>
  <c r="W26" i="42"/>
  <c r="W18" i="42"/>
  <c r="W513" i="42"/>
  <c r="W505" i="42"/>
  <c r="W497" i="42"/>
  <c r="W489" i="42"/>
  <c r="W481" i="42"/>
  <c r="W473" i="42"/>
  <c r="W465" i="42"/>
  <c r="W457" i="42"/>
  <c r="W449" i="42"/>
  <c r="W441" i="42"/>
  <c r="W433" i="42"/>
  <c r="W425" i="42"/>
  <c r="W417" i="42"/>
  <c r="W409" i="42"/>
  <c r="W401" i="42"/>
  <c r="W393" i="42"/>
  <c r="W385" i="42"/>
  <c r="W377" i="42"/>
  <c r="W369" i="42"/>
  <c r="W361" i="42"/>
  <c r="W353" i="42"/>
  <c r="W345" i="42"/>
  <c r="W337" i="42"/>
  <c r="W329" i="42"/>
  <c r="W321" i="42"/>
  <c r="W313" i="42"/>
  <c r="W305" i="42"/>
  <c r="W297" i="42"/>
  <c r="W289" i="42"/>
  <c r="W281" i="42"/>
  <c r="W273" i="42"/>
  <c r="W265" i="42"/>
  <c r="W257" i="42"/>
  <c r="W249" i="42"/>
  <c r="W241" i="42"/>
  <c r="W233" i="42"/>
  <c r="W225" i="42"/>
  <c r="W217" i="42"/>
  <c r="W209" i="42"/>
  <c r="W512" i="42"/>
  <c r="W504" i="42"/>
  <c r="W496" i="42"/>
  <c r="W488" i="42"/>
  <c r="W480" i="42"/>
  <c r="W472" i="42"/>
  <c r="W464" i="42"/>
  <c r="W456" i="42"/>
  <c r="W448" i="42"/>
  <c r="W440" i="42"/>
  <c r="W432" i="42"/>
  <c r="W424" i="42"/>
  <c r="W416" i="42"/>
  <c r="W408" i="42"/>
  <c r="W400" i="42"/>
  <c r="W392" i="42"/>
  <c r="W384" i="42"/>
  <c r="W376" i="42"/>
  <c r="W368" i="42"/>
  <c r="W360" i="42"/>
  <c r="W352" i="42"/>
  <c r="W344" i="42"/>
  <c r="W336" i="42"/>
  <c r="W328" i="42"/>
  <c r="W320" i="42"/>
  <c r="W312" i="42"/>
  <c r="W304" i="42"/>
  <c r="W296" i="42"/>
  <c r="W288" i="42"/>
  <c r="W280" i="42"/>
  <c r="W272" i="42"/>
  <c r="W264" i="42"/>
  <c r="W256" i="42"/>
  <c r="W248" i="42"/>
  <c r="W240" i="42"/>
  <c r="W232" i="42"/>
  <c r="W224" i="42"/>
  <c r="W216" i="42"/>
  <c r="W208" i="42"/>
  <c r="W200" i="42"/>
  <c r="W192" i="42"/>
  <c r="W184" i="42"/>
  <c r="W176" i="42"/>
  <c r="W168" i="42"/>
  <c r="W160" i="42"/>
  <c r="W152" i="42"/>
  <c r="W144" i="42"/>
  <c r="W136" i="42"/>
  <c r="W128" i="42"/>
  <c r="W120" i="42"/>
  <c r="W112" i="42"/>
  <c r="W104" i="42"/>
  <c r="W96" i="42"/>
  <c r="W88" i="42"/>
  <c r="W80" i="42"/>
  <c r="W72" i="42"/>
  <c r="W64" i="42"/>
  <c r="W56" i="42"/>
  <c r="W40" i="42"/>
  <c r="W32" i="42"/>
  <c r="W511" i="42"/>
  <c r="W503" i="42"/>
  <c r="W495" i="42"/>
  <c r="W487" i="42"/>
  <c r="W479" i="42"/>
  <c r="W471" i="42"/>
  <c r="W463" i="42"/>
  <c r="W455" i="42"/>
  <c r="W447" i="42"/>
  <c r="W439" i="42"/>
  <c r="W431" i="42"/>
  <c r="W423" i="42"/>
  <c r="W415" i="42"/>
  <c r="W407" i="42"/>
  <c r="W399" i="42"/>
  <c r="W391" i="42"/>
  <c r="W383" i="42"/>
  <c r="W375" i="42"/>
  <c r="W367" i="42"/>
  <c r="W359" i="42"/>
  <c r="W351" i="42"/>
  <c r="W343" i="42"/>
  <c r="W335" i="42"/>
  <c r="W327" i="42"/>
  <c r="W319" i="42"/>
  <c r="W311" i="42"/>
  <c r="W303" i="42"/>
  <c r="W295" i="42"/>
  <c r="W287" i="42"/>
  <c r="W279" i="42"/>
  <c r="W271" i="42"/>
  <c r="W263" i="42"/>
  <c r="W255" i="42"/>
  <c r="W247" i="42"/>
  <c r="W239" i="42"/>
  <c r="W231" i="42"/>
  <c r="W223" i="42"/>
  <c r="W215" i="42"/>
  <c r="W207" i="42"/>
  <c r="W199" i="42"/>
  <c r="W191" i="42"/>
  <c r="W183" i="42"/>
  <c r="W175" i="42"/>
  <c r="W167" i="42"/>
  <c r="W159" i="42"/>
  <c r="W151" i="42"/>
  <c r="W143" i="42"/>
  <c r="W135" i="42"/>
  <c r="W127" i="42"/>
  <c r="W119" i="42"/>
  <c r="W111" i="42"/>
  <c r="W103" i="42"/>
  <c r="W95" i="42"/>
  <c r="W87" i="42"/>
  <c r="W79" i="42"/>
  <c r="W71" i="42"/>
  <c r="W63" i="42"/>
  <c r="W55" i="42"/>
  <c r="W39" i="42"/>
  <c r="W31" i="42"/>
  <c r="W228" i="42"/>
  <c r="W204" i="42"/>
  <c r="W196" i="42"/>
  <c r="W172" i="42"/>
  <c r="W164" i="42"/>
  <c r="W140" i="42"/>
  <c r="W132" i="42"/>
  <c r="W108" i="42"/>
  <c r="W100" i="42"/>
  <c r="W76" i="42"/>
  <c r="W68" i="42"/>
  <c r="W44" i="42"/>
  <c r="W36" i="42"/>
  <c r="W67" i="42"/>
  <c r="W59" i="42"/>
  <c r="W35" i="42"/>
  <c r="W27" i="42"/>
  <c r="W201" i="42"/>
  <c r="W193" i="42"/>
  <c r="W185" i="42"/>
  <c r="W177" i="42"/>
  <c r="W169" i="42"/>
  <c r="W161" i="42"/>
  <c r="W153" i="42"/>
  <c r="W145" i="42"/>
  <c r="W137" i="42"/>
  <c r="W129" i="42"/>
  <c r="W121" i="42"/>
  <c r="W113" i="42"/>
  <c r="W105" i="42"/>
  <c r="W97" i="42"/>
  <c r="W89" i="42"/>
  <c r="W81" i="42"/>
  <c r="W73" i="42"/>
  <c r="W65" i="42"/>
  <c r="W57" i="42"/>
  <c r="W49" i="42"/>
  <c r="W41" i="42"/>
  <c r="W33" i="42"/>
  <c r="W25" i="42"/>
  <c r="W17" i="42"/>
  <c r="W48" i="42"/>
  <c r="W24" i="42"/>
  <c r="W47" i="42"/>
  <c r="W23" i="42"/>
  <c r="W77" i="42"/>
  <c r="W69" i="42"/>
  <c r="W61" i="42"/>
  <c r="W53" i="42"/>
  <c r="W45" i="42"/>
  <c r="W37" i="42"/>
  <c r="W29" i="42"/>
  <c r="W21" i="42"/>
  <c r="V15" i="42"/>
  <c r="V14" i="42"/>
  <c r="F9" i="40"/>
  <c r="C9" i="40"/>
  <c r="G9" i="39"/>
  <c r="C9" i="39"/>
  <c r="E9" i="39"/>
  <c r="G9" i="8"/>
  <c r="E9" i="8"/>
  <c r="X502" i="2"/>
  <c r="V507" i="2"/>
  <c r="W507" i="2"/>
  <c r="X501" i="2"/>
  <c r="W502" i="2"/>
  <c r="U510" i="2"/>
  <c r="V502" i="2"/>
  <c r="V510" i="2"/>
  <c r="V506" i="2"/>
  <c r="W510" i="2"/>
  <c r="U511" i="2"/>
  <c r="X505" i="2"/>
  <c r="W506" i="2"/>
  <c r="U507" i="2"/>
  <c r="X506" i="2"/>
  <c r="W501" i="2"/>
  <c r="W505" i="2"/>
  <c r="U508" i="2"/>
  <c r="V508" i="2"/>
  <c r="W508" i="2"/>
  <c r="V511" i="2"/>
  <c r="U512" i="2"/>
  <c r="W513" i="2"/>
  <c r="W511" i="2"/>
  <c r="W512" i="2"/>
  <c r="X503" i="2"/>
  <c r="W503" i="2"/>
  <c r="V503" i="2"/>
  <c r="V509" i="2"/>
  <c r="X509" i="2"/>
  <c r="W509" i="2"/>
  <c r="U509" i="2"/>
  <c r="W504" i="2"/>
  <c r="U501" i="2"/>
  <c r="V512" i="2"/>
  <c r="U513" i="2"/>
  <c r="X513" i="2"/>
  <c r="U504" i="2"/>
  <c r="V504" i="2"/>
  <c r="U505" i="2"/>
  <c r="H9" i="33" l="1"/>
  <c r="G13" i="25"/>
  <c r="J16" i="2"/>
  <c r="W16" i="42" s="1"/>
  <c r="L13" i="42"/>
  <c r="B9" i="42"/>
  <c r="AH14" i="42"/>
  <c r="AH15" i="42"/>
  <c r="AH13" i="42"/>
  <c r="X14" i="42"/>
  <c r="Y14" i="42"/>
  <c r="X15" i="42"/>
  <c r="Y15" i="42"/>
  <c r="Y13" i="42"/>
  <c r="W14" i="42"/>
  <c r="W15" i="42"/>
  <c r="H9" i="40"/>
  <c r="AH16" i="42" l="1"/>
  <c r="Y16" i="42"/>
  <c r="B33" i="42"/>
  <c r="Z37" i="42"/>
  <c r="R37" i="42" s="1"/>
  <c r="Z43" i="42"/>
  <c r="N43" i="42" s="1"/>
  <c r="Z44" i="42"/>
  <c r="Z41" i="42"/>
  <c r="N41" i="42" s="1"/>
  <c r="Z42" i="42"/>
  <c r="Z40" i="42"/>
  <c r="Z39" i="42"/>
  <c r="Z38" i="42"/>
  <c r="Z36" i="42"/>
  <c r="N36" i="42" s="1"/>
  <c r="AC20" i="42"/>
  <c r="Z35" i="42"/>
  <c r="AC18" i="42"/>
  <c r="AC19" i="42"/>
  <c r="AC17" i="42"/>
  <c r="AC16" i="42"/>
  <c r="AC15" i="42"/>
  <c r="AC14" i="42"/>
  <c r="AC13" i="42"/>
  <c r="AC12" i="42"/>
  <c r="AC11" i="42"/>
  <c r="AC10" i="42"/>
  <c r="B16" i="42"/>
  <c r="B18" i="42"/>
  <c r="AC9" i="42"/>
  <c r="B13" i="42"/>
  <c r="G13" i="42"/>
  <c r="AB4" i="42" s="1"/>
  <c r="I9" i="42"/>
  <c r="N37" i="42" l="1"/>
  <c r="H37" i="42"/>
  <c r="E37" i="42"/>
  <c r="B37" i="42"/>
  <c r="K37" i="42"/>
  <c r="N44" i="42"/>
  <c r="R44" i="42"/>
  <c r="H44" i="42"/>
  <c r="K44" i="42"/>
  <c r="B44" i="42"/>
  <c r="E44" i="42"/>
  <c r="E43" i="42"/>
  <c r="B43" i="42"/>
  <c r="K43" i="42"/>
  <c r="H43" i="42"/>
  <c r="R43" i="42"/>
  <c r="N42" i="42"/>
  <c r="R42" i="42"/>
  <c r="H42" i="42"/>
  <c r="K42" i="42"/>
  <c r="B42" i="42"/>
  <c r="E42" i="42"/>
  <c r="E41" i="42"/>
  <c r="B41" i="42"/>
  <c r="K41" i="42"/>
  <c r="H41" i="42"/>
  <c r="R41" i="42"/>
  <c r="N40" i="42"/>
  <c r="R40" i="42"/>
  <c r="H40" i="42"/>
  <c r="K40" i="42"/>
  <c r="B40" i="42"/>
  <c r="E40" i="42"/>
  <c r="N39" i="42"/>
  <c r="R39" i="42"/>
  <c r="H39" i="42"/>
  <c r="K39" i="42"/>
  <c r="B39" i="42"/>
  <c r="E39" i="42"/>
  <c r="N38" i="42"/>
  <c r="R38" i="42"/>
  <c r="H38" i="42"/>
  <c r="K38" i="42"/>
  <c r="B38" i="42"/>
  <c r="E38" i="42"/>
  <c r="E36" i="42"/>
  <c r="B36" i="42"/>
  <c r="K36" i="42"/>
  <c r="H36" i="42"/>
  <c r="R36" i="42"/>
  <c r="N35" i="42"/>
  <c r="R35" i="42"/>
  <c r="H35" i="42"/>
  <c r="K35" i="42"/>
  <c r="B35" i="42"/>
  <c r="E35" i="42"/>
  <c r="AB5" i="42"/>
  <c r="Q13" i="42"/>
  <c r="AB3" i="42"/>
</calcChain>
</file>

<file path=xl/sharedStrings.xml><?xml version="1.0" encoding="utf-8"?>
<sst xmlns="http://schemas.openxmlformats.org/spreadsheetml/2006/main" count="4230" uniqueCount="1297">
  <si>
    <t>Partener</t>
  </si>
  <si>
    <t>Tip partener</t>
  </si>
  <si>
    <t>Tip intrare</t>
  </si>
  <si>
    <t>DASHBOARD</t>
  </si>
  <si>
    <t>Nr.</t>
  </si>
  <si>
    <t>Data</t>
  </si>
  <si>
    <t>Intrare</t>
  </si>
  <si>
    <t>Status dosar</t>
  </si>
  <si>
    <t>Documente lipsa</t>
  </si>
  <si>
    <t>TQM CALARASI</t>
  </si>
  <si>
    <t>Declaratie conformitate</t>
  </si>
  <si>
    <t>Declaratie producator</t>
  </si>
  <si>
    <t>Retete / Fise tehnice</t>
  </si>
  <si>
    <t>Observatii</t>
  </si>
  <si>
    <t>Nr. Factura / Aviz</t>
  </si>
  <si>
    <t>Valoare (RON fara TVA)</t>
  </si>
  <si>
    <t>Lucrare / Obiectiv</t>
  </si>
  <si>
    <t>Retete / Fise</t>
  </si>
  <si>
    <t>CALARASI</t>
  </si>
  <si>
    <t>fct 1024</t>
  </si>
  <si>
    <t>DANA</t>
  </si>
  <si>
    <t>Furnizor</t>
  </si>
  <si>
    <t>Factura</t>
  </si>
  <si>
    <t>Primit</t>
  </si>
  <si>
    <t>N/A</t>
  </si>
  <si>
    <t>Nana</t>
  </si>
  <si>
    <t>Doar Aviz (Fara Factura)</t>
  </si>
  <si>
    <t>FCT 2003</t>
  </si>
  <si>
    <t>Frasinet 1</t>
  </si>
  <si>
    <t>Producator</t>
  </si>
  <si>
    <t>Lipsa</t>
  </si>
  <si>
    <t>dada</t>
  </si>
  <si>
    <t>FCT 192</t>
  </si>
  <si>
    <t>Spital Calarasi</t>
  </si>
  <si>
    <t>CONTROL ACHIZITII  •  REGISTRU DOCUMENTE  •  MONITORIZARE DOSARE</t>
  </si>
  <si>
    <t>ADAUGA ÎNREGISTRARE</t>
  </si>
  <si>
    <t>ACTIUNI</t>
  </si>
  <si>
    <t>TQM_SL_CONTROL_V1</t>
  </si>
  <si>
    <t>TQM_CONTROL_13_V2</t>
  </si>
  <si>
    <t>Aviz necesar?</t>
  </si>
  <si>
    <t>Actiune</t>
  </si>
  <si>
    <t>Data facturii</t>
  </si>
  <si>
    <t>ID_dosar</t>
  </si>
  <si>
    <t>Cheie_regula</t>
  </si>
  <si>
    <t>Stare_regula</t>
  </si>
  <si>
    <t>Cere_aviz</t>
  </si>
  <si>
    <t>Cere_conformitate</t>
  </si>
  <si>
    <t>Cere_producator</t>
  </si>
  <si>
    <t>Cere_fise</t>
  </si>
  <si>
    <t>Lipsa_calculata</t>
  </si>
  <si>
    <t>Status aviz</t>
  </si>
  <si>
    <t>DS-4E9C8D76-F6F0-436C-BD4D-5E23F1C78516</t>
  </si>
  <si>
    <t>DS-0615CB72-67B3-43FB-ADB0-8D65FB4AA4D5</t>
  </si>
  <si>
    <t>DS-6AA0B273-5AA3-4E82-B4D4-9ECA3DEFAED5</t>
  </si>
  <si>
    <t>TQM_CF_V1</t>
  </si>
  <si>
    <t>Actualizează</t>
  </si>
  <si>
    <t>Comenzi de primit</t>
  </si>
  <si>
    <t>ID_comanda</t>
  </si>
  <si>
    <t>Nr_comanda</t>
  </si>
  <si>
    <t>Data_comanda</t>
  </si>
  <si>
    <t>Proiect</t>
  </si>
  <si>
    <t>Canal</t>
  </si>
  <si>
    <t>Responsabil</t>
  </si>
  <si>
    <t>Termen</t>
  </si>
  <si>
    <t>Stare</t>
  </si>
  <si>
    <t>Nr_pozitii</t>
  </si>
  <si>
    <t>Valoare_net_RON</t>
  </si>
  <si>
    <t>De_primit_RON</t>
  </si>
  <si>
    <t>Livrare</t>
  </si>
  <si>
    <t>Pozitii_intarziate</t>
  </si>
  <si>
    <t>Transport_RON</t>
  </si>
  <si>
    <t>Alte_costuri_RON</t>
  </si>
  <si>
    <t>Referinta</t>
  </si>
  <si>
    <t>Link_document</t>
  </si>
  <si>
    <t>Revizie</t>
  </si>
  <si>
    <t>Actualizat_de</t>
  </si>
  <si>
    <t>Actualizat_la</t>
  </si>
  <si>
    <t>ID_pozitie</t>
  </si>
  <si>
    <t>Cod_material</t>
  </si>
  <si>
    <t>Material</t>
  </si>
  <si>
    <t>Specificatie</t>
  </si>
  <si>
    <t>UM</t>
  </si>
  <si>
    <t>Cant_comandata</t>
  </si>
  <si>
    <t>Pret_unitar</t>
  </si>
  <si>
    <t>Discount_pct</t>
  </si>
  <si>
    <t>Cant_primita</t>
  </si>
  <si>
    <t>Cant_anulata</t>
  </si>
  <si>
    <t>Cant_ramasa</t>
  </si>
  <si>
    <t>Val_initiala</t>
  </si>
  <si>
    <t>Val_de_primit</t>
  </si>
  <si>
    <t>Termen_livrare</t>
  </si>
  <si>
    <t>ID_cerere</t>
  </si>
  <si>
    <t>ID_oferta</t>
  </si>
  <si>
    <t>ID_receptie</t>
  </si>
  <si>
    <t>Document</t>
  </si>
  <si>
    <t>Cantitate</t>
  </si>
  <si>
    <t>Link</t>
  </si>
  <si>
    <t>Creat_de</t>
  </si>
  <si>
    <t>Creat_la</t>
  </si>
  <si>
    <t>Motiv_anulare</t>
  </si>
  <si>
    <t>TQM_ST_V1</t>
  </si>
  <si>
    <t>Solduri negative</t>
  </si>
  <si>
    <t>Locatie</t>
  </si>
  <si>
    <t>Intrari</t>
  </si>
  <si>
    <t>Iesiri</t>
  </si>
  <si>
    <t>Stoc_curent</t>
  </si>
  <si>
    <t>Stoc_minim</t>
  </si>
  <si>
    <t>Alerta</t>
  </si>
  <si>
    <t>ID_material</t>
  </si>
  <si>
    <t>ID_locatie</t>
  </si>
  <si>
    <t>ID_stoc</t>
  </si>
  <si>
    <t>Denumire</t>
  </si>
  <si>
    <t>ID_miscare</t>
  </si>
  <si>
    <t>ID_operatie</t>
  </si>
  <si>
    <t>Tip</t>
  </si>
  <si>
    <t>Anulat_la</t>
  </si>
  <si>
    <t>Anulat_de</t>
  </si>
  <si>
    <t>TQM_FP_V1</t>
  </si>
  <si>
    <t>Credite la furnizori (RON cu TVA)</t>
  </si>
  <si>
    <t>Nr_factura</t>
  </si>
  <si>
    <t>Data_factura</t>
  </si>
  <si>
    <t>CIF_partener</t>
  </si>
  <si>
    <t>Tip_factura</t>
  </si>
  <si>
    <t>Scadenta</t>
  </si>
  <si>
    <t>Net_RON</t>
  </si>
  <si>
    <t>TVA_RON</t>
  </si>
  <si>
    <t>Total_RON</t>
  </si>
  <si>
    <t>Achitat_RON</t>
  </si>
  <si>
    <t>Sold_RON</t>
  </si>
  <si>
    <t>Status_plata</t>
  </si>
  <si>
    <t>Proiecte</t>
  </si>
  <si>
    <t>Link_factura</t>
  </si>
  <si>
    <t>ID_factura</t>
  </si>
  <si>
    <t>ID_factura_originala</t>
  </si>
  <si>
    <t>ID_repartizare</t>
  </si>
  <si>
    <t>Descriere</t>
  </si>
  <si>
    <t>Ordine</t>
  </si>
  <si>
    <t>ID_repartizare_originala</t>
  </si>
  <si>
    <t>Suma_RON</t>
  </si>
  <si>
    <t>Metoda</t>
  </si>
  <si>
    <t>ID_factura_pereche</t>
  </si>
  <si>
    <t>TQM_NM_V1</t>
  </si>
  <si>
    <t>TQM Călărași - Nomenclatoare</t>
  </si>
  <si>
    <t>Materiale, atribute tehnice, parteneri, proiecte și locații.</t>
  </si>
  <si>
    <t>Prima utilizare: importați modulele actualizate și rulați NM_Instaleaza.</t>
  </si>
  <si>
    <t>Material nou</t>
  </si>
  <si>
    <t>Editează material</t>
  </si>
  <si>
    <t>Variantă nouă</t>
  </si>
  <si>
    <t>Parteneri</t>
  </si>
  <si>
    <t>Locații</t>
  </si>
  <si>
    <t>Preia din Stoc</t>
  </si>
  <si>
    <t>Jurnal modificări</t>
  </si>
  <si>
    <t>Preia catalog</t>
  </si>
  <si>
    <t>Materiale active</t>
  </si>
  <si>
    <t>Materiale de verificat</t>
  </si>
  <si>
    <t>Parteneri activi</t>
  </si>
  <si>
    <t>Locații active</t>
  </si>
  <si>
    <t>51 de materiale importate din 9 cataloage. Verifică specificația și activează materialul înainte de utilizare.</t>
  </si>
  <si>
    <t>Categorie</t>
  </si>
  <si>
    <t>Subcategorie</t>
  </si>
  <si>
    <t>Model</t>
  </si>
  <si>
    <t>Sursa</t>
  </si>
  <si>
    <t>CAB-JT-001</t>
  </si>
  <si>
    <t>N2XH</t>
  </si>
  <si>
    <t>Cabluri</t>
  </si>
  <si>
    <t>JT</t>
  </si>
  <si>
    <t>0,6/1 kV; Sectiune: 1x240 mm²</t>
  </si>
  <si>
    <t>m</t>
  </si>
  <si>
    <t>De verificat</t>
  </si>
  <si>
    <t>NM-3ACA8C6C-D813-57AD-9E1C-6E136669156E</t>
  </si>
  <si>
    <t>Import catalog</t>
  </si>
  <si>
    <t>Departament_Achizitii_Materiale_Electrice(3).xlsx / CATALOG_CABLURI!2</t>
  </si>
  <si>
    <t>CAB-MT-001</t>
  </si>
  <si>
    <t>NA2XS2Y</t>
  </si>
  <si>
    <t>MT</t>
  </si>
  <si>
    <t>12/20 kV</t>
  </si>
  <si>
    <t>NM-31217537-1A0C-534D-BBB4-9548506B206E</t>
  </si>
  <si>
    <t>Departament_Achizitii_Materiale_Electrice(3).xlsx / CATALOG_CABLURI!3</t>
  </si>
  <si>
    <t>CAB-MT-002</t>
  </si>
  <si>
    <t>NA2XS(F)2Y</t>
  </si>
  <si>
    <t>18/30 kV</t>
  </si>
  <si>
    <t>NM-14865989-AA76-5CF7-8C3B-D7121BF52F30</t>
  </si>
  <si>
    <t>Departament_Achizitii_Materiale_Electrice(3).xlsx / CATALOG_CABLURI!4</t>
  </si>
  <si>
    <t>CAB-FO-001</t>
  </si>
  <si>
    <t>ADSS</t>
  </si>
  <si>
    <t>FO</t>
  </si>
  <si>
    <t>SM G.652D</t>
  </si>
  <si>
    <t>NM-41A577B4-EDFF-5731-A88E-8D264C81D5D7</t>
  </si>
  <si>
    <t>Departament_Achizitii_Materiale_Electrice(3).xlsx / CATALOG_CABLURI!5</t>
  </si>
  <si>
    <t>CAB-TEL-001</t>
  </si>
  <si>
    <t>Microduct</t>
  </si>
  <si>
    <t>Telecom</t>
  </si>
  <si>
    <t>14/10 mm</t>
  </si>
  <si>
    <t>NM-988B2EF2-8E23-5305-87BA-2245E973F187</t>
  </si>
  <si>
    <t>Departament_Achizitii_Materiale_Electrice(3).xlsx / CATALOG_CABLURI!6</t>
  </si>
  <si>
    <t>CAB-AER-001</t>
  </si>
  <si>
    <t>ARE4OCR</t>
  </si>
  <si>
    <t>Aerian</t>
  </si>
  <si>
    <t>3x50+25C; Tensiune: 0,6/1 kV</t>
  </si>
  <si>
    <t>NM-CEA54FD6-A5C3-5B97-86CE-38A52115C675</t>
  </si>
  <si>
    <t>Departament_Achizitii_Materiale_Electrice(3).xlsx / CATALOG_CABLURI!7</t>
  </si>
  <si>
    <t>APP-JT-001</t>
  </si>
  <si>
    <t>Intreruptor automat</t>
  </si>
  <si>
    <t>Aparataj</t>
  </si>
  <si>
    <t>JT / Protectie</t>
  </si>
  <si>
    <t>Model: MCB; Tensiune: 230/400 V</t>
  </si>
  <si>
    <t>buc</t>
  </si>
  <si>
    <t>MCB</t>
  </si>
  <si>
    <t>NM-562E0C4E-7097-5691-B381-0B1C2E81634F</t>
  </si>
  <si>
    <t>Departament_Achizitii_Materiale_Electrice(3).xlsx / APARATAJ!2</t>
  </si>
  <si>
    <t>APP-JT-002</t>
  </si>
  <si>
    <t>Model: MCCB; Tensiune: 400 V</t>
  </si>
  <si>
    <t>MCCB</t>
  </si>
  <si>
    <t>NM-E97A9459-F635-57D6-B33D-C79862346025</t>
  </si>
  <si>
    <t>Departament_Achizitii_Materiale_Electrice(3).xlsx / APARATAJ!3</t>
  </si>
  <si>
    <t>APP-MT-001</t>
  </si>
  <si>
    <t>Intreruptor cu vid</t>
  </si>
  <si>
    <t>MT / Intreruptor</t>
  </si>
  <si>
    <t>Model: VCB; Tensiune: 12/24 kV</t>
  </si>
  <si>
    <t>VCB</t>
  </si>
  <si>
    <t>NM-0755615D-A3FF-5DA6-80F0-65F407A8BB4B</t>
  </si>
  <si>
    <t>Departament_Achizitii_Materiale_Electrice(3).xlsx / APARATAJ!4</t>
  </si>
  <si>
    <t>APP-MT-002</t>
  </si>
  <si>
    <t>Separator MT</t>
  </si>
  <si>
    <t>MT / Separare</t>
  </si>
  <si>
    <t>Model: Disconnector; Tensiune: 12/24 kV</t>
  </si>
  <si>
    <t>Disconnector</t>
  </si>
  <si>
    <t>NM-6F683432-95CB-5291-B158-9984EA546A85</t>
  </si>
  <si>
    <t>Departament_Achizitii_Materiale_Electrice(3).xlsx / APARATAJ!5</t>
  </si>
  <si>
    <t>APP-MT-003</t>
  </si>
  <si>
    <t>Siguranta fuzibila</t>
  </si>
  <si>
    <t>MT / Protectie</t>
  </si>
  <si>
    <t>Model: Fuse; Tensiune: 12/24 kV</t>
  </si>
  <si>
    <t>Fuse</t>
  </si>
  <si>
    <t>NM-8F30823B-91BA-570B-BE2D-93AE61E55552</t>
  </si>
  <si>
    <t>Departament_Achizitii_Materiale_Electrice(3).xlsx / APARATAJ!6</t>
  </si>
  <si>
    <t>APP-PROT-001</t>
  </si>
  <si>
    <t>Releu de protectie</t>
  </si>
  <si>
    <t>Protectie / Relee</t>
  </si>
  <si>
    <t>Model: Protection Relay</t>
  </si>
  <si>
    <t>Protection Relay</t>
  </si>
  <si>
    <t>NM-D66F8A9A-0432-5821-85E1-7812A3A999F7</t>
  </si>
  <si>
    <t>Departament_Achizitii_Materiale_Electrice(3).xlsx / APARATAJ!7</t>
  </si>
  <si>
    <t>APP-TAB-001</t>
  </si>
  <si>
    <t>Celula MT</t>
  </si>
  <si>
    <t>Tablouri / Celule</t>
  </si>
  <si>
    <t>Model: MV Switchgear; Tensiune: 12/24 kV</t>
  </si>
  <si>
    <t>MV Switchgear</t>
  </si>
  <si>
    <t>NM-27EE4C38-1D12-5DEC-83F6-B39EA8126483</t>
  </si>
  <si>
    <t>Departament_Achizitii_Materiale_Electrice(3).xlsx / APARATAJ!8</t>
  </si>
  <si>
    <t>APP-CMD-001</t>
  </si>
  <si>
    <t>Contactor</t>
  </si>
  <si>
    <t>Comanda / Contactor</t>
  </si>
  <si>
    <t>Model: AC Contactor; Tensiune: 230/400 V</t>
  </si>
  <si>
    <t>AC Contactor</t>
  </si>
  <si>
    <t>NM-4714F856-3594-5396-B773-A9A7F09B9037</t>
  </si>
  <si>
    <t>Departament_Achizitii_Materiale_Electrice(3).xlsx / APARATAJ!9</t>
  </si>
  <si>
    <t>APP-PROT-002</t>
  </si>
  <si>
    <t>Descarcator</t>
  </si>
  <si>
    <t>Protectie / Descarcatoare</t>
  </si>
  <si>
    <t>Model: Surge Arrester</t>
  </si>
  <si>
    <t>Surge Arrester</t>
  </si>
  <si>
    <t>NM-60BF91EC-03BD-590C-A027-AD3339C69DD5</t>
  </si>
  <si>
    <t>Departament_Achizitii_Materiale_Electrice(3).xlsx / APARATAJ!10</t>
  </si>
  <si>
    <t>APP-TAB-002</t>
  </si>
  <si>
    <t>Tablou electric</t>
  </si>
  <si>
    <t>Tablouri / Tablou</t>
  </si>
  <si>
    <t>Model: LV Panel; Tensiune: 400 V</t>
  </si>
  <si>
    <t>LV Panel</t>
  </si>
  <si>
    <t>NM-7297D4C7-D34D-5C06-BAC6-10224651FD19</t>
  </si>
  <si>
    <t>Departament_Achizitii_Materiale_Electrice(3).xlsx / APARATAJ!11</t>
  </si>
  <si>
    <t>ACC-CAB-001</t>
  </si>
  <si>
    <t>Manson termocontractibil</t>
  </si>
  <si>
    <t>Accesorii cabluri</t>
  </si>
  <si>
    <t>Mansoane</t>
  </si>
  <si>
    <t>NM-60DED85B-1917-5A2E-B546-1DE855E3699F</t>
  </si>
  <si>
    <t>Departament_Achizitii_Materiale_Electrice(3).xlsx / ACCESORII_CABLURI!2</t>
  </si>
  <si>
    <t>ACC-CAB-002</t>
  </si>
  <si>
    <t>Papuc Cu 240 mm²</t>
  </si>
  <si>
    <t>Papuci terminali</t>
  </si>
  <si>
    <t>NM-D16F6DFF-5EBA-512F-A6A6-C3268B016DA5</t>
  </si>
  <si>
    <t>Departament_Achizitii_Materiale_Electrice(3).xlsx / ACCESORII_CABLURI!3</t>
  </si>
  <si>
    <t>ACC-CAB-003</t>
  </si>
  <si>
    <t>Clemă de ancorare</t>
  </si>
  <si>
    <t>Cleme</t>
  </si>
  <si>
    <t>NM-85273FC1-1403-5D1F-AEE4-6B70FBD927E6</t>
  </si>
  <si>
    <t>Departament_Achizitii_Materiale_Electrice(3).xlsx / ACCESORII_CABLURI!4</t>
  </si>
  <si>
    <t>ACC-CAB-004</t>
  </si>
  <si>
    <t>Tub termocontractibil</t>
  </si>
  <si>
    <t>Termocontractibile</t>
  </si>
  <si>
    <t>NM-C5C3ED1F-CEF6-551A-B149-ED722A73C327</t>
  </si>
  <si>
    <t>Departament_Achizitii_Materiale_Electrice(3).xlsx / ACCESORII_CABLURI!5</t>
  </si>
  <si>
    <t>ACC-CAB-005</t>
  </si>
  <si>
    <t>Tub protecție cablu</t>
  </si>
  <si>
    <t>Tuburi</t>
  </si>
  <si>
    <t>NM-2840B11B-C48D-56FE-955E-88DE859D2F1E</t>
  </si>
  <si>
    <t>Departament_Achizitii_Materiale_Electrice(3).xlsx / ACCESORII_CABLURI!6</t>
  </si>
  <si>
    <t>TAB-001</t>
  </si>
  <si>
    <t>Tablou general JT</t>
  </si>
  <si>
    <t>Tablouri electrice</t>
  </si>
  <si>
    <t>NM-D0AAE636-50E0-5C72-A8A1-E2DA46D7266E</t>
  </si>
  <si>
    <t>Departament_Achizitii_Materiale_Electrice(3).xlsx / TABLOURI_ELECTRICE!2</t>
  </si>
  <si>
    <t>TAB-002</t>
  </si>
  <si>
    <t>Tablou distributie</t>
  </si>
  <si>
    <t>NM-991085E6-325F-5876-80D6-C08EC70047FB</t>
  </si>
  <si>
    <t>Departament_Achizitii_Materiale_Electrice(3).xlsx / TABLOURI_ELECTRICE!3</t>
  </si>
  <si>
    <t>TAB-003</t>
  </si>
  <si>
    <t>NM-EA5764E5-03F1-576A-8C78-487A2B78F563</t>
  </si>
  <si>
    <t>Departament_Achizitii_Materiale_Electrice(3).xlsx / TABLOURI_ELECTRICE!4</t>
  </si>
  <si>
    <t>TAB-004</t>
  </si>
  <si>
    <t>Tablou automatizare</t>
  </si>
  <si>
    <t>Automatizare</t>
  </si>
  <si>
    <t>NM-FB04C3C3-48FC-57F5-8881-3D79669A8D62</t>
  </si>
  <si>
    <t>Departament_Achizitii_Materiale_Electrice(3).xlsx / TABLOURI_ELECTRICE!5</t>
  </si>
  <si>
    <t>TAB-005</t>
  </si>
  <si>
    <t>Panou comanda</t>
  </si>
  <si>
    <t>Comanda</t>
  </si>
  <si>
    <t>NM-92289A06-63B1-53BF-A4F4-18AC7B56AECD</t>
  </si>
  <si>
    <t>Departament_Achizitii_Materiale_Electrice(3).xlsx / TABLOURI_ELECTRICE!6</t>
  </si>
  <si>
    <t>MON-001</t>
  </si>
  <si>
    <t>Șurub M12</t>
  </si>
  <si>
    <t>Prindere și montaj</t>
  </si>
  <si>
    <t>Șuruburi</t>
  </si>
  <si>
    <t>NM-CF3711CC-D6A9-5713-8D1F-E638326304A7</t>
  </si>
  <si>
    <t>Departament_Achizitii_Materiale_Electrice(3).xlsx / PRINDERE_MONTAJ!2</t>
  </si>
  <si>
    <t>MON-002</t>
  </si>
  <si>
    <t>Piuliță M12</t>
  </si>
  <si>
    <t>Piulițe</t>
  </si>
  <si>
    <t>NM-69713555-0937-5737-9422-618FC21BBF4D</t>
  </si>
  <si>
    <t>Departament_Achizitii_Materiale_Electrice(3).xlsx / PRINDERE_MONTAJ!3</t>
  </si>
  <si>
    <t>MON-003</t>
  </si>
  <si>
    <t>Consolă metalică</t>
  </si>
  <si>
    <t>Console</t>
  </si>
  <si>
    <t>NM-C9091993-B1DD-5057-A635-34976B43C358</t>
  </si>
  <si>
    <t>Departament_Achizitii_Materiale_Electrice(3).xlsx / PRINDERE_MONTAJ!4</t>
  </si>
  <si>
    <t>MON-004</t>
  </si>
  <si>
    <t>Bridă cablu</t>
  </si>
  <si>
    <t>Bride</t>
  </si>
  <si>
    <t>NM-A8D83CE3-B441-5132-8697-FF4B1811E307</t>
  </si>
  <si>
    <t>Departament_Achizitii_Materiale_Electrice(3).xlsx / PRINDERE_MONTAJ!5</t>
  </si>
  <si>
    <t>MON-005</t>
  </si>
  <si>
    <t>Profil metalic</t>
  </si>
  <si>
    <t>Profile</t>
  </si>
  <si>
    <t>NM-FA5B28BC-ADFF-57FF-BD82-CE7BB986550B</t>
  </si>
  <si>
    <t>Departament_Achizitii_Materiale_Electrice(3).xlsx / PRINDERE_MONTAJ!6</t>
  </si>
  <si>
    <t>IT-001</t>
  </si>
  <si>
    <t>Cisco Catalyst C9200L-24P-4X-A</t>
  </si>
  <si>
    <t>Comunicații și IT</t>
  </si>
  <si>
    <t>Switch</t>
  </si>
  <si>
    <t>NM-3C4D15F2-BEFC-53AC-BD87-75AE6E3DA21A</t>
  </si>
  <si>
    <t>Departament_Achizitii_Materiale_Electrice(3).xlsx / COMUNICATII_IT!2</t>
  </si>
  <si>
    <t>IT-002</t>
  </si>
  <si>
    <t>Modul SFP</t>
  </si>
  <si>
    <t>SFP</t>
  </si>
  <si>
    <t>NM-80E298FB-9CAF-5C6E-8187-15D2000C04E9</t>
  </si>
  <si>
    <t>Departament_Achizitii_Materiale_Electrice(3).xlsx / COMUNICATII_IT!3</t>
  </si>
  <si>
    <t>IT-003</t>
  </si>
  <si>
    <t>Rack 19 inch</t>
  </si>
  <si>
    <t>Rack</t>
  </si>
  <si>
    <t>NM-8F6D96CE-AFF8-5381-918A-1F5DDABF5347</t>
  </si>
  <si>
    <t>Departament_Achizitii_Materiale_Electrice(3).xlsx / COMUNICATII_IT!4</t>
  </si>
  <si>
    <t>IT-004</t>
  </si>
  <si>
    <t>Patch panel fibră optică</t>
  </si>
  <si>
    <t>Patch panel</t>
  </si>
  <si>
    <t>NM-30AFAA59-9017-50B5-82D0-F80C6F7D3A81</t>
  </si>
  <si>
    <t>Departament_Achizitii_Materiale_Electrice(3).xlsx / COMUNICATII_IT!5</t>
  </si>
  <si>
    <t>IT-005</t>
  </si>
  <si>
    <t>UPS</t>
  </si>
  <si>
    <t>NM-EF1C903F-320B-5A1C-BFB7-075940772FEF</t>
  </si>
  <si>
    <t>Departament_Achizitii_Materiale_Electrice(3).xlsx / COMUNICATII_IT!6</t>
  </si>
  <si>
    <t>IMP-001</t>
  </si>
  <si>
    <t>Bandă cupru</t>
  </si>
  <si>
    <t>Împământare și protecție</t>
  </si>
  <si>
    <t>Bandă Cu</t>
  </si>
  <si>
    <t>NM-35C257AA-EEF8-5F86-B1B7-FB8318DEC440</t>
  </si>
  <si>
    <t>Departament_Achizitii_Materiale_Electrice(3).xlsx / IMPAMANTARE!2</t>
  </si>
  <si>
    <t>IMP-002</t>
  </si>
  <si>
    <t>Funie cupru 185 mm²</t>
  </si>
  <si>
    <t>Funie Cu</t>
  </si>
  <si>
    <t>NM-E8F0879D-026C-511C-AB3C-EB71517B4A92</t>
  </si>
  <si>
    <t>Departament_Achizitii_Materiale_Electrice(3).xlsx / IMPAMANTARE!3</t>
  </si>
  <si>
    <t>IMP-003</t>
  </si>
  <si>
    <t>Electrod de împământare</t>
  </si>
  <si>
    <t>Electrozi</t>
  </si>
  <si>
    <t>NM-20E8F5E1-6281-5F96-97C4-C0EF59E38D53</t>
  </si>
  <si>
    <t>Departament_Achizitii_Materiale_Electrice(3).xlsx / IMPAMANTARE!4</t>
  </si>
  <si>
    <t>IMP-004</t>
  </si>
  <si>
    <t>Platbandă oțel zincat</t>
  </si>
  <si>
    <t>Platbandă</t>
  </si>
  <si>
    <t>NM-C8E0A405-7564-5597-BDE3-02D5FFABD17A</t>
  </si>
  <si>
    <t>Departament_Achizitii_Materiale_Electrice(3).xlsx / IMPAMANTARE!5</t>
  </si>
  <si>
    <t>IMP-005</t>
  </si>
  <si>
    <t>Clemă împământare</t>
  </si>
  <si>
    <t>NM-ECD5E968-818D-597E-9F24-5CB8BDA70095</t>
  </si>
  <si>
    <t>Departament_Achizitii_Materiale_Electrice(3).xlsx / IMPAMANTARE!6</t>
  </si>
  <si>
    <t>CONS-001</t>
  </si>
  <si>
    <t>Bandă izolatoare PVC</t>
  </si>
  <si>
    <t>Consumabile electrice</t>
  </si>
  <si>
    <t>Bandă izolatoare</t>
  </si>
  <si>
    <t>NM-26419D90-7086-5647-9637-D4A0E8E798F5</t>
  </si>
  <si>
    <t>Departament_Achizitii_Materiale_Electrice(3).xlsx / CONSUMABILE_ELECTRICE!2</t>
  </si>
  <si>
    <t>CONS-002</t>
  </si>
  <si>
    <t>Coliere plastic</t>
  </si>
  <si>
    <t>Coliere</t>
  </si>
  <si>
    <t>NM-970E2666-6E83-54B5-AE4F-4A9CF88E529B</t>
  </si>
  <si>
    <t>Departament_Achizitii_Materiale_Electrice(3).xlsx / CONSUMABILE_ELECTRICE!3</t>
  </si>
  <si>
    <t>CONS-003</t>
  </si>
  <si>
    <t>Marcaje cablu</t>
  </si>
  <si>
    <t>Marcaje</t>
  </si>
  <si>
    <t>NM-D6238ADB-B89C-5686-B9D5-40DFD1517097</t>
  </si>
  <si>
    <t>Departament_Achizitii_Materiale_Electrice(3).xlsx / CONSUMABILE_ELECTRICE!4</t>
  </si>
  <si>
    <t>CONS-004</t>
  </si>
  <si>
    <t>Conector rapid</t>
  </si>
  <si>
    <t>Conectori</t>
  </si>
  <si>
    <t>NM-D60321F6-CE97-5BB8-87E8-1117DA7ECD5D</t>
  </si>
  <si>
    <t>Departament_Achizitii_Materiale_Electrice(3).xlsx / CONSUMABILE_ELECTRICE!5</t>
  </si>
  <si>
    <t>CONS-005</t>
  </si>
  <si>
    <t>Spray contact electric</t>
  </si>
  <si>
    <t>Spray tehnic</t>
  </si>
  <si>
    <t>NM-11ECE439-7A6E-50A9-BD57-81BAA14042A9</t>
  </si>
  <si>
    <t>Departament_Achizitii_Materiale_Electrice(3).xlsx / CONSUMABILE_ELECTRICE!6</t>
  </si>
  <si>
    <t>UNE-001</t>
  </si>
  <si>
    <t>Mașină de găurit</t>
  </si>
  <si>
    <t>Unelte și echipamente</t>
  </si>
  <si>
    <t>Scule electrice</t>
  </si>
  <si>
    <t>NM-A5005342-8B3B-59E7-947F-E51787A397D0</t>
  </si>
  <si>
    <t>Departament_Achizitii_Materiale_Electrice(3).xlsx / UNELTE_ECHIPAMENTE!2</t>
  </si>
  <si>
    <t>UNE-002</t>
  </si>
  <si>
    <t>Cheie dinamometrică</t>
  </si>
  <si>
    <t>Scule manuale</t>
  </si>
  <si>
    <t>NM-97B4575D-937A-51BD-840F-5508895A80A1</t>
  </si>
  <si>
    <t>Departament_Achizitii_Materiale_Electrice(3).xlsx / UNELTE_ECHIPAMENTE!3</t>
  </si>
  <si>
    <t>UNE-003</t>
  </si>
  <si>
    <t>Mașină tragere cablu</t>
  </si>
  <si>
    <t>Echipamente tragere cablu</t>
  </si>
  <si>
    <t>NM-34E7235D-BDC8-53AA-8D4A-F79FCA017959</t>
  </si>
  <si>
    <t>Departament_Achizitii_Materiale_Electrice(3).xlsx / UNELTE_ECHIPAMENTE!4</t>
  </si>
  <si>
    <t>UNE-004</t>
  </si>
  <si>
    <t>Rolă colț cablu</t>
  </si>
  <si>
    <t>Role</t>
  </si>
  <si>
    <t>NM-11E4C868-8588-5CB1-85FB-D90275DEB5B0</t>
  </si>
  <si>
    <t>Departament_Achizitii_Materiale_Electrice(3).xlsx / UNELTE_ECHIPAMENTE!5</t>
  </si>
  <si>
    <t>UNE-005</t>
  </si>
  <si>
    <t>Echipament ridicare tambur</t>
  </si>
  <si>
    <t>Echipamente ridicare</t>
  </si>
  <si>
    <t>NM-4FB96523-7023-5F17-A0C5-67F0C0ADAB3C</t>
  </si>
  <si>
    <t>Departament_Achizitii_Materiale_Electrice(3).xlsx / UNELTE_ECHIPAMENTE!6</t>
  </si>
  <si>
    <t>ID_partener</t>
  </si>
  <si>
    <t>Cod_partener</t>
  </si>
  <si>
    <t>CIF</t>
  </si>
  <si>
    <t>Contact</t>
  </si>
  <si>
    <t>Email</t>
  </si>
  <si>
    <t>Telefon</t>
  </si>
  <si>
    <t>IBAN</t>
  </si>
  <si>
    <t>Banca</t>
  </si>
  <si>
    <t>Termen_plata_zile</t>
  </si>
  <si>
    <t>Adresa</t>
  </si>
  <si>
    <t>ID_proiect</t>
  </si>
  <si>
    <t>Cod_proiect</t>
  </si>
  <si>
    <t>Client</t>
  </si>
  <si>
    <t>Manager</t>
  </si>
  <si>
    <t>Cod_locatie</t>
  </si>
  <si>
    <t>ID_atribut</t>
  </si>
  <si>
    <t>Atribut</t>
  </si>
  <si>
    <t>Valoare</t>
  </si>
  <si>
    <t>AT-E5301CEC-0B19-5AA3-AA50-C163A8BEDABC</t>
  </si>
  <si>
    <t>Cod intern</t>
  </si>
  <si>
    <t>AT-8E83B820-B2BB-5422-A08F-3C67E0C652AF</t>
  </si>
  <si>
    <t>Tip cablu</t>
  </si>
  <si>
    <t>AT-7C797FF8-B7E7-59AE-BFBF-36403D804692</t>
  </si>
  <si>
    <t>Denumire cablu</t>
  </si>
  <si>
    <t>AT-E4FD308E-B2EC-5A41-A595-3D1AA31941D0</t>
  </si>
  <si>
    <t>Specificatie tehnica</t>
  </si>
  <si>
    <t>0,6/1 kV</t>
  </si>
  <si>
    <t>AT-2A223054-F779-53F1-8A4E-0C73EBB2A306</t>
  </si>
  <si>
    <t>AT-C4AA933A-0C69-5873-833E-13B3C979A1D6</t>
  </si>
  <si>
    <t>Sectiune</t>
  </si>
  <si>
    <t>1x240 mm²</t>
  </si>
  <si>
    <t>AT-C7186781-053D-56CA-B257-E9693AB773AB</t>
  </si>
  <si>
    <t>Tensiune</t>
  </si>
  <si>
    <t>AT-20C8B24E-7BC5-529F-B375-561EAC612E0A</t>
  </si>
  <si>
    <t>Moneda</t>
  </si>
  <si>
    <t>EUR</t>
  </si>
  <si>
    <t>AT-A9F3B4F6-0E44-5A86-9CEB-C190083DE211</t>
  </si>
  <si>
    <t>Status aprovizionare</t>
  </si>
  <si>
    <t>De aprovizionat</t>
  </si>
  <si>
    <t>AT-70EDCDB8-3C95-5C7A-9D76-750167B0BB18</t>
  </si>
  <si>
    <t>AT-12EAD095-7332-5799-957B-1B80E0CDB475</t>
  </si>
  <si>
    <t>AT-C1B628FC-6ED2-59E8-B716-CBD7B6FE7D1A</t>
  </si>
  <si>
    <t>AT-4EE8CC6A-213F-5853-92FF-E27A705EA7A3</t>
  </si>
  <si>
    <t>AT-32F3E339-920C-5F26-990D-BAFEA7F7055F</t>
  </si>
  <si>
    <t>AT-F942A12B-CAD3-5135-BB00-56B6B8D9228B</t>
  </si>
  <si>
    <t>AT-97E87AFC-124A-5FB7-B9BF-1769790C771D</t>
  </si>
  <si>
    <t>AT-7E938679-829E-50C9-954D-3AC7F0926B57</t>
  </si>
  <si>
    <t>AT-BF9593E9-9D39-55B2-BE0D-41DEA9F65D81</t>
  </si>
  <si>
    <t>AT-12FF4688-78E7-553A-B654-A2CBD1D4D007</t>
  </si>
  <si>
    <t>AT-AAC630A7-66A4-50AD-81A6-4F128F04A2A6</t>
  </si>
  <si>
    <t>AT-C99E30F4-33D2-5874-8EF8-2200C92C4BFF</t>
  </si>
  <si>
    <t>AT-C60F33D4-DD53-5ED8-80E8-DD37E545A6AB</t>
  </si>
  <si>
    <t>AT-44FB3E2D-2AAF-5DAC-974D-B0FDA4894325</t>
  </si>
  <si>
    <t>AT-BAC97F7C-35F5-5DD4-8AB2-025B2D97A24A</t>
  </si>
  <si>
    <t>AT-93C2615D-D381-5871-AAEE-F6EAB50CA325</t>
  </si>
  <si>
    <t>AT-4175339E-F92B-536C-9A6D-5434BC341246</t>
  </si>
  <si>
    <t>AT-F6CAEF57-2E33-5021-A342-B3E2BA67F918</t>
  </si>
  <si>
    <t>AT-96F4B102-4B70-5BB6-92C6-16DC274B82BD</t>
  </si>
  <si>
    <t>AT-71877B74-4A8A-5C0A-8120-6446282973AE</t>
  </si>
  <si>
    <t>AT-77098ADB-8E65-5CB3-9C19-BDB28185F288</t>
  </si>
  <si>
    <t>AT-9423D478-D05B-5F79-83FB-F018059A8A4B</t>
  </si>
  <si>
    <t>AT-F6CA373E-9CBF-54E1-8C80-73CA7651FBE8</t>
  </si>
  <si>
    <t>AT-8E856AB2-227C-5740-A6EB-CEC2E0572CCC</t>
  </si>
  <si>
    <t>AT-988EBCB1-B65B-570F-9733-76EFFC69D61C</t>
  </si>
  <si>
    <t>AT-8324645A-C5CD-5F01-87D6-AA673E44E40F</t>
  </si>
  <si>
    <t>AT-7A50DB64-E3AD-5DE8-9439-1A868665A032</t>
  </si>
  <si>
    <t>AT-166FC0BC-CC14-5B58-A4FA-A850186B2E31</t>
  </si>
  <si>
    <t>AT-FE965971-9E74-5505-89B1-5BD375762FF6</t>
  </si>
  <si>
    <t>AT-E9BDA273-5DD8-53E2-99D5-A38B43EB50B5</t>
  </si>
  <si>
    <t>AT-13A75FA9-9D4D-5842-AB01-698054ACDD49</t>
  </si>
  <si>
    <t>AT-E94C8175-EEF1-536A-8975-032D5423E9A4</t>
  </si>
  <si>
    <t>AT-9D86C215-179F-5E4E-80A8-1ADBDA5825B4</t>
  </si>
  <si>
    <t>AT-D02B4FEC-AAF9-509C-B4DB-399D42F9004F</t>
  </si>
  <si>
    <t>3x50+25C</t>
  </si>
  <si>
    <t>AT-5DBDA643-7616-5D73-A422-B578681F1876</t>
  </si>
  <si>
    <t>AT-7718C841-5FFF-5BE8-967C-2DB10D7D2167</t>
  </si>
  <si>
    <t>AT-7B00E180-C416-5103-AABB-88B0088F9EF9</t>
  </si>
  <si>
    <t>AT-3E82E75F-BFAC-55BA-B9A0-2634ED377525</t>
  </si>
  <si>
    <t>AT-B821D731-9BBC-5E0B-ACCD-559120CD8864</t>
  </si>
  <si>
    <t>AT-6F150EB8-D22A-5C52-A056-D31F768E0BE6</t>
  </si>
  <si>
    <t>Categorie aparataj</t>
  </si>
  <si>
    <t>AT-2A2E500C-CFF4-5D1C-AB6A-CC317FA2B46E</t>
  </si>
  <si>
    <t>Protectie</t>
  </si>
  <si>
    <t>AT-4D9B6E99-3F4A-5828-865A-05B55F5A1E93</t>
  </si>
  <si>
    <t>Denumire / Echipament</t>
  </si>
  <si>
    <t>AT-647D691B-58D8-528F-AE41-4DD79334964F</t>
  </si>
  <si>
    <t>Tip / Model</t>
  </si>
  <si>
    <t>AT-0539909D-D952-58C5-81FC-49285D8BB237</t>
  </si>
  <si>
    <t>AT-E780581E-633D-58DF-9679-8759B72BF41A</t>
  </si>
  <si>
    <t>230/400 V</t>
  </si>
  <si>
    <t>AT-55B60A95-CFF2-5C88-B192-A40CD4EC08BE</t>
  </si>
  <si>
    <t>AT-73E248F5-C350-5194-8A04-7F79E87B6871</t>
  </si>
  <si>
    <t>AT-C27B3C09-0AB3-5CA8-A393-4C63241B1A2A</t>
  </si>
  <si>
    <t>Status tehnic</t>
  </si>
  <si>
    <t>AT-E1DCB06E-979D-5AD0-A61A-A3F509818D5E</t>
  </si>
  <si>
    <t>AT-F5ED762C-D7D5-5603-A270-E556CD987699</t>
  </si>
  <si>
    <t>AT-7A21EB5B-0CBC-5DEA-A91D-D3EDBCB63CA2</t>
  </si>
  <si>
    <t>AT-27A63F0A-3B9E-5291-A766-D37FA378FB2C</t>
  </si>
  <si>
    <t>AT-40A3537F-19EE-5DE3-97AE-86F97F34F7BE</t>
  </si>
  <si>
    <t>AT-6437F176-593A-5732-90AA-907086A7C0B3</t>
  </si>
  <si>
    <t>AT-B1E66E39-A559-5746-BD24-1219ACD18C2F</t>
  </si>
  <si>
    <t>400 V</t>
  </si>
  <si>
    <t>AT-F59FB72B-06AB-52A2-A417-E1368777E13B</t>
  </si>
  <si>
    <t>AT-A0DC4821-4129-589A-8760-6DEDF0728828</t>
  </si>
  <si>
    <t>AT-6C09D107-F9AC-5D54-90B1-CCC51BB9B2FE</t>
  </si>
  <si>
    <t>AT-5F882949-459C-54C4-8A87-058503437455</t>
  </si>
  <si>
    <t>AT-4A54B8D9-7E30-5561-93BD-C85000F93580</t>
  </si>
  <si>
    <t>AT-F1498788-B966-55BA-BA27-120FDF7627D5</t>
  </si>
  <si>
    <t>Intreruptor</t>
  </si>
  <si>
    <t>AT-0ED2894A-CBAF-54A7-AF33-6179623FA95D</t>
  </si>
  <si>
    <t>AT-52042C91-600C-5A97-AD2F-9C8DF64ACA89</t>
  </si>
  <si>
    <t>AT-EDA60EEB-C208-5AC2-BEDE-D366930D65B1</t>
  </si>
  <si>
    <t>AT-C2BAF9FF-AF78-59D1-AA83-9548814FD8F3</t>
  </si>
  <si>
    <t>12/24 kV</t>
  </si>
  <si>
    <t>AT-1EF1FB42-14AA-58C8-8EC7-A46020BAF6E8</t>
  </si>
  <si>
    <t>AT-08609D39-E287-5592-8EE5-B8CD0805A545</t>
  </si>
  <si>
    <t>AT-8E76DF0D-FE74-5B2D-9BD3-8E915F8A8CBE</t>
  </si>
  <si>
    <t>AT-72DAB7F9-DCED-5B83-8F12-C7C8FE55B944</t>
  </si>
  <si>
    <t>AT-0663D908-629C-52F3-8FEB-05EC7E3F5C09</t>
  </si>
  <si>
    <t>AT-F18910B4-59D3-55D2-96CD-D8ABDB00483E</t>
  </si>
  <si>
    <t>Separare</t>
  </si>
  <si>
    <t>AT-23BE55D8-200B-5E46-AE55-245CCC14974F</t>
  </si>
  <si>
    <t>AT-420A23E6-59EC-53E2-A737-5639524B0F5B</t>
  </si>
  <si>
    <t>AT-43379353-1E30-5338-A597-0FF636681A8E</t>
  </si>
  <si>
    <t>AT-14F492BD-E0EC-530B-98E5-F5C1EF41C18A</t>
  </si>
  <si>
    <t>AT-5920C1EF-6C56-512D-AB2E-C6E492A0FBA1</t>
  </si>
  <si>
    <t>AT-C64F5AB5-D691-5F00-913F-C3A1B6C12C0D</t>
  </si>
  <si>
    <t>AT-D380FDC5-715B-5986-BE74-B2250E8202E9</t>
  </si>
  <si>
    <t>AT-76927176-342F-5CD6-BBE6-CE20DD9407DF</t>
  </si>
  <si>
    <t>AT-3F13420F-7F8B-5E0B-953C-672F71DCE6F5</t>
  </si>
  <si>
    <t>AT-A637FC14-30C5-5C92-A9B9-140FBDD31C44</t>
  </si>
  <si>
    <t>AT-401FFDAC-85E5-516E-9A75-3AD766E4B656</t>
  </si>
  <si>
    <t>AT-566044F6-3805-575A-B88E-DFD9B40819C3</t>
  </si>
  <si>
    <t>AT-06309892-3332-5521-A002-CC844D3DC6FB</t>
  </si>
  <si>
    <t>AT-B7E08EE1-A7DF-5117-ADE1-47893A252869</t>
  </si>
  <si>
    <t>AT-3D79458F-A100-520C-8AD8-26DF2BEDEB16</t>
  </si>
  <si>
    <t>AT-D877B3E3-2955-5BCD-9514-5DDABE1F01E3</t>
  </si>
  <si>
    <t>AT-F7FD8D2A-5B2C-56B3-858D-1EBF034B1760</t>
  </si>
  <si>
    <t>AT-0C23631F-1694-5ED9-89A0-94AE854B0056</t>
  </si>
  <si>
    <t>AT-20D763F2-EED1-5CDF-8189-5D3FB053F633</t>
  </si>
  <si>
    <t>AT-47E67802-2D6C-53E6-9EEA-08544C140F54</t>
  </si>
  <si>
    <t>Relee</t>
  </si>
  <si>
    <t>AT-1AAD9D53-4D73-59AB-A940-D6A657B0E8F5</t>
  </si>
  <si>
    <t>AT-7A50D5C1-FA5D-5496-8930-F05482B9D067</t>
  </si>
  <si>
    <t>AT-08C49638-EB49-5081-879B-59A4CE588622</t>
  </si>
  <si>
    <t>AT-D3BA6593-E206-5CD1-B31B-8305119D92D5</t>
  </si>
  <si>
    <t>Pret unitar</t>
  </si>
  <si>
    <t>AT-059FF330-D0B8-5DED-87B2-10D073131448</t>
  </si>
  <si>
    <t>Proiect / Lucrare</t>
  </si>
  <si>
    <t>AT-A57ED0FB-1790-56FF-B31E-CBCD70B74D0A</t>
  </si>
  <si>
    <t>AT-CC72BCEC-967C-5CAE-87F1-F4898FB69577</t>
  </si>
  <si>
    <t>AT-5D3874BF-4AA4-5B68-B4F9-30835E245A5F</t>
  </si>
  <si>
    <t>Tablouri</t>
  </si>
  <si>
    <t>AT-87F5B80C-C76A-5A8E-AD37-D6D66AB0258D</t>
  </si>
  <si>
    <t>Celule</t>
  </si>
  <si>
    <t>AT-852A0659-C976-5E96-A46F-DD2DF217092B</t>
  </si>
  <si>
    <t>AT-3DCF1E7D-DB90-5FA1-A634-9D070B6CDE62</t>
  </si>
  <si>
    <t>AT-D3B8E2B9-4A68-5340-BCAF-36A0AF03EBBF</t>
  </si>
  <si>
    <t>AT-CA06DC0F-4778-5B82-9A81-3C536EF19D67</t>
  </si>
  <si>
    <t>AT-B4E2198F-F236-5267-B10A-3A49196F2D2E</t>
  </si>
  <si>
    <t>AT-03EB0FF6-2145-50E5-AD8D-A4A802D8C8FE</t>
  </si>
  <si>
    <t>AT-5E7D3C2F-B88A-5D7C-ABFC-06DF79821565</t>
  </si>
  <si>
    <t>AT-49E88532-F3AA-5F2F-AC00-11D309A37DD0</t>
  </si>
  <si>
    <t>AT-73225806-84D1-5BFF-988D-F5B88B8257B9</t>
  </si>
  <si>
    <t>AT-3A44A742-AF16-5FE5-8898-0026093E55C6</t>
  </si>
  <si>
    <t>AT-61A1B678-3D16-5B8B-9B0A-558E2AEB6A63</t>
  </si>
  <si>
    <t>AT-7947E29C-1C29-5AA0-8D13-60CB7A976647</t>
  </si>
  <si>
    <t>AT-9A1965E7-A5B0-543F-ADE9-B4169AD97F20</t>
  </si>
  <si>
    <t>AT-2019DA56-0E4D-592B-BEA1-9DB761826195</t>
  </si>
  <si>
    <t>AT-977A1E83-4B79-5D33-AB80-F7552281A2DF</t>
  </si>
  <si>
    <t>AT-75AAD73C-3EDF-513B-B634-B11B24821039</t>
  </si>
  <si>
    <t>AT-53E4E576-1673-534A-BF07-42BA94E28942</t>
  </si>
  <si>
    <t>AT-BFDB79F1-86A9-511A-8C42-BF9744B8A246</t>
  </si>
  <si>
    <t>AT-D1917DEE-CD1B-506A-B50E-B46E26046541</t>
  </si>
  <si>
    <t>AT-F4352D79-15DA-5D44-9C2D-B43BBB6FD5C6</t>
  </si>
  <si>
    <t>Descarcatoare</t>
  </si>
  <si>
    <t>AT-AFB3ACBE-7829-588F-AB99-881FC18E4D8B</t>
  </si>
  <si>
    <t>AT-D5A63E0A-C73E-548E-89B2-804EFE2FCE9B</t>
  </si>
  <si>
    <t>AT-1EF6319D-FF5F-52C2-A751-50DC7C86F2A3</t>
  </si>
  <si>
    <t>AT-526A65B2-58AD-51BD-BFA5-02B60DCFB967</t>
  </si>
  <si>
    <t>AT-96522611-DF86-50A1-ABD7-7FE85B59BB77</t>
  </si>
  <si>
    <t>AT-15A7351B-FD76-526E-82B6-7AE67A5E56D9</t>
  </si>
  <si>
    <t>AT-AE76464E-9F3A-5CEB-91DE-E19F5588CC3B</t>
  </si>
  <si>
    <t>AT-299D8784-0D05-5D5A-9865-C483EDB98922</t>
  </si>
  <si>
    <t>AT-0CC3E905-EC17-5ED6-AFB7-4D09993CFE6B</t>
  </si>
  <si>
    <t>Tablou</t>
  </si>
  <si>
    <t>AT-77BCAA39-4A6B-5827-A4A3-9C4F29EFE33B</t>
  </si>
  <si>
    <t>AT-2FD57B9F-9E51-5A6D-BFD7-D43955A017DD</t>
  </si>
  <si>
    <t>AT-D65D15B8-1CB6-59AA-9777-D6EA22FA4A58</t>
  </si>
  <si>
    <t>AT-2A9F75F4-6C24-5028-AD56-08A2259E3A37</t>
  </si>
  <si>
    <t>AT-85A9C66C-138A-5451-9986-3195C7A88C0D</t>
  </si>
  <si>
    <t>AT-DBEEDFBF-A4EE-58DE-B181-7C068327C703</t>
  </si>
  <si>
    <t>AT-BEF271CB-C376-54A5-AB1C-333C9A0B9379</t>
  </si>
  <si>
    <t>AT-C97960BD-FCC8-5C83-969F-89A3B877AC96</t>
  </si>
  <si>
    <t>AT-F6488339-ED2F-5C30-9D8A-38221259CD89</t>
  </si>
  <si>
    <t>AT-212C1B2B-620F-5806-9371-ECEDAD5FC9DC</t>
  </si>
  <si>
    <t>Denumire material / echipament</t>
  </si>
  <si>
    <t>AT-4D39F170-0368-586C-95B8-8A0131BDE6F7</t>
  </si>
  <si>
    <t>AT-794A5810-9C6F-517C-8C8F-6F215F3150A7</t>
  </si>
  <si>
    <t>AT-FD262E18-F3DD-50CF-871A-C5A610FF3354</t>
  </si>
  <si>
    <t>AT-B4868F2C-0326-5789-B6BE-551C69A94D13</t>
  </si>
  <si>
    <t>AT-9307C8C8-2D6E-52AC-8310-4BCC0DFF5152</t>
  </si>
  <si>
    <t>AT-58AC1381-FD08-5DFE-B5BB-AC568E956B0C</t>
  </si>
  <si>
    <t>AT-020A00AC-F2C6-5D39-BD1A-350AA69B2401</t>
  </si>
  <si>
    <t>AT-BE51023D-1C08-5679-82C9-C9F6EBF02699</t>
  </si>
  <si>
    <t>AT-1F1E7A56-0D1E-52DD-96A0-050742740904</t>
  </si>
  <si>
    <t>AT-FC2A8ED1-1F77-58F1-8A8B-E7D87420849A</t>
  </si>
  <si>
    <t>AT-D0ACCAF2-FE2B-5C89-A092-99CF65CD34C1</t>
  </si>
  <si>
    <t>AT-C1FAE8EF-D6C2-5996-BBB5-314487C86428</t>
  </si>
  <si>
    <t>AT-300BC0C5-315A-503E-B146-8A1B79381C27</t>
  </si>
  <si>
    <t>AT-2A08DC21-FB9D-5DCD-A035-158E2E09F80B</t>
  </si>
  <si>
    <t>AT-96A10447-5B8B-5150-8D05-77EC17DC27CE</t>
  </si>
  <si>
    <t>AT-DFF79123-5390-5F69-9EE2-3485D6E684F8</t>
  </si>
  <si>
    <t>AT-18AC01E1-984C-55AB-B0E3-C5DF0C0482F9</t>
  </si>
  <si>
    <t>AT-478C320A-CC2F-501F-BD75-0BEF086891A1</t>
  </si>
  <si>
    <t>AT-7F1B27E6-415F-50AD-B1E1-3CD42958955C</t>
  </si>
  <si>
    <t>AT-9F09D153-1C1B-53B6-9DE2-88308C69FB97</t>
  </si>
  <si>
    <t>AT-F6C12195-FDC8-5601-9044-6B07EF143FC6</t>
  </si>
  <si>
    <t>AT-151369A9-AA4F-583A-BAFA-4F8FB9E4FC31</t>
  </si>
  <si>
    <t>AT-58306E7E-515C-5A31-822B-F64DFC720361</t>
  </si>
  <si>
    <t>AT-C5430F37-BD86-533F-9120-52D3940A84A3</t>
  </si>
  <si>
    <t>AT-02C0F90F-020A-5803-9F4A-D7EC3F32387E</t>
  </si>
  <si>
    <t>AT-BEEBAA2F-1BA2-5558-87E7-102543FEF0BB</t>
  </si>
  <si>
    <t>AT-50F466D1-26F3-5EF3-BB63-F575D42DAB16</t>
  </si>
  <si>
    <t>AT-5A6ABB42-80EA-5C18-A61E-CB491F8E9D4B</t>
  </si>
  <si>
    <t>AT-7A2C7455-EAE9-5718-9D55-56CBB1B9EC4C</t>
  </si>
  <si>
    <t>AT-E2741D62-6C39-59B5-A655-2FF98175E7CA</t>
  </si>
  <si>
    <t>AT-DF90DE38-FFA9-5139-BF87-ED8E7098353A</t>
  </si>
  <si>
    <t>AT-AFE3D5BD-C87C-5359-8FB1-31BD23F8B339</t>
  </si>
  <si>
    <t>AT-5491874C-DC00-550B-8D29-0A9A3D41E6D1</t>
  </si>
  <si>
    <t>AT-6381FD93-51C4-52F5-AA9D-322798916F4C</t>
  </si>
  <si>
    <t>AT-41A47DCF-6DC2-502C-B96E-B124D2E560D5</t>
  </si>
  <si>
    <t>AT-AA1BE235-C133-5E0B-9125-096FA86B9738</t>
  </si>
  <si>
    <t>AT-DDFFBB0F-B0E7-5BEF-9E8C-C155CA1A0657</t>
  </si>
  <si>
    <t>AT-80773E21-F67A-5E80-85C3-DB08D208D447</t>
  </si>
  <si>
    <t>AT-EB6AAA6C-0EAE-5D5B-AE3C-124AC2AD6F74</t>
  </si>
  <si>
    <t>AT-05A88FB9-05D2-5845-95CD-CA8441028C9C</t>
  </si>
  <si>
    <t>AT-BBEA6146-81B1-5C51-8257-22BE5E25B814</t>
  </si>
  <si>
    <t>AT-E10D53BC-24C1-5B7F-84C4-50D6C531AB5A</t>
  </si>
  <si>
    <t>AT-3F46B58F-8133-5FE4-AFC2-54507D005C99</t>
  </si>
  <si>
    <t>AT-CE3C7D92-1948-5313-B076-852E41D7C874</t>
  </si>
  <si>
    <t>AT-1C0FEA2B-07C9-5A6F-A527-56760BA0C781</t>
  </si>
  <si>
    <t>AT-8998CB70-4960-5710-AE83-843FA4D2F6A1</t>
  </si>
  <si>
    <t>AT-52F03480-9665-58F3-A3B6-C6F3D412FF21</t>
  </si>
  <si>
    <t>AT-940E1249-7F87-5667-8711-E608FC3470ED</t>
  </si>
  <si>
    <t>AT-1ACA0FF3-BA17-526E-9E7B-177E5877CC37</t>
  </si>
  <si>
    <t>AT-DF5A0A63-4C71-5A44-855A-5252BF69CC5E</t>
  </si>
  <si>
    <t>AT-2B9C24F7-C90A-5FBF-A9B0-251869F880AC</t>
  </si>
  <si>
    <t>AT-CF59A269-4168-52B2-9489-F03EFBFCE411</t>
  </si>
  <si>
    <t>AT-905ACD03-1206-5073-9CD7-5483E5D873F7</t>
  </si>
  <si>
    <t>AT-244BF605-169B-5C64-A01F-66FD28FBD0B6</t>
  </si>
  <si>
    <t>AT-EAFA77A6-163C-5E7D-AF10-E39CBB24ECF1</t>
  </si>
  <si>
    <t>AT-42AE5DBD-1412-5AA9-A6E4-12AB4DFABB5A</t>
  </si>
  <si>
    <t>AT-349EE2E6-9B18-5AB7-B373-B266527D0DDD</t>
  </si>
  <si>
    <t>AT-F888737A-D5EC-5D11-ABFA-9CBCBF87D387</t>
  </si>
  <si>
    <t>AT-15F2BDBE-2E49-5140-A31D-1CDF40C18B01</t>
  </si>
  <si>
    <t>AT-5AF3FCFC-F1BF-5D07-82F5-184F506CFB47</t>
  </si>
  <si>
    <t>AT-7B0A8B43-7EA3-535D-A33A-23AB6A34F6C5</t>
  </si>
  <si>
    <t>AT-88E03C96-4450-56BE-9F7B-A744739E68D1</t>
  </si>
  <si>
    <t>AT-E945317A-3E31-53F4-91C0-FAC0AF3639A6</t>
  </si>
  <si>
    <t>AT-04BAFF25-AF28-57A3-BD98-A26305C420A1</t>
  </si>
  <si>
    <t>AT-680F1414-77DA-5F2A-A380-6A13FE14AD4F</t>
  </si>
  <si>
    <t>AT-A8460D71-0413-551B-A139-629F2D192F70</t>
  </si>
  <si>
    <t>AT-427780FA-FEFD-5E90-A16B-7D31A4D26BD0</t>
  </si>
  <si>
    <t>AT-77D0483F-3797-5B3D-A724-0B801B619337</t>
  </si>
  <si>
    <t>AT-719B17A6-AD73-5E36-A127-D4EF1DCACF4A</t>
  </si>
  <si>
    <t>AT-6D79273A-5C34-5303-8178-805C066B0E2F</t>
  </si>
  <si>
    <t>AT-0B116D0A-794C-5FBC-A53B-705FF772F990</t>
  </si>
  <si>
    <t>AT-E2C67367-05EC-5C0A-923D-3FFBF9D3664E</t>
  </si>
  <si>
    <t>AT-292C7A31-7984-5872-AAA6-649A7215F536</t>
  </si>
  <si>
    <t>AT-969AD953-777D-549A-AF28-C898628F924C</t>
  </si>
  <si>
    <t>AT-7A9EA7F3-0A85-5949-A6D1-DF8E28E057E4</t>
  </si>
  <si>
    <t>AT-37664E2D-B351-5C75-9DD7-6D61A16691FB</t>
  </si>
  <si>
    <t>AT-8A38BC42-18A3-5000-BB39-3EEC41CBC6D1</t>
  </si>
  <si>
    <t>AT-0E05B823-B235-5530-B966-9240B5F5899B</t>
  </si>
  <si>
    <t>AT-D9299A73-CCFB-5055-A8C4-F4173253A8A1</t>
  </si>
  <si>
    <t>AT-2F3BC645-BFDA-5165-98B8-75C4A339C628</t>
  </si>
  <si>
    <t>AT-493EB926-077A-5647-8BA4-07FCA85AB11D</t>
  </si>
  <si>
    <t>AT-41588AA2-BEBE-5CB9-A2C0-05D445A48451</t>
  </si>
  <si>
    <t>AT-9B73C942-AD3D-59E9-9E5E-4AAABFCF5501</t>
  </si>
  <si>
    <t>AT-4079935F-8557-5462-9AF3-3E69C80DFC4E</t>
  </si>
  <si>
    <t>AT-215C44D0-D13B-5315-A9FA-9535F59097BD</t>
  </si>
  <si>
    <t>AT-AE7370E1-FB93-5185-95DC-E87FE6E68F96</t>
  </si>
  <si>
    <t>AT-84919C73-3AAE-573D-AC19-1E408C9D44D9</t>
  </si>
  <si>
    <t>AT-75B076BE-DB2B-5451-9F60-E1BB0B0302C4</t>
  </si>
  <si>
    <t>AT-932EEA0E-43F5-5B38-ABB8-A3870F07D3C3</t>
  </si>
  <si>
    <t>AT-0C268F4C-145E-5B10-A9C9-B1C2B1CF3036</t>
  </si>
  <si>
    <t>AT-0C96755F-C90E-5D18-A323-C3E908D8B839</t>
  </si>
  <si>
    <t>AT-445270D5-A1EF-569D-A84A-B45F914E63D5</t>
  </si>
  <si>
    <t>AT-BE2F0706-4566-54E8-8802-B9B9237E4FCD</t>
  </si>
  <si>
    <t>AT-2923CF2D-BFCA-5E18-99FF-EF0C54470490</t>
  </si>
  <si>
    <t>AT-EB6D8D68-3A63-5A47-A05F-E9A674AF4915</t>
  </si>
  <si>
    <t>AT-83812EF1-4EF1-56C4-8AA2-8C4AB3405F29</t>
  </si>
  <si>
    <t>AT-4B9E80CB-9B03-5124-BD69-C29CDB03FB58</t>
  </si>
  <si>
    <t>AT-108B1E94-177A-5F41-BAF9-BED185FFBB0B</t>
  </si>
  <si>
    <t>AT-106BD0AC-8399-5D2A-8C3B-2B445B7004B4</t>
  </si>
  <si>
    <t>AT-C3D911C6-85DD-5C5F-92F2-8A247F5042E6</t>
  </si>
  <si>
    <t>AT-87D0EFDA-33DE-5EBA-88A9-C080FB36EA18</t>
  </si>
  <si>
    <t>AT-CDE34AD4-AF9C-505C-B648-9896B5558046</t>
  </si>
  <si>
    <t>AT-BF137E44-1F09-5628-9191-5301C33756FB</t>
  </si>
  <si>
    <t>AT-8A84FE13-079D-58CF-BB67-18C72C0A0EF7</t>
  </si>
  <si>
    <t>AT-091B59AA-6504-5DFD-B6E9-40CD55702649</t>
  </si>
  <si>
    <t>AT-9811FCAF-E1B1-5A79-A663-C524E12CAA92</t>
  </si>
  <si>
    <t>AT-CAD08D8F-33E0-5A70-B2EA-40861A8C0A1A</t>
  </si>
  <si>
    <t>AT-A1FD5105-FCB3-5F1C-A317-94C6083C93E3</t>
  </si>
  <si>
    <t>AT-2CF6F089-520D-5D1A-9990-E5126CB86C62</t>
  </si>
  <si>
    <t>AT-18EE58F0-EC60-51B3-A788-7CF2DB45DFC4</t>
  </si>
  <si>
    <t>AT-FCE14B75-57F2-5C1A-B727-71AA24C02B17</t>
  </si>
  <si>
    <t>AT-0859C31C-00F6-5056-B773-5B0EB3B712AB</t>
  </si>
  <si>
    <t>AT-CBE2F62C-63EA-5728-9F2B-7C4F972AD042</t>
  </si>
  <si>
    <t>AT-56B9D911-CD0D-5BA5-9EDB-F4599B0B6FCB</t>
  </si>
  <si>
    <t>AT-20AF5309-818A-5568-A11B-97186FACF17F</t>
  </si>
  <si>
    <t>AT-EA2B648C-A37C-567B-B113-410899681E87</t>
  </si>
  <si>
    <t>AT-BAB8D5B1-06B1-51D8-ABEB-4E5AE18DDAB7</t>
  </si>
  <si>
    <t>AT-3F73266D-5CC6-5339-AC0A-C563CE881D59</t>
  </si>
  <si>
    <t>AT-9AB8B80F-0D1A-592E-AE5C-32BDFC279B85</t>
  </si>
  <si>
    <t>AT-0F054A4C-BD49-592C-8919-B21F13107A14</t>
  </si>
  <si>
    <t>AT-222E4F8B-485F-5449-8A20-D1B65D45224C</t>
  </si>
  <si>
    <t>AT-BE7476E2-0E3D-5E8B-84CC-63E25F1CC017</t>
  </si>
  <si>
    <t>AT-2C0FB783-6251-5B67-9B68-5F3E0F3A9201</t>
  </si>
  <si>
    <t>AT-C6C31F5D-9502-5290-AD35-0FDF39262201</t>
  </si>
  <si>
    <t>AT-F3B25EDF-AA38-5B14-827B-BB7530327135</t>
  </si>
  <si>
    <t>AT-98E0D7FF-5FCF-5D7B-AC69-7D4FC2629142</t>
  </si>
  <si>
    <t>AT-F5E1820F-EF2F-593B-BBA2-D25FF4C37F53</t>
  </si>
  <si>
    <t>AT-36601107-1797-515D-B36F-CE0C1F2703D7</t>
  </si>
  <si>
    <t>AT-7705A57B-2083-5412-9D68-31BEF4819017</t>
  </si>
  <si>
    <t>AT-7539B070-A897-542B-AB84-B82A9698B6FD</t>
  </si>
  <si>
    <t>AT-D4860DE1-3147-5F0F-B7B4-0F9F2726E651</t>
  </si>
  <si>
    <t>AT-05725850-6FE8-52D8-8E69-34EBE038144B</t>
  </si>
  <si>
    <t>AT-66263B3F-5BAA-5426-9EEB-8055B8412F7A</t>
  </si>
  <si>
    <t>AT-25406B70-EF9A-5B8F-BA18-36C37161ADEF</t>
  </si>
  <si>
    <t>AT-101830A4-531A-59AD-B553-F6C34F2F97C0</t>
  </si>
  <si>
    <t>AT-1EF5CDB4-5CA5-5929-B4CF-99028D17D378</t>
  </si>
  <si>
    <t>AT-AC3E381B-172C-5358-81EA-4CF361C7B0B7</t>
  </si>
  <si>
    <t>AT-171B54D0-178D-5872-BFBB-6B0D243F4172</t>
  </si>
  <si>
    <t>AT-B3983801-5456-56F3-BC76-8A1A3BE2694E</t>
  </si>
  <si>
    <t>AT-CD6EBE2F-E59E-5132-8B25-C1D00EAF5173</t>
  </si>
  <si>
    <t>AT-6B3BF6E3-BD91-5AA1-A1D7-FBC1EBA80EC4</t>
  </si>
  <si>
    <t>AT-3D5CAFF5-2D43-514C-9D74-0DA6920B7200</t>
  </si>
  <si>
    <t>AT-70586948-6CE0-5AAC-BE98-AAF7B9EB9568</t>
  </si>
  <si>
    <t>AT-06BC5D94-7520-50ED-8B56-24F2380EF62B</t>
  </si>
  <si>
    <t>AT-53509BCE-8C5D-5FC4-A44C-3B2D7F1CE549</t>
  </si>
  <si>
    <t>AT-0FA8B10B-2BB3-55CF-8C28-2C05F50E1EEE</t>
  </si>
  <si>
    <t>AT-2C503A0D-FDC7-563B-B790-10BFABAC1F0D</t>
  </si>
  <si>
    <t>AT-E9DC2F3D-EBFE-5B43-B155-E28AD40505DB</t>
  </si>
  <si>
    <t>AT-FD9071CE-0AD6-55AC-9D5F-33B2037D71D7</t>
  </si>
  <si>
    <t>AT-E06F3DF5-93E1-5A1C-813E-492ABDF3AD72</t>
  </si>
  <si>
    <t>AT-3D26598F-92ED-59AD-ADD5-EBA8CBD05A89</t>
  </si>
  <si>
    <t>AT-F9EDEFDF-C613-584C-9D22-208D79879BC0</t>
  </si>
  <si>
    <t>AT-56FC08BA-0820-5C9E-BC85-1AF356BB3049</t>
  </si>
  <si>
    <t>AT-9EEF56DA-581C-5A60-B416-F9493D8CF42D</t>
  </si>
  <si>
    <t>AT-0671B010-73C5-5BC3-AE90-D09151821896</t>
  </si>
  <si>
    <t>AT-6C2B0479-BD67-5E82-91A9-1079619D77E7</t>
  </si>
  <si>
    <t>AT-D0166F63-8ED3-5C05-B936-72524CC4D3CC</t>
  </si>
  <si>
    <t>AT-46084E68-CE69-5BED-A5DB-AB1432D59EC6</t>
  </si>
  <si>
    <t>AT-F749E387-2BEA-5FB8-976D-DBFB4225FA39</t>
  </si>
  <si>
    <t>AT-41920A8C-D6D6-5A50-B805-509E44F68F00</t>
  </si>
  <si>
    <t>AT-0CA7B0BD-AEA4-506E-856E-4C849CB5B6A8</t>
  </si>
  <si>
    <t>AT-DDEF668B-041A-58D1-87FA-052BEF849FD2</t>
  </si>
  <si>
    <t>AT-616B9BB4-D6D5-5AA1-8F24-73F09624EDC4</t>
  </si>
  <si>
    <t>AT-4234C7DA-CB70-5541-B538-06F1C7BED2E8</t>
  </si>
  <si>
    <t>AT-95FF55EF-3D8E-5CB2-BC1D-D3352A5DE4B1</t>
  </si>
  <si>
    <t>AT-A4024553-82D7-5760-B115-2ABCBBD86160</t>
  </si>
  <si>
    <t>AT-8A575F46-C24F-5714-BAAC-215AC6AD46EC</t>
  </si>
  <si>
    <t>AT-6F20D3DE-F072-55DB-90E2-5FE682C9920B</t>
  </si>
  <si>
    <t>AT-F166B5D5-1914-5F55-9955-610ED55EE313</t>
  </si>
  <si>
    <t>AT-4CEBA8F9-6FDC-5C91-95EF-C37B0BBAB5F5</t>
  </si>
  <si>
    <t>AT-FB53E6BA-C6F7-5692-9411-6CF102C8645C</t>
  </si>
  <si>
    <t>AT-00A217E0-99A5-512B-A2DD-EA4E3DCDB100</t>
  </si>
  <si>
    <t>ID_eveniment</t>
  </si>
  <si>
    <t>Utilizator</t>
  </si>
  <si>
    <t>Tip_entitate</t>
  </si>
  <si>
    <t>ID_entitate</t>
  </si>
  <si>
    <t>Camp</t>
  </si>
  <si>
    <t>Valoare_veche</t>
  </si>
  <si>
    <t>Valoare_noua</t>
  </si>
  <si>
    <t>TQM_SL_V1</t>
  </si>
  <si>
    <t>TQM Călărași - Setări Liste</t>
  </si>
  <si>
    <t>Parametri comuni, liste pentru formulare și reguli pentru documentele obligatorii.</t>
  </si>
  <si>
    <t>Prima utilizare: importați modulele actualizate și rulați SL_Instaleaza. Confirmați regulile documentelor.</t>
  </si>
  <si>
    <t>Editează parametru</t>
  </si>
  <si>
    <t>Liste dropdown</t>
  </si>
  <si>
    <t>Reguli documente</t>
  </si>
  <si>
    <t>Documente dosar</t>
  </si>
  <si>
    <t>Parametri comuni</t>
  </si>
  <si>
    <t>Valori active în liste</t>
  </si>
  <si>
    <t>Profiluri de confirmat</t>
  </si>
  <si>
    <t>Selectați un parametru și apăsați „Editează parametru”. Valorile implicite se aplică în formularele noi.</t>
  </si>
  <si>
    <t>Cod_setare</t>
  </si>
  <si>
    <t>Utilizare</t>
  </si>
  <si>
    <t>ID_setare</t>
  </si>
  <si>
    <t>COMANDA_TERMEN_ZILE</t>
  </si>
  <si>
    <t>Termen implicit comandă</t>
  </si>
  <si>
    <t>Intreg</t>
  </si>
  <si>
    <t>zile</t>
  </si>
  <si>
    <t>Comenzi furnizori: data comenzii + termen</t>
  </si>
  <si>
    <t>Configurare inițială</t>
  </si>
  <si>
    <t>SP-83510113-6D9C-4A71-A229-CE3B5E01385B</t>
  </si>
  <si>
    <t>CERERE_TERMEN_ZILE</t>
  </si>
  <si>
    <t>Termen implicit cerere</t>
  </si>
  <si>
    <t>Cereri: data necesară pe șantier</t>
  </si>
  <si>
    <t>SP-450BA395-ACCE-4519-B469-6346D452BD23</t>
  </si>
  <si>
    <t>OFERTA_VALABILA_ZILE</t>
  </si>
  <si>
    <t>Valabilitate implicită ofertă</t>
  </si>
  <si>
    <t>Oferte noi: valabilă până la</t>
  </si>
  <si>
    <t>SP-9DD739A5-A99D-4CDF-9CF1-6491D632AC5C</t>
  </si>
  <si>
    <t>OFERTA_LIVRARE_ZILE</t>
  </si>
  <si>
    <t>Livrare implicită ofertă</t>
  </si>
  <si>
    <t>Oferte noi: data estimată a livrării</t>
  </si>
  <si>
    <t>SP-20F3DDD2-5026-4919-BEEA-C32ABE05683E</t>
  </si>
  <si>
    <t>FACTURA_SCADENTA_ZILE</t>
  </si>
  <si>
    <t>Scadență implicită factură</t>
  </si>
  <si>
    <t>Facturi noi și preluate din Control Achiziții</t>
  </si>
  <si>
    <t>SP-89E4CA9B-2CE8-4D20-9087-5402C4F8E55A</t>
  </si>
  <si>
    <t>STOC_LOCATIE_IMPLICITA</t>
  </si>
  <si>
    <t>Locație implicită recepție</t>
  </si>
  <si>
    <t>Depozit</t>
  </si>
  <si>
    <t>Text</t>
  </si>
  <si>
    <t>Recepții și stoc inițial; locația se validează în Nomenclatoare</t>
  </si>
  <si>
    <t>SP-3D852AE3-890E-48B8-91D1-C4FE926BEC9E</t>
  </si>
  <si>
    <t>PLATA_METODA_IMPLICITA</t>
  </si>
  <si>
    <t>Metodă implicită plată</t>
  </si>
  <si>
    <t>OP</t>
  </si>
  <si>
    <t>Lista</t>
  </si>
  <si>
    <t>Plăți și restituiri; compensarea are flux separat</t>
  </si>
  <si>
    <t>SP-5B892B5E-865A-472C-B720-5DE670453E77</t>
  </si>
  <si>
    <t>ID_lista</t>
  </si>
  <si>
    <t>Grupa</t>
  </si>
  <si>
    <t>Activ</t>
  </si>
  <si>
    <t>Sistem</t>
  </si>
  <si>
    <t>SL-37CEDAFF-042B-4A07-BB79-0AC98ED75593</t>
  </si>
  <si>
    <t>TIP_PARTENER_CONTROL</t>
  </si>
  <si>
    <t>Da</t>
  </si>
  <si>
    <t>Valoare de sistem folosită de macro-uri.</t>
  </si>
  <si>
    <t>SL-A392D2BB-44A1-4E6B-B6A5-FBCE9F0C7AE5</t>
  </si>
  <si>
    <t>SL-3F9F701C-81E4-4322-9F68-2AB5766C78AC</t>
  </si>
  <si>
    <t>Prestator</t>
  </si>
  <si>
    <t>SL-8429B234-0C2C-48BE-ACDA-4974FEB17AE6</t>
  </si>
  <si>
    <t>Alt partener</t>
  </si>
  <si>
    <t>SL-1E168F10-CFB0-44E5-BB4F-57B0DD075D8A</t>
  </si>
  <si>
    <t>TIP_INTRARE</t>
  </si>
  <si>
    <t>SL-6295E22B-7C54-42DC-8003-4981DCB50423</t>
  </si>
  <si>
    <t>SL-BDF2F329-B1AE-49E8-B323-E889E2AF0E56</t>
  </si>
  <si>
    <t>STATUT_DOCUMENT</t>
  </si>
  <si>
    <t>SL-302D8A08-688B-4517-8F57-6CE24505AC22</t>
  </si>
  <si>
    <t>SL-0E04DE70-86C5-4BBC-B0F5-D4D21581BC2B</t>
  </si>
  <si>
    <t>SL-A5D95965-416B-4931-9CF0-6921CD6ED08F</t>
  </si>
  <si>
    <t>CANAL_COMANDA</t>
  </si>
  <si>
    <t>Ferma</t>
  </si>
  <si>
    <t>SL-AF7A7344-66AE-41A7-AA17-ED331832AEA6</t>
  </si>
  <si>
    <t>Online</t>
  </si>
  <si>
    <t>SL-64881A0B-DA0B-4986-A94B-ABD9795F2346</t>
  </si>
  <si>
    <t>STARE_COMANDA</t>
  </si>
  <si>
    <t>Ciorna</t>
  </si>
  <si>
    <t>SL-0B3ABC12-933B-4FF8-B7BC-9C6777DCC27B</t>
  </si>
  <si>
    <t>Trimisa</t>
  </si>
  <si>
    <t>SL-1758927A-D016-4B75-8A5E-3CE068FFB936</t>
  </si>
  <si>
    <t>Confirmata</t>
  </si>
  <si>
    <t>SL-542475CD-5E48-4F91-8643-7F595AB15E7B</t>
  </si>
  <si>
    <t>PRIORITATE</t>
  </si>
  <si>
    <t>Normala</t>
  </si>
  <si>
    <t>SL-BD21A1A6-DF84-4A97-A21F-0E758C441EB5</t>
  </si>
  <si>
    <t>Ridicata</t>
  </si>
  <si>
    <t>SL-9D4262D9-BC15-4DA2-8FCB-A0624D91AEA9</t>
  </si>
  <si>
    <t>Urgenta</t>
  </si>
  <si>
    <t>SL-5C6E8926-6597-48C2-B6AB-E512EE01AA55</t>
  </si>
  <si>
    <t>CONFORM_TEHNIC</t>
  </si>
  <si>
    <t>SL-E39104D8-58A1-4C94-9E3A-C471A6BC6C61</t>
  </si>
  <si>
    <t>Nu</t>
  </si>
  <si>
    <t>SL-968C5E6A-058C-4255-97ED-A26AF13E948F</t>
  </si>
  <si>
    <t>SL-D4360A5B-D46B-4FCB-ADE5-C6039E2A1BF5</t>
  </si>
  <si>
    <t>STARE_NOMENCLATOR</t>
  </si>
  <si>
    <t>SL-2E2115A4-1696-4099-8900-A2D00528947B</t>
  </si>
  <si>
    <t>Inactiv</t>
  </si>
  <si>
    <t>SL-8AD15D5D-5C03-421C-9A7B-2A6862EE923C</t>
  </si>
  <si>
    <t>SL-60F24614-B302-403C-81FA-8AB783384215</t>
  </si>
  <si>
    <t>TIP_PARTENER_NM</t>
  </si>
  <si>
    <t>SL-86FB38C5-981E-4982-A4F2-87FBB686CCDF</t>
  </si>
  <si>
    <t>SL-44342B4C-5DE6-4305-8F9B-0DA117DA34C1</t>
  </si>
  <si>
    <t>SL-1F3BB8F0-8E52-427F-BA8B-D0DEAB1E8AC4</t>
  </si>
  <si>
    <t>SL-8849A846-F5B7-436E-B5C9-4F00CE99C4ED</t>
  </si>
  <si>
    <t>SL-2118E45D-BF52-4990-82D6-556A54F5D06E</t>
  </si>
  <si>
    <t>Mixt</t>
  </si>
  <si>
    <t>SL-EA79F473-BD7E-4FB0-B6D6-0516B8E1A707</t>
  </si>
  <si>
    <t>TIP_LOCATIE</t>
  </si>
  <si>
    <t>SL-37303F14-E887-48E0-9527-3B596904FE4F</t>
  </si>
  <si>
    <t>Santier</t>
  </si>
  <si>
    <t>SL-5C6A889E-C8D5-47D8-9704-6BE63804B857</t>
  </si>
  <si>
    <t>Alta locatie</t>
  </si>
  <si>
    <t>SL-F1A6266B-4858-49FA-8731-7B597DB4AB38</t>
  </si>
  <si>
    <t>METODA_PLATA</t>
  </si>
  <si>
    <t>Cod stabil; dezactivarea păstrează istoricul.</t>
  </si>
  <si>
    <t>SL-EF9D9BA9-248A-444A-B94B-025B3474BC0C</t>
  </si>
  <si>
    <t>Numerar</t>
  </si>
  <si>
    <t>SL-7A132816-4A6A-4C19-B487-7AB8F78A3FDC</t>
  </si>
  <si>
    <t>Card</t>
  </si>
  <si>
    <t>SL-0BC01293-8293-47C7-A0F8-BB23C79CCFAC</t>
  </si>
  <si>
    <t>Alta</t>
  </si>
  <si>
    <t>SL-CD6311C3-A0C0-4185-8DCF-15B18D504634</t>
  </si>
  <si>
    <t>SL-DBA84972-9BEA-4043-9F07-71FC540D39C5</t>
  </si>
  <si>
    <t>SL-06AEE1EA-1FCF-45B4-BEA9-9DEA6E4B338A</t>
  </si>
  <si>
    <t>set</t>
  </si>
  <si>
    <t>SL-C7C6083D-4400-48E4-959C-98E04A332464</t>
  </si>
  <si>
    <t>kg</t>
  </si>
  <si>
    <t>SL-3C483F36-A2DC-4E62-ACE5-D5A8771C175F</t>
  </si>
  <si>
    <t>l</t>
  </si>
  <si>
    <t>SL-BA3BD4CD-359C-4DE1-87E1-BA093A19675B</t>
  </si>
  <si>
    <t>CATEGORIE</t>
  </si>
  <si>
    <t>SL-720E93D6-5ACD-436F-8F21-2480656031C1</t>
  </si>
  <si>
    <t>SL-81591194-425E-48B2-A36B-BAFC803C89C1</t>
  </si>
  <si>
    <t>SL-83F3ABDF-6F92-489C-99A2-865C2BEA4096</t>
  </si>
  <si>
    <t>SL-40CA9CCE-4D24-46CB-A726-DC4286BD1FCF</t>
  </si>
  <si>
    <t>SL-EF775153-4B2F-4D77-9418-66FBB343CD5D</t>
  </si>
  <si>
    <t>SL-E952E442-1F59-4EE1-9AC2-398E5EF2C8C4</t>
  </si>
  <si>
    <t>SL-D15AD7A9-8406-4BAA-BA79-4A7CB32E44D4</t>
  </si>
  <si>
    <t>SL-DF3026DC-489A-4666-B98E-0518CD3BEEEB</t>
  </si>
  <si>
    <t>SL-F0AF4E0B-0921-49D5-A35A-444C8D6A8EB0</t>
  </si>
  <si>
    <t>DA_NU</t>
  </si>
  <si>
    <t>SL-E8465A82-C8B5-4DEA-90B3-7CFB477231EE</t>
  </si>
  <si>
    <t>SL-D9F166CC-98D2-4585-A062-815D5850B082</t>
  </si>
  <si>
    <t>STARE_REGULA</t>
  </si>
  <si>
    <t>De confirmat</t>
  </si>
  <si>
    <t>SL-7B886790-B694-4DC6-A4E2-ACFCBFBFC5C1</t>
  </si>
  <si>
    <t>Tip_partener</t>
  </si>
  <si>
    <t>Tip_intrare</t>
  </si>
  <si>
    <t>Aviz</t>
  </si>
  <si>
    <t>Decl_conformitate</t>
  </si>
  <si>
    <t>Decl_producator</t>
  </si>
  <si>
    <t>Fise_tehnice</t>
  </si>
  <si>
    <t>ID_regula</t>
  </si>
  <si>
    <t>Furnizor|Factura</t>
  </si>
  <si>
    <t>Propunere de lucru. Confirmați cerințele interne înainte de utilizare.</t>
  </si>
  <si>
    <t>SR-BD5BFA2B-9A6D-4838-8E21-89E7B295A38B</t>
  </si>
  <si>
    <t>Furnizor|Doar Aviz</t>
  </si>
  <si>
    <t>Doar Aviz</t>
  </si>
  <si>
    <t>SR-C15C8880-A8A3-4B5E-9161-30B4B9E1FACB</t>
  </si>
  <si>
    <t>Producator|Factura</t>
  </si>
  <si>
    <t>SR-BE91A01A-8E45-4E02-A8E8-8BE65260196C</t>
  </si>
  <si>
    <t>Producator|Doar Aviz</t>
  </si>
  <si>
    <t>SR-379E1896-99EB-4116-A006-C94A0F10D257</t>
  </si>
  <si>
    <t>Prestator|Factura</t>
  </si>
  <si>
    <t>SR-66D64FF6-6A38-4591-A2B7-49534E4F0E3C</t>
  </si>
  <si>
    <t>Prestator|Doar Aviz</t>
  </si>
  <si>
    <t>SR-3422B8F2-0B8F-461C-99C0-C92A412018E9</t>
  </si>
  <si>
    <t>Alt partener|Factura</t>
  </si>
  <si>
    <t>SR-8629798C-C7B8-4AAA-A6DE-2D345133F857</t>
  </si>
  <si>
    <t>Alt partener|Doar Aviz</t>
  </si>
  <si>
    <t>SR-3FF9C422-ECD5-4EAD-9C6B-30ABCFA0D49F</t>
  </si>
  <si>
    <t>Entitate</t>
  </si>
  <si>
    <t>ID_inregistrare</t>
  </si>
  <si>
    <t>TQM Călărași | Proiecte și Bugete</t>
  </si>
  <si>
    <t>Disponibil = buget aprobat − facturat net − comenzi nefacturate. Plățile se urmăresc separat.</t>
  </si>
  <si>
    <t>Prima utilizare: importați modulele actualizate și rulați PB_Instaleaza.</t>
  </si>
  <si>
    <t>Buget / revizie</t>
  </si>
  <si>
    <t>Aprobă ciorna</t>
  </si>
  <si>
    <t>Istoric bugete</t>
  </si>
  <si>
    <t>Detalii proiect</t>
  </si>
  <si>
    <t>Asocieri facturi</t>
  </si>
  <si>
    <t>Proiecte folosite</t>
  </si>
  <si>
    <t>Proiect nou</t>
  </si>
  <si>
    <t>Bugete aprobate net RON</t>
  </si>
  <si>
    <t>Facturat net RON</t>
  </si>
  <si>
    <t>Comenzi nefacturate net RON</t>
  </si>
  <si>
    <t>Sold facturi cu TVA RON</t>
  </si>
  <si>
    <t>Buget net RON pe întreaga durată. n.a. = buget neaprobat / facturi neclarificate. De primit ≠ nefacturat.</t>
  </si>
  <si>
    <t>Buget_aprobat_net_RON</t>
  </si>
  <si>
    <t>Facturat_net_RON</t>
  </si>
  <si>
    <t>Comenzi_nefacturate_net_RON</t>
  </si>
  <si>
    <t>Expunere_net_RON</t>
  </si>
  <si>
    <t>Disponibil_net_RON</t>
  </si>
  <si>
    <t>Utilizare_pct</t>
  </si>
  <si>
    <t>De_primit_net_RON</t>
  </si>
  <si>
    <t>Plati_efective_cu_TVA_RON</t>
  </si>
  <si>
    <t>Sold_cu_TVA_RON</t>
  </si>
  <si>
    <t>Restante_cu_TVA_RON</t>
  </si>
  <si>
    <t>TVA_facturat_RON</t>
  </si>
  <si>
    <t>Facturat_cu_TVA_RON</t>
  </si>
  <si>
    <t>Compensari_cu_TVA_RON</t>
  </si>
  <si>
    <t>Credit_cu_TVA_RON</t>
  </si>
  <si>
    <t>Nr_semnale_de_clarificat</t>
  </si>
  <si>
    <t>Nr_legaturi_doar_comanda</t>
  </si>
  <si>
    <t>Buget_propus_net_RON</t>
  </si>
  <si>
    <t>Stare_proiect</t>
  </si>
  <si>
    <t>DE COMPLETAT</t>
  </si>
  <si>
    <t>NEALOCAT</t>
  </si>
  <si>
    <t>ID_buget</t>
  </si>
  <si>
    <t>Buget_net_RON</t>
  </si>
  <si>
    <t>Aprobat_de</t>
  </si>
  <si>
    <t>Motiv</t>
  </si>
  <si>
    <t>ID_buget_precedent</t>
  </si>
  <si>
    <t>Activa</t>
  </si>
  <si>
    <t>Angajat_net_RON</t>
  </si>
  <si>
    <t>Nefacturat_direct_RON</t>
  </si>
  <si>
    <t>Facturat_direct_RON</t>
  </si>
  <si>
    <t>Cheie_comanda_proiect</t>
  </si>
  <si>
    <t>Costuri_suplimentare_RON</t>
  </si>
  <si>
    <t>Materiale_angajate_RON</t>
  </si>
  <si>
    <t>Materiale_nefacturate_RON</t>
  </si>
  <si>
    <t>Facturat_fara_pozitie_RON</t>
  </si>
  <si>
    <t>Nefacturat_RON</t>
  </si>
  <si>
    <t>Nr_clarificari</t>
  </si>
  <si>
    <t>ID_comanda_legatura</t>
  </si>
  <si>
    <t>ID_pozitie_legatura</t>
  </si>
  <si>
    <t>ID_proiect_angajament</t>
  </si>
  <si>
    <t>Clasificare</t>
  </si>
  <si>
    <t>Clarificare</t>
  </si>
  <si>
    <t>Doar_comanda</t>
  </si>
  <si>
    <t>Plati_efective_RON</t>
  </si>
  <si>
    <t>Compensari_RON</t>
  </si>
  <si>
    <t>Restante_RON</t>
  </si>
  <si>
    <t>Credit_RON</t>
  </si>
  <si>
    <t>ID_legatura</t>
  </si>
  <si>
    <t>Denumire_folosita</t>
  </si>
  <si>
    <t>ID_sursa</t>
  </si>
  <si>
    <t>Control_Achizitii</t>
  </si>
  <si>
    <t>TQM Călărași - Documente</t>
  </si>
  <si>
    <t>Registru de fișiere și asocieri. Fișierele verificate și valabile acoperă cerințele dosarelor.</t>
  </si>
  <si>
    <t>Prima utilizare: importați modulele actualizate și rulați DOC_Instaleaza.</t>
  </si>
  <si>
    <t>Document nou</t>
  </si>
  <si>
    <t>Editează / verifică</t>
  </si>
  <si>
    <t>Asociază</t>
  </si>
  <si>
    <t>Deschide fișierul</t>
  </si>
  <si>
    <t>Surse / operațiuni</t>
  </si>
  <si>
    <t>Dosare și lipsuri</t>
  </si>
  <si>
    <t>Asocieri</t>
  </si>
  <si>
    <t>Documente în registru</t>
  </si>
  <si>
    <t>Documente de rezolvat</t>
  </si>
  <si>
    <t>Documente expirate</t>
  </si>
  <si>
    <t>Dosare de completat / confirmat</t>
  </si>
  <si>
    <t>Adaugă documentul sau preia linkul din Surse. Confirmă regulile și verifică fișierul pentru a completa arhiva.</t>
  </si>
  <si>
    <t>Nr_document</t>
  </si>
  <si>
    <t>Tip_document</t>
  </si>
  <si>
    <t>Data_document</t>
  </si>
  <si>
    <t>Emitent</t>
  </si>
  <si>
    <t>Titlu</t>
  </si>
  <si>
    <t>Valabil_pana</t>
  </si>
  <si>
    <t>Nr_legaturi</t>
  </si>
  <si>
    <t>ID_document</t>
  </si>
  <si>
    <t>Cheie_link</t>
  </si>
  <si>
    <t>Verificat_de</t>
  </si>
  <si>
    <t>Verificat_la</t>
  </si>
  <si>
    <t>Utilizabil</t>
  </si>
  <si>
    <t>Link_valid</t>
  </si>
  <si>
    <t>Tip_acoperit</t>
  </si>
  <si>
    <t>Origine</t>
  </si>
  <si>
    <t>Cheie_sursa</t>
  </si>
  <si>
    <t>Sursa_activa</t>
  </si>
  <si>
    <t>Acopera</t>
  </si>
  <si>
    <t>Cheie_entitate</t>
  </si>
  <si>
    <t>Stare_sursa</t>
  </si>
  <si>
    <t>Link_sursa</t>
  </si>
  <si>
    <t>Tip_document_sursa</t>
  </si>
  <si>
    <t>Foaie_sursa</t>
  </si>
  <si>
    <t>Tabel_sursa</t>
  </si>
  <si>
    <t>Dosar|DS-4E9C8D76-F6F0-436C-BD4D-5E23F1C78516</t>
  </si>
  <si>
    <t>Dosar</t>
  </si>
  <si>
    <t>Alt document</t>
  </si>
  <si>
    <t>Dosar|DS-0615CB72-67B3-43FB-ADB0-8D65FB4AA4D5</t>
  </si>
  <si>
    <t>Dosar|DS-6AA0B273-5AA3-4E82-B4D4-9ECA3DEFAED5</t>
  </si>
  <si>
    <t>Material|NM-3ACA8C6C-D813-57AD-9E1C-6E136669156E</t>
  </si>
  <si>
    <t>Fise tehnice</t>
  </si>
  <si>
    <t>06_NOMENCLATOARE</t>
  </si>
  <si>
    <t>tTQMNMMateriale</t>
  </si>
  <si>
    <t>Material|NM-31217537-1A0C-534D-BBB4-9548506B206E</t>
  </si>
  <si>
    <t>Material|NM-14865989-AA76-5CF7-8C3B-D7121BF52F30</t>
  </si>
  <si>
    <t>Material|NM-41A577B4-EDFF-5731-A88E-8D264C81D5D7</t>
  </si>
  <si>
    <t>Material|NM-988B2EF2-8E23-5305-87BA-2245E973F187</t>
  </si>
  <si>
    <t>Material|NM-CEA54FD6-A5C3-5B97-86CE-38A52115C675</t>
  </si>
  <si>
    <t>Material|NM-562E0C4E-7097-5691-B381-0B1C2E81634F</t>
  </si>
  <si>
    <t>Material|NM-E97A9459-F635-57D6-B33D-C79862346025</t>
  </si>
  <si>
    <t>Material|NM-0755615D-A3FF-5DA6-80F0-65F407A8BB4B</t>
  </si>
  <si>
    <t>Material|NM-6F683432-95CB-5291-B158-9984EA546A85</t>
  </si>
  <si>
    <t>Material|NM-8F30823B-91BA-570B-BE2D-93AE61E55552</t>
  </si>
  <si>
    <t>Material|NM-D66F8A9A-0432-5821-85E1-7812A3A999F7</t>
  </si>
  <si>
    <t>Material|NM-27EE4C38-1D12-5DEC-83F6-B39EA8126483</t>
  </si>
  <si>
    <t>Material|NM-4714F856-3594-5396-B773-A9A7F09B9037</t>
  </si>
  <si>
    <t>Material|NM-60BF91EC-03BD-590C-A027-AD3339C69DD5</t>
  </si>
  <si>
    <t>Material|NM-7297D4C7-D34D-5C06-BAC6-10224651FD19</t>
  </si>
  <si>
    <t>Material|NM-60DED85B-1917-5A2E-B546-1DE855E3699F</t>
  </si>
  <si>
    <t>Material|NM-D16F6DFF-5EBA-512F-A6A6-C3268B016DA5</t>
  </si>
  <si>
    <t>Material|NM-85273FC1-1403-5D1F-AEE4-6B70FBD927E6</t>
  </si>
  <si>
    <t>Material|NM-C5C3ED1F-CEF6-551A-B149-ED722A73C327</t>
  </si>
  <si>
    <t>Material|NM-2840B11B-C48D-56FE-955E-88DE859D2F1E</t>
  </si>
  <si>
    <t>Material|NM-D0AAE636-50E0-5C72-A8A1-E2DA46D7266E</t>
  </si>
  <si>
    <t>Material|NM-991085E6-325F-5876-80D6-C08EC70047FB</t>
  </si>
  <si>
    <t>Material|NM-EA5764E5-03F1-576A-8C78-487A2B78F563</t>
  </si>
  <si>
    <t>Material|NM-FB04C3C3-48FC-57F5-8881-3D79669A8D62</t>
  </si>
  <si>
    <t>Material|NM-92289A06-63B1-53BF-A4F4-18AC7B56AECD</t>
  </si>
  <si>
    <t>Material|NM-CF3711CC-D6A9-5713-8D1F-E638326304A7</t>
  </si>
  <si>
    <t>Material|NM-69713555-0937-5737-9422-618FC21BBF4D</t>
  </si>
  <si>
    <t>Material|NM-C9091993-B1DD-5057-A635-34976B43C358</t>
  </si>
  <si>
    <t>Material|NM-A8D83CE3-B441-5132-8697-FF4B1811E307</t>
  </si>
  <si>
    <t>Material|NM-FA5B28BC-ADFF-57FF-BD82-CE7BB986550B</t>
  </si>
  <si>
    <t>Material|NM-3C4D15F2-BEFC-53AC-BD87-75AE6E3DA21A</t>
  </si>
  <si>
    <t>Material|NM-80E298FB-9CAF-5C6E-8187-15D2000C04E9</t>
  </si>
  <si>
    <t>Material|NM-8F6D96CE-AFF8-5381-918A-1F5DDABF5347</t>
  </si>
  <si>
    <t>Material|NM-30AFAA59-9017-50B5-82D0-F80C6F7D3A81</t>
  </si>
  <si>
    <t>Material|NM-EF1C903F-320B-5A1C-BFB7-075940772FEF</t>
  </si>
  <si>
    <t>Material|NM-35C257AA-EEF8-5F86-B1B7-FB8318DEC440</t>
  </si>
  <si>
    <t>Material|NM-E8F0879D-026C-511C-AB3C-EB71517B4A92</t>
  </si>
  <si>
    <t>Material|NM-20E8F5E1-6281-5F96-97C4-C0EF59E38D53</t>
  </si>
  <si>
    <t>Material|NM-C8E0A405-7564-5597-BDE3-02D5FFABD17A</t>
  </si>
  <si>
    <t>Material|NM-ECD5E968-818D-597E-9F24-5CB8BDA70095</t>
  </si>
  <si>
    <t>Material|NM-26419D90-7086-5647-9637-D4A0E8E798F5</t>
  </si>
  <si>
    <t>Material|NM-970E2666-6E83-54B5-AE4F-4A9CF88E529B</t>
  </si>
  <si>
    <t>Material|NM-D6238ADB-B89C-5686-B9D5-40DFD1517097</t>
  </si>
  <si>
    <t>Material|NM-D60321F6-CE97-5BB8-87E8-1117DA7ECD5D</t>
  </si>
  <si>
    <t>Material|NM-11ECE439-7A6E-50A9-BD57-81BAA14042A9</t>
  </si>
  <si>
    <t>Material|NM-A5005342-8B3B-59E7-947F-E51787A397D0</t>
  </si>
  <si>
    <t>Material|NM-97B4575D-937A-51BD-840F-5508895A80A1</t>
  </si>
  <si>
    <t>Material|NM-34E7235D-BDC8-53AA-8D4A-F79FCA017959</t>
  </si>
  <si>
    <t>Material|NM-11E4C868-8588-5CB1-85FB-D90275DEB5B0</t>
  </si>
  <si>
    <t>Material|NM-4FB96523-7023-5F17-A0C5-67F0C0ADAB3C</t>
  </si>
  <si>
    <t>Nr_dosar</t>
  </si>
  <si>
    <t>Document_sursa</t>
  </si>
  <si>
    <t>Conformitate</t>
  </si>
  <si>
    <t>Documente_lipsa_arhiva</t>
  </si>
  <si>
    <t>Status_arhiva</t>
  </si>
  <si>
    <t>Status_Control</t>
  </si>
  <si>
    <t>Nr_lipsuri</t>
  </si>
  <si>
    <t>INCOMPLET - VERIFICARE DOCUMENTE</t>
  </si>
  <si>
    <t>DOSARE COMPLETE_x000D_
0</t>
  </si>
  <si>
    <t>AVIZE OBLIGATORII_x000D_
0</t>
  </si>
  <si>
    <t>TQM Calarasi - Comenzi furnizori</t>
  </si>
  <si>
    <t>Comenzi ferme si online, cu mai multe materiale si livrari partiale</t>
  </si>
  <si>
    <t>Selectati un rand si apasati actiunea dorita. Formularul este local sesiunii Excel.</t>
  </si>
  <si>
    <t>Comenzi inregistrate</t>
  </si>
  <si>
    <t>Comenzi intarziate</t>
  </si>
  <si>
    <t>Materiale de primit (RON fara TVA)</t>
  </si>
  <si>
    <t>TQM Calarasi - Livrari si stoc</t>
  </si>
  <si>
    <t>Receptii pe locatii, transferuri, consum si retururi</t>
  </si>
  <si>
    <t>Selectati materialul si locatia. Transferul muta stocul; consumul il scade. Cantitatile sunt in UM afisata.</t>
  </si>
  <si>
    <t>Materiale urmarite</t>
  </si>
  <si>
    <t>Locatii inregistrate</t>
  </si>
  <si>
    <t>Pozitii sub prag minim</t>
  </si>
  <si>
    <t>TQM Calarasi - Cereri si oferte</t>
  </si>
  <si>
    <t>Cereri</t>
  </si>
  <si>
    <t>De ofertat</t>
  </si>
  <si>
    <t>De aprobat</t>
  </si>
  <si>
    <t>Aprobate</t>
  </si>
  <si>
    <t>ID cerere</t>
  </si>
  <si>
    <t>Cost total fara TVA, in RON. Primele 6 oferte dupa cost; ofertele necomparabile au motivul afisat.</t>
  </si>
  <si>
    <t>ID oferta</t>
  </si>
  <si>
    <t>Total RON</t>
  </si>
  <si>
    <t>Comparabila?</t>
  </si>
  <si>
    <t>Motiv / recomandare</t>
  </si>
  <si>
    <t>Recomandarea propune costul minim eligibil. Aprobarea se inregistreaza separat.</t>
  </si>
  <si>
    <t>Registru cereri - o pozitie pentru fiecare material</t>
  </si>
  <si>
    <t>Registru oferte - legatura prin ID_cerere</t>
  </si>
  <si>
    <t>TQM_CERERI_OFERTE_V1</t>
  </si>
  <si>
    <t>Data_cerere</t>
  </si>
  <si>
    <t>Data_necesara</t>
  </si>
  <si>
    <t>Prioritate</t>
  </si>
  <si>
    <t>Oferte_valide</t>
  </si>
  <si>
    <t>Cost_min</t>
  </si>
  <si>
    <t>Furnizor_recom</t>
  </si>
  <si>
    <t>Status</t>
  </si>
  <si>
    <t>Solicitant</t>
  </si>
  <si>
    <t>Buget_RON</t>
  </si>
  <si>
    <t>ID_oferta_aprobata</t>
  </si>
  <si>
    <t>Data_aprobarii</t>
  </si>
  <si>
    <t>Motiv_decizie</t>
  </si>
  <si>
    <t>Amprenta_aprobarii</t>
  </si>
  <si>
    <t>Amprenta_cerere</t>
  </si>
  <si>
    <t>Data_livrare</t>
  </si>
  <si>
    <t>Valabila_pana</t>
  </si>
  <si>
    <t>Conform_tehnic</t>
  </si>
  <si>
    <t>Eligibila</t>
  </si>
  <si>
    <t>Nr_oferta</t>
  </si>
  <si>
    <t>Data_oferta</t>
  </si>
  <si>
    <t>Conditii_plata</t>
  </si>
  <si>
    <t>Garantie</t>
  </si>
  <si>
    <t>Link_oferta</t>
  </si>
  <si>
    <t>Amprenta_oferta</t>
  </si>
  <si>
    <t>Rang_cost</t>
  </si>
  <si>
    <t>Cheie_cost</t>
  </si>
  <si>
    <t>Rang_eligibil</t>
  </si>
  <si>
    <t>Cheie_min</t>
  </si>
  <si>
    <t>Cost_sortare</t>
  </si>
  <si>
    <t>TQM Calarasi - Facturi si plati</t>
  </si>
  <si>
    <t>Facturi repartizate pe proiecte, scadente si plati partiale. Toate sumele sunt in RON.</t>
  </si>
  <si>
    <t>Facturat net (RON fara TVA)</t>
  </si>
  <si>
    <t/>
  </si>
  <si>
    <t>Sold de plata (RON cu TVA)</t>
  </si>
  <si>
    <t>Restante (RON cu TVA)</t>
  </si>
  <si>
    <t>Selectati factura pentru plata, storno sau istoric. Compensarea regularizeaza solduri fara o plata bancara.</t>
  </si>
  <si>
    <t>Proiecte de inregistrat</t>
  </si>
  <si>
    <t>TQM | PROIECTE SI BUGETE</t>
  </si>
  <si>
    <t>Disponibil = buget aprobat - facturat net - comenzi nefacturate. Platile nu dubleaza cheltuiala.</t>
  </si>
  <si>
    <t>Selectati proiectul. n.a. = buget neaprobat / legaturi neclarificate. De primit este separat de nefacturat.</t>
  </si>
  <si>
    <t>ACTUALIZAT 13.10.2026 15:37:25 | Buget net RON, intreaga durata a proiectului.</t>
  </si>
  <si>
    <t>NEACTUALIZAT - O sursa contine o eroare Excel._x000D_
Foaie: 09_DOCUMENTE_x000D_
Tabel / sursa: tTQMDocumente_x000D_
Celula: J13_x000D_
Coloana: Actiune_x000D_
Eroare Excel: #REF!_x000D_
Formula: =IF(LEN(#REF!)=0,"",IF(#REF!="Arhivat","ARHIVAT",IF(#REF!="Respins","DOCUMENT RESPINS",IF(LEN(#REF!)=0,"ADAUGATI LINKUL",IF(#REF!&lt;&gt;1,"CORECTATI LINKUL",IF(IF(LEN(#REF!)=0,FALSE,#REF!&lt;TODAY()),"DOCUMENT EXPIRAT",IF(#REF!&lt;&gt;"Verificat","VERIFICATI DOCUMENTUL",IF(#REF!&lt;&gt;1,"COMPLETATI VERIFICAREA",IF(#REF!=0,"ASOCIATI OPERATIUNEA","DOCUMENT VERIFICAT"))))))))). Corectati sursa si reluati Actualizeaza.</t>
  </si>
  <si>
    <t>Copie antet 08_PROIECTE_BUGETE | 13.10.2026 17:03:14</t>
  </si>
  <si>
    <t>Copie antet 09_DOCUMENTE | 13.10.2026 17:03:40</t>
  </si>
  <si>
    <t>TQM Calarasi - Documente</t>
  </si>
  <si>
    <t>Registru de fisiere si asocieri. Verificarea documentelor si valabilitatea stabilesc acoperirea dosarului.</t>
  </si>
  <si>
    <t>Documente in registru</t>
  </si>
  <si>
    <t>Selectati un document. Dosare si lipsuri foloseste fisiere verificate, valabile si regulile confirmate din Setari Liste.</t>
  </si>
  <si>
    <t>TQM Calarasi - Dashboard achizitii</t>
  </si>
  <si>
    <t>De la</t>
  </si>
  <si>
    <t>Pana la</t>
  </si>
  <si>
    <t>Perioada foloseste data inregistrarii. Modificati celulele galbene pentru filtrare.</t>
  </si>
  <si>
    <t>Data lipsa / text</t>
  </si>
  <si>
    <t>Inclus in filtru</t>
  </si>
  <si>
    <t>Rand cu actiune</t>
  </si>
  <si>
    <t>Valoare factura invalida</t>
  </si>
  <si>
    <t>Clasa status</t>
  </si>
  <si>
    <t>Status contradictoriu</t>
  </si>
  <si>
    <t>Inregistrari</t>
  </si>
  <si>
    <t>Valoare facturi (RON fara TVA)</t>
  </si>
  <si>
    <t>Dosare complete</t>
  </si>
  <si>
    <t>Dosare incomplete</t>
  </si>
  <si>
    <t>Avize obligatorii</t>
  </si>
  <si>
    <t>Rata completare</t>
  </si>
  <si>
    <t>Dosare</t>
  </si>
  <si>
    <t>Complete</t>
  </si>
  <si>
    <t>Incomplete</t>
  </si>
  <si>
    <t>Alte statusuri</t>
  </si>
  <si>
    <t>Luna</t>
  </si>
  <si>
    <t>Eticheta</t>
  </si>
  <si>
    <t>Facturi RON</t>
  </si>
  <si>
    <t>Ian</t>
  </si>
  <si>
    <t>Feb</t>
  </si>
  <si>
    <t>Mar</t>
  </si>
  <si>
    <t>Apr</t>
  </si>
  <si>
    <t>Mai</t>
  </si>
  <si>
    <t>Iun</t>
  </si>
  <si>
    <t>Iul</t>
  </si>
  <si>
    <t>Aug</t>
  </si>
  <si>
    <t>Sep</t>
  </si>
  <si>
    <t>Oct</t>
  </si>
  <si>
    <t>Nov</t>
  </si>
  <si>
    <t>Dec</t>
  </si>
  <si>
    <t>Dosare dupa status</t>
  </si>
  <si>
    <t>Facturi pe luni (RON fara TVA)</t>
  </si>
  <si>
    <t>Graficul lunar arata anul datei "Pana la", in limitele perioadei si proiectului selectat.</t>
  </si>
  <si>
    <t>Registru</t>
  </si>
  <si>
    <t>Module de conectat in etapele urmatoare</t>
  </si>
  <si>
    <t>Livrari / Stocuri</t>
  </si>
  <si>
    <t>Facturi / Plati / Bugete</t>
  </si>
  <si>
    <t>Statusurile sunt preluate din registru. Aviz obligatoriu indica o cerinta, nu confirma lipsa avizului.</t>
  </si>
  <si>
    <t>Toate proiectele</t>
  </si>
  <si>
    <t>TQM_DASHBOARD_V1</t>
  </si>
  <si>
    <t>Dana</t>
  </si>
  <si>
    <t>DS-B62FFAF4-4D0E-4172-A668-00A3D5549C4D</t>
  </si>
  <si>
    <t>Dosar|DS-B62FFAF4-4D0E-4172-A668-00A3D5549C4D</t>
  </si>
  <si>
    <t>TOTAL ÎNREGISTRARI_x000D_
4</t>
  </si>
  <si>
    <t>DOSARE INCOMPLETE_x000D_
4</t>
  </si>
  <si>
    <t>ACTUALIZAT 13.10.2026 20:18:37 | Buget net RON, intreaga durata a proiectului.</t>
  </si>
  <si>
    <t>ACTUALIZAT 13.10.2026 20:18:38. Linkurile preluate asteapta verificarea continutului.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</si>
</sst>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dd\.mm\.yyyy"/>
    <numFmt numFmtId="165" formatCode="0.0%"/>
    <numFmt numFmtId="166" formatCode="dd\.mm\.yyyy\ hh:mm"/>
    <numFmt numFmtId="167" formatCode="#,##0.######"/>
    <numFmt numFmtId="168" formatCode="#,##0.00;\(#,##0.00\);&quot;-&quot;"/>
  </numFmts>
  <fonts count="65">
    <font>
      <sz val="11"/>
      <color theme="1"/>
      <name val="Aptos Narrow"/>
      <family val="2"/>
      <scheme val="minor"/>
    </font>
    <font>
      <sz val="11"/>
      <name val="Carlito"/>
    </font>
    <font>
      <sz val="10"/>
      <name val="Aptos"/>
    </font>
    <font>
      <sz val="11"/>
      <name val="Carlito"/>
    </font>
    <font>
      <sz val="10"/>
      <name val="Aptos"/>
    </font>
    <font>
      <sz val="11"/>
      <name val="Carlito"/>
    </font>
    <font>
      <b/>
      <sz val="10"/>
      <color rgb="FFFFFFFF"/>
      <name val="Aptos"/>
    </font>
    <font>
      <sz val="11"/>
      <color rgb="FF9A3412"/>
      <name val="Carlito"/>
    </font>
    <font>
      <sz val="11"/>
      <name val="Carlito"/>
    </font>
    <font>
      <b/>
      <sz val="10"/>
      <color rgb="FFFFFFFF"/>
      <name val="Aptos"/>
    </font>
    <font>
      <sz val="10"/>
      <name val="Aptos"/>
    </font>
    <font>
      <b/>
      <sz val="10"/>
      <color rgb="FFFFFFFF"/>
      <name val="Aptos"/>
    </font>
    <font>
      <b/>
      <sz val="18"/>
      <color rgb="FF1F2937"/>
      <name val="Aptos Display"/>
    </font>
    <font>
      <sz val="11"/>
      <color rgb="FF64748B"/>
      <name val="Carlito"/>
    </font>
    <font>
      <sz val="11"/>
      <color rgb="FF9A3412"/>
      <name val="Carlito"/>
    </font>
    <font>
      <sz val="10"/>
      <color rgb="FF475569"/>
      <name val="Aptos"/>
    </font>
    <font>
      <b/>
      <sz val="10"/>
      <color rgb="FFFFFFFF"/>
      <name val="Aptos"/>
    </font>
    <font>
      <b/>
      <sz val="18"/>
      <color rgb="FF1F2937"/>
      <name val="Aptos Display"/>
    </font>
    <font>
      <sz val="11"/>
      <color rgb="FF9A3412"/>
      <name val="Carlito"/>
    </font>
    <font>
      <sz val="10"/>
      <color rgb="FF475569"/>
      <name val="Aptos"/>
    </font>
    <font>
      <sz val="11"/>
      <color rgb="FF64748B"/>
      <name val="Carlito"/>
    </font>
    <font>
      <sz val="10"/>
      <color rgb="FF374151"/>
      <name val="Aptos"/>
    </font>
    <font>
      <b/>
      <sz val="22"/>
      <color rgb="FFFFFFFF"/>
      <name val="Aptos Display"/>
      <family val="2"/>
    </font>
    <font>
      <sz val="10"/>
      <name val="Aptos"/>
      <family val="2"/>
    </font>
    <font>
      <b/>
      <sz val="10"/>
      <color rgb="FF4B5563"/>
      <name val="Aptos"/>
      <family val="2"/>
    </font>
    <font>
      <b/>
      <sz val="13"/>
      <color rgb="FF1F2937"/>
      <name val="Aptos"/>
      <family val="2"/>
    </font>
    <font>
      <b/>
      <sz val="10"/>
      <color rgb="FF374151"/>
      <name val="Aptos"/>
      <family val="2"/>
    </font>
    <font>
      <b/>
      <sz val="10"/>
      <color rgb="FFFFFFFF"/>
      <name val="Aptos"/>
      <family val="2"/>
    </font>
    <font>
      <sz val="10"/>
      <color rgb="FF374151"/>
      <name val="Aptos"/>
      <family val="2"/>
    </font>
    <font>
      <sz val="10"/>
      <color rgb="FF6B7280"/>
      <name val="Aptos"/>
      <family val="2"/>
    </font>
    <font>
      <b/>
      <sz val="11"/>
      <color rgb="FF374151"/>
      <name val="Aptos"/>
      <family val="2"/>
    </font>
    <font>
      <b/>
      <sz val="11"/>
      <name val="Aptos"/>
      <family val="2"/>
    </font>
    <font>
      <sz val="11"/>
      <color theme="1"/>
      <name val="Aptos"/>
      <family val="2"/>
    </font>
    <font>
      <b/>
      <sz val="18"/>
      <color rgb="FF1F2937"/>
      <name val="Aptos"/>
      <family val="2"/>
    </font>
    <font>
      <sz val="11"/>
      <color rgb="FF9A3412"/>
      <name val="Aptos"/>
      <family val="2"/>
    </font>
    <font>
      <sz val="10"/>
      <color rgb="FF475569"/>
      <name val="Aptos"/>
      <family val="2"/>
    </font>
    <font>
      <sz val="10"/>
      <color theme="1"/>
      <name val="Aptos"/>
      <family val="2"/>
    </font>
    <font>
      <b/>
      <sz val="10"/>
      <color rgb="FF1F2937"/>
      <name val="Aptos"/>
      <family val="2"/>
    </font>
    <font>
      <sz val="10"/>
      <color rgb="FF64748B"/>
      <name val="Aptos"/>
      <family val="2"/>
    </font>
    <font>
      <sz val="10"/>
      <color rgb="FF9A3412"/>
      <name val="Aptos"/>
      <family val="2"/>
    </font>
    <font>
      <sz val="10"/>
      <color rgb="FF1F2937"/>
      <name val="Aptos"/>
      <family val="2"/>
    </font>
    <font>
      <sz val="11"/>
      <color rgb="FF1F2937"/>
      <name val="Aptos"/>
      <family val="2"/>
    </font>
    <font>
      <b/>
      <sz val="20"/>
      <color rgb="FF1F2937"/>
      <name val="Aptos Display"/>
      <family val="2"/>
    </font>
    <font>
      <sz val="11"/>
      <color rgb="FF1D4ED8"/>
      <name val="Aptos"/>
      <family val="2"/>
    </font>
    <font>
      <sz val="10"/>
      <color rgb="FF1D4ED8"/>
      <name val="Aptos"/>
      <family val="2"/>
    </font>
    <font>
      <b/>
      <sz val="22"/>
      <color rgb="FF1D4ED8"/>
      <name val="Aptos Display"/>
      <family val="2"/>
    </font>
    <font>
      <sz val="11"/>
      <color rgb="FFFFFFFF"/>
      <name val="Aptos"/>
      <family val="2"/>
    </font>
    <font>
      <sz val="12"/>
      <color rgb="FF1F2937"/>
      <name val="Aptos"/>
      <family val="2"/>
    </font>
    <font>
      <u/>
      <sz val="11"/>
      <color theme="10"/>
      <name val="Aptos Narrow"/>
      <family val="2"/>
      <scheme val="minor"/>
    </font>
    <font>
      <sz val="10"/>
      <color rgb="FF2563EB"/>
      <name val="Aptos"/>
      <family val="2"/>
    </font>
    <font>
      <sz val="10"/>
      <color rgb="FFB91C1C"/>
      <name val="Aptos"/>
      <family val="2"/>
    </font>
    <font>
      <b/>
      <sz val="18"/>
      <color rgb="FF1F2937"/>
      <name val="Aptos Display"/>
      <family val="2"/>
    </font>
    <font>
      <b/>
      <sz val="15"/>
      <color rgb="FF1F2937"/>
      <name val="Aptos"/>
      <family val="2"/>
    </font>
    <font>
      <sz val="11"/>
      <color rgb="FF1F2937"/>
      <name val="Aptos Narrow"/>
      <family val="2"/>
      <scheme val="minor"/>
    </font>
    <font>
      <sz val="11"/>
      <color rgb="FF1F2937"/>
      <name val="Carlito"/>
    </font>
    <font>
      <sz val="11"/>
      <color rgb="FF475569"/>
      <name val="Carlito"/>
    </font>
    <font>
      <b/>
      <sz val="10"/>
      <color rgb="FF2563EB"/>
      <name val="Aptos"/>
      <family val="2"/>
    </font>
    <font>
      <b/>
      <sz val="11"/>
      <color rgb="FF2563EB"/>
      <name val="Aptos"/>
      <family val="2"/>
    </font>
    <font>
      <b/>
      <sz val="23"/>
      <color rgb="FF1D4ED8"/>
      <name val="Aptos Display"/>
      <family val="2"/>
    </font>
    <font>
      <sz val="10"/>
      <color rgb="FF15803D"/>
      <name val="Aptos"/>
      <family val="2"/>
    </font>
    <font>
      <b/>
      <sz val="23"/>
      <color rgb="FF15803D"/>
      <name val="Aptos Display"/>
      <family val="2"/>
    </font>
    <font>
      <b/>
      <sz val="23"/>
      <color rgb="FFB91C1C"/>
      <name val="Aptos Display"/>
      <family val="2"/>
    </font>
    <font>
      <sz val="10"/>
      <color rgb="FFC2410C"/>
      <name val="Aptos"/>
      <family val="2"/>
    </font>
    <font>
      <b/>
      <sz val="23"/>
      <color rgb="FFC2410C"/>
      <name val="Aptos Display"/>
      <family val="2"/>
    </font>
    <font>
      <b/>
      <sz val="23"/>
      <color rgb="FF374151"/>
      <name val="Aptos Display"/>
      <family val="2"/>
    </font>
  </fonts>
  <fills count="35">
    <fill>
      <patternFill patternType="none"/>
    </fill>
    <fill>
      <patternFill patternType="gray125"/>
    </fill>
    <fill>
      <patternFill patternType="none"/>
    </fill>
    <fill>
      <patternFill patternType="none"/>
    </fill>
    <fill>
      <patternFill patternType="none"/>
    </fill>
    <fill>
      <patternFill patternType="solid">
        <fgColor rgb="FF1F2937"/>
      </patternFill>
    </fill>
    <fill>
      <patternFill patternType="none"/>
    </fill>
    <fill>
      <patternFill patternType="solid">
        <fgColor rgb="FF1F2937"/>
      </patternFill>
    </fill>
    <fill>
      <patternFill patternType="solid">
        <fgColor rgb="FF2563EB"/>
      </patternFill>
    </fill>
    <fill>
      <patternFill patternType="solid">
        <fgColor rgb="FFEFF6FF"/>
      </patternFill>
    </fill>
    <fill>
      <patternFill patternType="solid">
        <fgColor rgb="FFFFF7ED"/>
      </patternFill>
    </fill>
    <fill>
      <patternFill patternType="none"/>
    </fill>
    <fill>
      <patternFill patternType="solid">
        <fgColor rgb="FF1F2937"/>
      </patternFill>
    </fill>
    <fill>
      <patternFill patternType="solid">
        <fgColor rgb="FF2563EB"/>
      </patternFill>
    </fill>
    <fill>
      <patternFill patternType="solid">
        <fgColor rgb="FFEFF6FF"/>
      </patternFill>
    </fill>
    <fill>
      <patternFill patternType="solid">
        <fgColor rgb="FFFFF7ED"/>
      </patternFill>
    </fill>
    <fill>
      <patternFill patternType="none"/>
    </fill>
    <fill>
      <patternFill patternType="solid">
        <fgColor rgb="FF2563EB"/>
      </patternFill>
    </fill>
    <fill>
      <patternFill patternType="none"/>
    </fill>
    <fill>
      <patternFill patternType="solid">
        <fgColor rgb="FF2563EB"/>
      </patternFill>
    </fill>
    <fill>
      <patternFill patternType="solid">
        <fgColor rgb="FFEFF6FF"/>
      </patternFill>
    </fill>
    <fill>
      <patternFill patternType="none"/>
    </fill>
    <fill>
      <patternFill patternType="solid">
        <fgColor rgb="FFFFFFFF"/>
      </patternFill>
    </fill>
    <fill>
      <patternFill patternType="solid">
        <fgColor rgb="FF1F2937"/>
        <bgColor indexed="64"/>
      </patternFill>
    </fill>
    <fill>
      <patternFill patternType="solid">
        <fgColor rgb="FFF3F4F6"/>
        <bgColor indexed="64"/>
      </patternFill>
    </fill>
    <fill>
      <patternFill patternType="solid">
        <fgColor rgb="FFF9FAFB"/>
        <bgColor indexed="64"/>
      </patternFill>
    </fill>
    <fill>
      <patternFill patternType="solid">
        <fgColor rgb="FFEFF6FF"/>
        <bgColor indexed="64"/>
      </patternFill>
    </fill>
    <fill>
      <patternFill patternType="solid">
        <fgColor rgb="FFF0FDF4"/>
        <bgColor indexed="64"/>
      </patternFill>
    </fill>
    <fill>
      <patternFill patternType="solid">
        <fgColor rgb="FFFEF2F2"/>
        <bgColor indexed="64"/>
      </patternFill>
    </fill>
    <fill>
      <patternFill patternType="solid">
        <fgColor rgb="FFFFF7ED"/>
        <bgColor indexed="64"/>
      </patternFill>
    </fill>
    <fill>
      <patternFill patternType="solid">
        <fgColor rgb="FF37415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EF3C7"/>
        <bgColor indexed="64"/>
      </patternFill>
    </fill>
    <fill>
      <patternFill patternType="solid">
        <fgColor rgb="FFF8FAFC"/>
        <bgColor indexed="64"/>
      </patternFill>
    </fill>
    <fill>
      <patternFill patternType="solid">
        <fgColor rgb="FFFFFBEB"/>
        <bgColor indexed="64"/>
      </patternFill>
    </fill>
  </fills>
  <borders count="21"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4B5563"/>
      </left>
      <right style="thin">
        <color rgb="FF4B5563"/>
      </right>
      <top style="thin">
        <color rgb="FF4B5563"/>
      </top>
      <bottom style="thin">
        <color rgb="FF4B5563"/>
      </bottom>
      <diagonal/>
    </border>
    <border>
      <left style="thin">
        <color rgb="FFE5E7EB"/>
      </left>
      <right style="thin">
        <color rgb="FFE5E7EB"/>
      </right>
      <top style="thin">
        <color rgb="FFE5E7EB"/>
      </top>
      <bottom style="thin">
        <color rgb="FFE5E7EB"/>
      </bottom>
      <diagonal/>
    </border>
    <border>
      <left style="thin">
        <color rgb="FFD1D5DB"/>
      </left>
      <right/>
      <top style="thin">
        <color rgb="FFD1D5DB"/>
      </top>
      <bottom style="thin">
        <color rgb="FFD1D5DB"/>
      </bottom>
      <diagonal/>
    </border>
    <border>
      <left/>
      <right/>
      <top style="thin">
        <color rgb="FFD1D5DB"/>
      </top>
      <bottom style="thin">
        <color rgb="FFD1D5DB"/>
      </bottom>
      <diagonal/>
    </border>
    <border>
      <left/>
      <right style="thin">
        <color rgb="FFD1D5DB"/>
      </right>
      <top style="thin">
        <color rgb="FFD1D5DB"/>
      </top>
      <bottom style="thin">
        <color rgb="FFD1D5DB"/>
      </bottom>
      <diagonal/>
    </border>
    <border>
      <left style="thin">
        <color rgb="FFD1D5DB"/>
      </left>
      <right/>
      <top style="thin">
        <color rgb="FFD1D5DB"/>
      </top>
      <bottom style="thin">
        <color rgb="FF4B5563"/>
      </bottom>
      <diagonal/>
    </border>
    <border>
      <left/>
      <right/>
      <top style="thin">
        <color rgb="FFD1D5DB"/>
      </top>
      <bottom style="thin">
        <color rgb="FF4B5563"/>
      </bottom>
      <diagonal/>
    </border>
    <border>
      <left/>
      <right style="thin">
        <color rgb="FFD1D5DB"/>
      </right>
      <top style="thin">
        <color rgb="FFD1D5DB"/>
      </top>
      <bottom style="thin">
        <color rgb="FF4B5563"/>
      </bottom>
      <diagonal/>
    </border>
    <border>
      <left style="thin">
        <color rgb="FFBFDBFE"/>
      </left>
      <right style="thin">
        <color rgb="FFBFDBFE"/>
      </right>
      <top style="thin">
        <color rgb="FFBFDBFE"/>
      </top>
      <bottom style="thin">
        <color rgb="FFBFDBFE"/>
      </bottom>
      <diagonal/>
    </border>
    <border>
      <left style="thin">
        <color rgb="FFBBF7D0"/>
      </left>
      <right style="thin">
        <color rgb="FFBBF7D0"/>
      </right>
      <top style="thin">
        <color rgb="FFBBF7D0"/>
      </top>
      <bottom style="thin">
        <color rgb="FFBBF7D0"/>
      </bottom>
      <diagonal/>
    </border>
    <border>
      <left style="thin">
        <color rgb="FFFECACA"/>
      </left>
      <right style="thin">
        <color rgb="FFFECACA"/>
      </right>
      <top style="thin">
        <color rgb="FFFECACA"/>
      </top>
      <bottom style="thin">
        <color rgb="FFFECACA"/>
      </bottom>
      <diagonal/>
    </border>
    <border>
      <left style="thin">
        <color rgb="FFFED7AA"/>
      </left>
      <right style="thin">
        <color rgb="FFFED7AA"/>
      </right>
      <top style="thin">
        <color rgb="FFFED7AA"/>
      </top>
      <bottom style="thin">
        <color rgb="FFFED7AA"/>
      </bottom>
      <diagonal/>
    </border>
  </borders>
  <cellStyleXfs count="10">
    <xf numFmtId="0" fontId="0" fillId="0" borderId="0"/>
    <xf numFmtId="0" fontId="28" fillId="24" borderId="0" xfId="0" applyFont="1" applyFill="1" applyAlignment="1">
      <alignment vertical="center"/>
    </xf>
    <xf numFmtId="0" fontId="41" fillId="32" borderId="0" xfId="0" applyFont="1" applyFill="1" applyAlignment="1">
      <alignment vertical="center"/>
    </xf>
    <xf numFmtId="164" fontId="41" fillId="32" borderId="0" xfId="0" applyNumberFormat="1" applyFont="1" applyFill="1" applyAlignment="1">
      <alignment horizontal="center" vertical="center"/>
    </xf>
    <xf numFmtId="0" fontId="41" fillId="31" borderId="0" xfId="0" applyFont="1" applyFill="1" applyAlignment="1">
      <alignment vertical="center"/>
    </xf>
    <xf numFmtId="166" fontId="2" fillId="2" borderId="1" xfId="0" applyNumberFormat="1" applyFont="1" applyFill="1" applyBorder="1"/>
    <xf numFmtId="0" fontId="57" fillId="31" borderId="0" xfId="0" applyFont="1" applyFill="1" applyAlignment="1">
      <alignment vertical="center"/>
    </xf>
    <xf numFmtId="0" fontId="48" fillId="31" borderId="0" xfId="0" applyFill="1" applyAlignment="1">
      <alignment vertical="center"/>
    </xf>
    <xf numFmtId="0" fontId="42" fillId="31" borderId="0" xfId="0" applyFont="1" applyFill="1" applyAlignment="1">
      <alignment vertical="center"/>
    </xf>
    <xf numFmtId="0" fontId="48" fillId="0" borderId="0" applyNumberFormat="0" applyFill="0" applyBorder="0" applyAlignment="0" applyProtection="0"/>
  </cellStyleXfs>
  <cellXfs count="229">
    <xf numFmtId="0" fontId="0" fillId="0" borderId="0" xfId="0"/>
    <xf numFmtId="0" fontId="2" fillId="2" borderId="1" xfId="1" applyNumberFormat="1" applyFont="1" applyFill="1" applyBorder="1" applyAlignment="1"/>
    <xf numFmtId="164" fontId="2" fillId="2" borderId="1" xfId="1" applyNumberFormat="1" applyFont="1" applyFill="1" applyBorder="1" applyAlignment="1"/>
    <xf numFmtId="164" fontId="1" fillId="2" borderId="1" xfId="1" applyNumberFormat="1" applyFont="1" applyFill="1" applyBorder="1" applyAlignment="1"/>
    <xf numFmtId="166" fontId="2" fillId="2" borderId="1" xfId="1" applyNumberFormat="1" applyFont="1" applyFill="1" applyBorder="1" applyAlignment="1"/>
    <xf numFmtId="166" fontId="1" fillId="2" borderId="1" xfId="1" applyNumberFormat="1" applyFont="1" applyFill="1" applyBorder="1" applyAlignment="1"/>
    <xf numFmtId="4" fontId="2" fillId="2" borderId="1" xfId="1" applyNumberFormat="1" applyFont="1" applyFill="1" applyBorder="1" applyAlignment="1"/>
    <xf numFmtId="4" fontId="1" fillId="2" borderId="1" xfId="1" applyNumberFormat="1" applyFont="1" applyFill="1" applyBorder="1" applyAlignment="1"/>
    <xf numFmtId="167" fontId="3" fillId="3" borderId="2" xfId="2" applyNumberFormat="1" applyFont="1" applyFill="1" applyBorder="1" applyAlignment="1"/>
    <xf numFmtId="166" fontId="3" fillId="3" borderId="2" xfId="2" applyNumberFormat="1" applyFont="1" applyFill="1" applyBorder="1" applyAlignment="1"/>
    <xf numFmtId="0" fontId="4" fillId="3" borderId="2" xfId="2" applyNumberFormat="1" applyFont="1" applyFill="1" applyBorder="1" applyAlignment="1">
      <alignment vertical="center" wrapText="1"/>
    </xf>
    <xf numFmtId="164" fontId="3" fillId="3" borderId="2" xfId="2" applyNumberFormat="1" applyFont="1" applyFill="1" applyBorder="1" applyAlignment="1"/>
    <xf numFmtId="0" fontId="6" fillId="5" borderId="3" xfId="3" applyNumberFormat="1" applyFont="1" applyFill="1" applyBorder="1" applyAlignment="1">
      <alignment horizontal="center" vertical="center" wrapText="1"/>
    </xf>
    <xf numFmtId="164" fontId="5" fillId="4" borderId="3" xfId="3" applyNumberFormat="1" applyFont="1" applyFill="1" applyBorder="1" applyAlignment="1"/>
    <xf numFmtId="4" fontId="5" fillId="4" borderId="3" xfId="3" applyNumberFormat="1" applyFont="1" applyFill="1" applyBorder="1" applyAlignment="1"/>
    <xf numFmtId="0" fontId="9" fillId="7" borderId="4" xfId="4" applyNumberFormat="1" applyFont="1" applyFill="1" applyBorder="1" applyAlignment="1">
      <alignment horizontal="center" vertical="center" wrapText="1"/>
    </xf>
    <xf numFmtId="49" fontId="8" fillId="6" borderId="4" xfId="4" applyNumberFormat="1" applyFont="1" applyFill="1" applyBorder="1" applyAlignment="1"/>
    <xf numFmtId="0" fontId="10" fillId="11" borderId="5" xfId="5" applyNumberFormat="1" applyFont="1" applyFill="1" applyBorder="1" applyAlignment="1">
      <alignment vertical="center"/>
    </xf>
    <xf numFmtId="0" fontId="11" fillId="12" borderId="5" xfId="5" applyNumberFormat="1" applyFont="1" applyFill="1" applyBorder="1" applyAlignment="1">
      <alignment vertical="center" wrapText="1"/>
    </xf>
    <xf numFmtId="0" fontId="10" fillId="11" borderId="5" xfId="5" applyNumberFormat="1" applyFont="1" applyFill="1" applyBorder="1" applyAlignment="1">
      <alignment vertical="center" wrapText="1"/>
    </xf>
    <xf numFmtId="166" fontId="10" fillId="11" borderId="5" xfId="5" applyNumberFormat="1" applyFont="1" applyFill="1" applyBorder="1" applyAlignment="1">
      <alignment vertical="center"/>
    </xf>
    <xf numFmtId="1" fontId="10" fillId="11" borderId="5" xfId="5" applyNumberFormat="1" applyFont="1" applyFill="1" applyBorder="1" applyAlignment="1">
      <alignment horizontal="center" vertical="center"/>
    </xf>
    <xf numFmtId="0" fontId="21" fillId="21" borderId="8" xfId="8" applyNumberFormat="1" applyFont="1" applyFill="1" applyBorder="1" applyAlignment="1">
      <alignment vertical="center"/>
    </xf>
    <xf numFmtId="0" fontId="21" fillId="21" borderId="10" xfId="8" applyNumberFormat="1" applyFont="1" applyFill="1" applyBorder="1" applyAlignment="1">
      <alignment vertical="center" wrapText="1"/>
    </xf>
    <xf numFmtId="164" fontId="21" fillId="21" borderId="10" xfId="8" applyNumberFormat="1" applyFont="1" applyFill="1" applyBorder="1" applyAlignment="1">
      <alignment vertical="center" wrapText="1"/>
    </xf>
    <xf numFmtId="164" fontId="21" fillId="21" borderId="8" xfId="8" applyNumberFormat="1" applyFont="1" applyFill="1" applyBorder="1" applyAlignment="1">
      <alignment vertical="center"/>
    </xf>
    <xf numFmtId="4" fontId="21" fillId="21" borderId="8" xfId="8" applyNumberFormat="1" applyFont="1" applyFill="1" applyBorder="1" applyAlignment="1">
      <alignment vertical="center"/>
    </xf>
    <xf numFmtId="0" fontId="0" fillId="0" borderId="0" xfId="0"/>
    <xf numFmtId="0" fontId="26" fillId="21" borderId="8" xfId="8" applyNumberFormat="1" applyFont="1" applyFill="1" applyBorder="1" applyAlignment="1">
      <alignment vertical="center"/>
    </xf>
    <xf numFmtId="0" fontId="27" fillId="30" borderId="9" xfId="8" applyNumberFormat="1" applyFont="1" applyFill="1" applyBorder="1" applyAlignment="1">
      <alignment horizontal="center" vertical="center" wrapText="1"/>
    </xf>
    <xf numFmtId="0" fontId="28" fillId="21" borderId="10" xfId="8" applyNumberFormat="1" applyFont="1" applyFill="1" applyBorder="1" applyAlignment="1">
      <alignment vertical="center" wrapText="1"/>
    </xf>
    <xf numFmtId="164" fontId="28" fillId="21" borderId="10" xfId="8" applyNumberFormat="1" applyFont="1" applyFill="1" applyBorder="1" applyAlignment="1">
      <alignment vertical="center" wrapText="1"/>
    </xf>
    <xf numFmtId="0" fontId="28" fillId="21" borderId="10" xfId="8" applyNumberFormat="1" applyFont="1" applyFill="1" applyBorder="1" applyAlignment="1">
      <alignment horizontal="center" vertical="center" wrapText="1"/>
    </xf>
    <xf numFmtId="164" fontId="28" fillId="21" borderId="10" xfId="8" applyNumberFormat="1" applyFont="1" applyFill="1" applyBorder="1" applyAlignment="1">
      <alignment horizontal="center" vertical="center" wrapText="1"/>
    </xf>
    <xf numFmtId="49" fontId="0" fillId="0" borderId="0" xfId="0" applyNumberFormat="1"/>
    <xf numFmtId="0" fontId="32" fillId="0" borderId="0" xfId="0" applyFont="1"/>
    <xf numFmtId="0" fontId="27" fillId="7" borderId="4" xfId="4" applyNumberFormat="1" applyFont="1" applyFill="1" applyBorder="1" applyAlignment="1">
      <alignment horizontal="center" vertical="center" wrapText="1"/>
    </xf>
    <xf numFmtId="0" fontId="36" fillId="0" borderId="0" xfId="0" applyFont="1"/>
    <xf numFmtId="0" fontId="36" fillId="0" borderId="0" xfId="0" applyFont="1"/>
    <xf numFmtId="49" fontId="23" fillId="6" borderId="4" xfId="4" applyNumberFormat="1" applyFont="1" applyFill="1" applyBorder="1" applyAlignment="1"/>
    <xf numFmtId="49" fontId="23" fillId="6" borderId="4" xfId="4" applyNumberFormat="1" applyFont="1" applyFill="1" applyBorder="1" applyAlignment="1">
      <alignment wrapText="1"/>
    </xf>
    <xf numFmtId="166" fontId="23" fillId="6" borderId="4" xfId="4" applyNumberFormat="1" applyFont="1" applyFill="1" applyBorder="1" applyAlignment="1"/>
    <xf numFmtId="0" fontId="27" fillId="23" borderId="1" xfId="1" applyNumberFormat="1" applyFont="1" applyFill="1" applyBorder="1" applyAlignment="1">
      <alignment horizontal="center" vertical="center" wrapText="1"/>
    </xf>
    <xf numFmtId="164" fontId="36" fillId="0" borderId="0" xfId="0" applyNumberFormat="1" applyFont="1"/>
    <xf numFmtId="164" fontId="27" fillId="23" borderId="1" xfId="1" applyNumberFormat="1" applyFont="1" applyFill="1" applyBorder="1" applyAlignment="1">
      <alignment horizontal="center" vertical="center" wrapText="1"/>
    </xf>
    <xf numFmtId="164" fontId="0" fillId="0" borderId="0" xfId="0" applyNumberFormat="1"/>
    <xf numFmtId="4" fontId="36" fillId="0" borderId="0" xfId="0" applyNumberFormat="1" applyFont="1"/>
    <xf numFmtId="4" fontId="27" fillId="23" borderId="1" xfId="1" applyNumberFormat="1" applyFont="1" applyFill="1" applyBorder="1" applyAlignment="1">
      <alignment horizontal="center" vertical="center" wrapText="1"/>
    </xf>
    <xf numFmtId="4" fontId="0" fillId="0" borderId="0" xfId="0" applyNumberFormat="1"/>
    <xf numFmtId="166" fontId="36" fillId="0" borderId="0" xfId="0" applyNumberFormat="1" applyFont="1"/>
    <xf numFmtId="166" fontId="27" fillId="23" borderId="1" xfId="1" applyNumberFormat="1" applyFont="1" applyFill="1" applyBorder="1" applyAlignment="1">
      <alignment horizontal="center" vertical="center" wrapText="1"/>
    </xf>
    <xf numFmtId="166" fontId="0" fillId="0" borderId="0" xfId="0" applyNumberFormat="1"/>
    <xf numFmtId="167" fontId="36" fillId="0" borderId="0" xfId="0" applyNumberFormat="1" applyFont="1"/>
    <xf numFmtId="167" fontId="0" fillId="0" borderId="0" xfId="0" applyNumberFormat="1"/>
    <xf numFmtId="0" fontId="27" fillId="23" borderId="2" xfId="2" applyNumberFormat="1" applyFont="1" applyFill="1" applyBorder="1" applyAlignment="1">
      <alignment horizontal="center" vertical="center" wrapText="1"/>
    </xf>
    <xf numFmtId="167" fontId="27" fillId="23" borderId="2" xfId="2" applyNumberFormat="1" applyFont="1" applyFill="1" applyBorder="1" applyAlignment="1">
      <alignment horizontal="center" vertical="center" wrapText="1"/>
    </xf>
    <xf numFmtId="166" fontId="27" fillId="23" borderId="2" xfId="2" applyNumberFormat="1" applyFont="1" applyFill="1" applyBorder="1" applyAlignment="1">
      <alignment horizontal="center" vertical="center" wrapText="1"/>
    </xf>
    <xf numFmtId="0" fontId="41" fillId="31" borderId="0" xfId="0" applyFont="1" applyFill="1" applyAlignment="1">
      <alignment vertical="center"/>
    </xf>
    <xf numFmtId="0" fontId="27" fillId="23" borderId="0" xfId="0" applyFont="1" applyFill="1" applyAlignment="1">
      <alignment horizontal="center" vertical="center" wrapText="1"/>
    </xf>
    <xf numFmtId="0" fontId="41" fillId="31" borderId="0" xfId="0" applyFont="1" applyFill="1" applyAlignment="1">
      <alignment vertical="center" wrapText="1"/>
    </xf>
    <xf numFmtId="4" fontId="41" fillId="31" borderId="0" xfId="0" applyNumberFormat="1" applyFont="1" applyFill="1" applyAlignment="1">
      <alignment vertical="center" wrapText="1"/>
    </xf>
    <xf numFmtId="0" fontId="41" fillId="34" borderId="0" xfId="0" applyFont="1" applyFill="1" applyAlignment="1">
      <alignment vertical="center" wrapText="1"/>
    </xf>
    <xf numFmtId="164" fontId="41" fillId="34" borderId="0" xfId="0" applyNumberFormat="1" applyFont="1" applyFill="1" applyAlignment="1">
      <alignment vertical="center" wrapText="1"/>
    </xf>
    <xf numFmtId="4" fontId="41" fillId="34" borderId="0" xfId="0" applyNumberFormat="1" applyFont="1" applyFill="1" applyAlignment="1">
      <alignment vertical="center" wrapText="1"/>
    </xf>
    <xf numFmtId="165" fontId="41" fillId="34" borderId="0" xfId="0" applyNumberFormat="1" applyFont="1" applyFill="1" applyAlignment="1">
      <alignment vertical="center" wrapText="1"/>
    </xf>
    <xf numFmtId="166" fontId="41" fillId="34" borderId="0" xfId="0" applyNumberFormat="1" applyFont="1" applyFill="1" applyAlignment="1">
      <alignment vertical="center" wrapText="1"/>
    </xf>
    <xf numFmtId="166" fontId="41" fillId="31" borderId="0" xfId="0" applyNumberFormat="1" applyFont="1" applyFill="1" applyAlignment="1">
      <alignment vertical="center" wrapText="1"/>
    </xf>
    <xf numFmtId="167" fontId="23" fillId="3" borderId="2" xfId="2" applyNumberFormat="1" applyFont="1" applyFill="1" applyBorder="1" applyAlignment="1"/>
    <xf numFmtId="166" fontId="23" fillId="3" borderId="2" xfId="2" applyNumberFormat="1" applyFont="1" applyFill="1" applyBorder="1" applyAlignment="1"/>
    <xf numFmtId="164" fontId="4" fillId="3" borderId="2" xfId="2" applyNumberFormat="1" applyFont="1" applyFill="1" applyBorder="1" applyAlignment="1">
      <alignment vertical="center" wrapText="1"/>
    </xf>
    <xf numFmtId="164" fontId="32" fillId="0" borderId="0" xfId="0" applyNumberFormat="1" applyFont="1"/>
    <xf numFmtId="164" fontId="6" fillId="5" borderId="3" xfId="3" applyNumberFormat="1" applyFont="1" applyFill="1" applyBorder="1" applyAlignment="1">
      <alignment horizontal="center" vertical="center" wrapText="1"/>
    </xf>
    <xf numFmtId="4" fontId="32" fillId="0" borderId="0" xfId="0" applyNumberFormat="1" applyFont="1"/>
    <xf numFmtId="4" fontId="6" fillId="5" borderId="3" xfId="3" applyNumberFormat="1" applyFont="1" applyFill="1" applyBorder="1" applyAlignment="1">
      <alignment horizontal="center" vertical="center" wrapText="1"/>
    </xf>
    <xf numFmtId="0" fontId="27" fillId="23" borderId="3" xfId="3" applyNumberFormat="1" applyFont="1" applyFill="1" applyBorder="1" applyAlignment="1">
      <alignment horizontal="center" vertical="center" wrapText="1"/>
    </xf>
    <xf numFmtId="164" fontId="27" fillId="23" borderId="3" xfId="3" applyNumberFormat="1" applyFont="1" applyFill="1" applyBorder="1" applyAlignment="1">
      <alignment horizontal="center" vertical="center" wrapText="1"/>
    </xf>
    <xf numFmtId="4" fontId="27" fillId="23" borderId="3" xfId="3" applyNumberFormat="1" applyFont="1" applyFill="1" applyBorder="1" applyAlignment="1">
      <alignment horizontal="center" vertical="center" wrapText="1"/>
    </xf>
    <xf numFmtId="0" fontId="0" fillId="0" borderId="0" xfId="0" applyNumberFormat="1"/>
    <xf numFmtId="0" fontId="40" fillId="16" borderId="6" xfId="6" applyNumberFormat="1" applyFont="1" applyFill="1" applyBorder="1" applyAlignment="1">
      <alignment vertical="center"/>
    </xf>
    <xf numFmtId="168" fontId="40" fillId="16" borderId="6" xfId="6" applyNumberFormat="1" applyFont="1" applyFill="1" applyBorder="1" applyAlignment="1">
      <alignment vertical="center"/>
    </xf>
    <xf numFmtId="165" fontId="40" fillId="16" borderId="6" xfId="6" applyNumberFormat="1" applyFont="1" applyFill="1" applyBorder="1" applyAlignment="1">
      <alignment vertical="center"/>
    </xf>
    <xf numFmtId="0" fontId="40" fillId="16" borderId="6" xfId="6" applyNumberFormat="1" applyFont="1" applyFill="1" applyBorder="1" applyAlignment="1">
      <alignment vertical="center" wrapText="1"/>
    </xf>
    <xf numFmtId="166" fontId="40" fillId="16" borderId="6" xfId="6" applyNumberFormat="1" applyFont="1" applyFill="1" applyBorder="1" applyAlignment="1">
      <alignment vertical="center"/>
    </xf>
    <xf numFmtId="0" fontId="27" fillId="23" borderId="6" xfId="6" applyNumberFormat="1" applyFont="1" applyFill="1" applyBorder="1" applyAlignment="1">
      <alignment vertical="center" wrapText="1"/>
    </xf>
    <xf numFmtId="168" fontId="27" fillId="23" borderId="6" xfId="6" applyNumberFormat="1" applyFont="1" applyFill="1" applyBorder="1" applyAlignment="1">
      <alignment vertical="center" wrapText="1"/>
    </xf>
    <xf numFmtId="168" fontId="36" fillId="0" borderId="0" xfId="0" applyNumberFormat="1" applyFont="1"/>
    <xf numFmtId="165" fontId="36" fillId="0" borderId="0" xfId="0" applyNumberFormat="1" applyFont="1"/>
    <xf numFmtId="0" fontId="37" fillId="16" borderId="6" xfId="6" applyNumberFormat="1" applyFont="1" applyFill="1" applyBorder="1" applyAlignment="1">
      <alignment horizontal="centerContinuous" vertical="center"/>
    </xf>
    <xf numFmtId="0" fontId="36" fillId="0" borderId="0" xfId="0" applyFont="1" applyAlignment="1">
      <alignment horizontal="centerContinuous"/>
    </xf>
    <xf numFmtId="0" fontId="35" fillId="16" borderId="6" xfId="6" applyNumberFormat="1" applyFont="1" applyFill="1" applyBorder="1" applyAlignment="1">
      <alignment horizontal="centerContinuous" wrapText="1"/>
    </xf>
    <xf numFmtId="0" fontId="39" fillId="16" borderId="6" xfId="6" applyNumberFormat="1" applyFont="1" applyFill="1" applyBorder="1" applyAlignment="1">
      <alignment horizontal="centerContinuous"/>
    </xf>
    <xf numFmtId="0" fontId="35" fillId="26" borderId="6" xfId="6" applyNumberFormat="1" applyFont="1" applyFill="1" applyBorder="1" applyAlignment="1">
      <alignment horizontal="centerContinuous" wrapText="1"/>
    </xf>
    <xf numFmtId="168" fontId="37" fillId="26" borderId="6" xfId="6" applyNumberFormat="1" applyFont="1" applyFill="1" applyBorder="1" applyAlignment="1">
      <alignment horizontal="centerContinuous"/>
    </xf>
    <xf numFmtId="168" fontId="52" fillId="26" borderId="6" xfId="6" applyNumberFormat="1" applyFont="1" applyFill="1" applyBorder="1" applyAlignment="1">
      <alignment horizontal="centerContinuous"/>
    </xf>
    <xf numFmtId="0" fontId="35" fillId="16" borderId="6" xfId="6" applyNumberFormat="1" applyFont="1" applyFill="1" applyBorder="1" applyAlignment="1">
      <alignment horizontal="centerContinuous"/>
    </xf>
    <xf numFmtId="165" fontId="27" fillId="23" borderId="6" xfId="6" applyNumberFormat="1" applyFont="1" applyFill="1" applyBorder="1" applyAlignment="1">
      <alignment vertical="center" wrapText="1"/>
    </xf>
    <xf numFmtId="166" fontId="27" fillId="23" borderId="6" xfId="6" applyNumberFormat="1" applyFont="1" applyFill="1" applyBorder="1" applyAlignment="1">
      <alignment vertical="center" wrapText="1"/>
    </xf>
    <xf numFmtId="0" fontId="36" fillId="0" borderId="0" xfId="0" applyFont="1" applyAlignment="1">
      <alignment wrapText="1"/>
    </xf>
    <xf numFmtId="0" fontId="37" fillId="31" borderId="6" xfId="6" applyNumberFormat="1" applyFont="1" applyFill="1" applyBorder="1" applyAlignment="1">
      <alignment horizontal="left" vertical="center"/>
    </xf>
    <xf numFmtId="0" fontId="40" fillId="31" borderId="0" xfId="0" applyFont="1" applyFill="1" applyAlignment="1">
      <alignment horizontal="left"/>
    </xf>
    <xf numFmtId="0" fontId="37" fillId="31" borderId="6" xfId="6" applyNumberFormat="1" applyFont="1" applyFill="1" applyBorder="1" applyAlignment="1">
      <alignment horizontal="centerContinuous" vertical="center"/>
    </xf>
    <xf numFmtId="0" fontId="51" fillId="31" borderId="6" xfId="6" applyNumberFormat="1" applyFont="1" applyFill="1" applyBorder="1" applyAlignment="1">
      <alignment horizontal="centerContinuous" vertical="center"/>
    </xf>
    <xf numFmtId="0" fontId="40" fillId="31" borderId="0" xfId="0" applyFont="1" applyFill="1" applyAlignment="1">
      <alignment horizontal="centerContinuous"/>
    </xf>
    <xf numFmtId="0" fontId="40" fillId="31" borderId="6" xfId="6" applyNumberFormat="1" applyFont="1" applyFill="1" applyBorder="1" applyAlignment="1">
      <alignment horizontal="centerContinuous"/>
    </xf>
    <xf numFmtId="0" fontId="35" fillId="31" borderId="6" xfId="6" applyNumberFormat="1" applyFont="1" applyFill="1" applyBorder="1" applyAlignment="1">
      <alignment horizontal="centerContinuous"/>
    </xf>
    <xf numFmtId="0" fontId="40" fillId="26" borderId="6" xfId="6" applyNumberFormat="1" applyFont="1" applyFill="1" applyBorder="1" applyAlignment="1">
      <alignment horizontal="centerContinuous"/>
    </xf>
    <xf numFmtId="0" fontId="40" fillId="18" borderId="7" xfId="7" applyNumberFormat="1" applyFont="1" applyFill="1" applyBorder="1" applyAlignment="1">
      <alignment vertical="center"/>
    </xf>
    <xf numFmtId="164" fontId="40" fillId="18" borderId="7" xfId="7" applyNumberFormat="1" applyFont="1" applyFill="1" applyBorder="1" applyAlignment="1">
      <alignment vertical="center"/>
    </xf>
    <xf numFmtId="0" fontId="49" fillId="18" borderId="7" xfId="7" applyNumberFormat="1" applyFont="1" applyFill="1" applyBorder="1" applyAlignment="1">
      <alignment vertical="center"/>
    </xf>
    <xf numFmtId="1" fontId="40" fillId="18" borderId="7" xfId="7" applyNumberFormat="1" applyFont="1" applyFill="1" applyBorder="1" applyAlignment="1">
      <alignment vertical="center"/>
    </xf>
    <xf numFmtId="166" fontId="40" fillId="18" borderId="7" xfId="7" applyNumberFormat="1" applyFont="1" applyFill="1" applyBorder="1" applyAlignment="1">
      <alignment vertical="center"/>
    </xf>
    <xf numFmtId="0" fontId="27" fillId="23" borderId="7" xfId="7" applyNumberFormat="1" applyFont="1" applyFill="1" applyBorder="1" applyAlignment="1">
      <alignment vertical="center" wrapText="1"/>
    </xf>
    <xf numFmtId="49" fontId="40" fillId="18" borderId="7" xfId="7" applyNumberFormat="1" applyFont="1" applyFill="1" applyBorder="1" applyAlignment="1">
      <alignment vertical="center"/>
    </xf>
    <xf numFmtId="0" fontId="53" fillId="31" borderId="0" xfId="0" applyFont="1" applyFill="1" applyAlignment="1">
      <alignment horizontal="left"/>
    </xf>
    <xf numFmtId="0" fontId="37" fillId="31" borderId="7" xfId="7" applyNumberFormat="1" applyFont="1" applyFill="1" applyBorder="1" applyAlignment="1">
      <alignment horizontal="left" vertical="center"/>
    </xf>
    <xf numFmtId="164" fontId="27" fillId="23" borderId="7" xfId="7" applyNumberFormat="1" applyFont="1" applyFill="1" applyBorder="1" applyAlignment="1">
      <alignment vertical="center" wrapText="1"/>
    </xf>
    <xf numFmtId="166" fontId="27" fillId="23" borderId="7" xfId="7" applyNumberFormat="1" applyFont="1" applyFill="1" applyBorder="1" applyAlignment="1">
      <alignment vertical="center" wrapText="1"/>
    </xf>
    <xf numFmtId="0" fontId="56" fillId="23" borderId="7" xfId="7" applyNumberFormat="1" applyFont="1" applyFill="1" applyBorder="1" applyAlignment="1">
      <alignment vertical="center" wrapText="1"/>
    </xf>
    <xf numFmtId="0" fontId="57" fillId="31" borderId="0" xfId="0" applyFont="1" applyFill="1" applyAlignment="1">
      <alignment vertical="center"/>
    </xf>
    <xf numFmtId="14" fontId="0" fillId="0" borderId="0" xfId="0" applyNumberFormat="1"/>
    <xf numFmtId="49" fontId="21" fillId="21" borderId="8" xfId="8" applyNumberFormat="1" applyFont="1" applyFill="1" applyBorder="1" applyAlignment="1">
      <alignment vertical="center"/>
    </xf>
    <xf numFmtId="49" fontId="36" fillId="0" borderId="0" xfId="0" applyNumberFormat="1" applyFont="1"/>
    <xf numFmtId="0" fontId="36" fillId="0" borderId="0" xfId="0" applyNumberFormat="1" applyFont="1"/>
    <xf numFmtId="1" fontId="36" fillId="0" borderId="0" xfId="0" applyNumberFormat="1" applyFont="1"/>
    <xf numFmtId="9" fontId="64" fillId="24" borderId="0" xfId="0" applyNumberFormat="1" applyFont="1" applyFill="1" applyAlignment="1">
      <alignment horizontal="left" vertical="center"/>
    </xf>
    <xf numFmtId="166" fontId="2" fillId="2" borderId="1" xfId="1" applyNumberFormat="1" applyFont="1" applyFill="1" applyBorder="1" applyAlignment="1"/>
    <xf numFmtId="0" fontId="44" fillId="26" borderId="0" xfId="0" applyFont="1" applyFill="1" applyAlignment="1">
      <alignment vertical="center"/>
    </xf>
    <xf numFmtId="1" fontId="58" fillId="26" borderId="0" xfId="0" applyNumberFormat="1" applyFont="1" applyFill="1" applyAlignment="1">
      <alignment horizontal="left" vertical="center"/>
    </xf>
    <xf numFmtId="4" fontId="58" fillId="26" borderId="0" xfId="0" applyNumberFormat="1" applyFont="1" applyFill="1" applyAlignment="1">
      <alignment horizontal="left" vertical="center"/>
    </xf>
    <xf numFmtId="0" fontId="59" fillId="27" borderId="0" xfId="0" applyFont="1" applyFill="1" applyAlignment="1">
      <alignment vertical="center"/>
    </xf>
    <xf numFmtId="1" fontId="60" fillId="27" borderId="0" xfId="0" applyNumberFormat="1" applyFont="1" applyFill="1" applyAlignment="1">
      <alignment horizontal="left" vertical="center"/>
    </xf>
    <xf numFmtId="0" fontId="50" fillId="28" borderId="0" xfId="0" applyFont="1" applyFill="1" applyAlignment="1">
      <alignment vertical="center"/>
    </xf>
    <xf numFmtId="1" fontId="61" fillId="28" borderId="0" xfId="0" applyNumberFormat="1" applyFont="1" applyFill="1" applyAlignment="1">
      <alignment horizontal="left" vertical="center"/>
    </xf>
    <xf numFmtId="0" fontId="62" fillId="29" borderId="0" xfId="0" applyFont="1" applyFill="1" applyAlignment="1">
      <alignment vertical="center"/>
    </xf>
    <xf numFmtId="1" fontId="63" fillId="29" borderId="0" xfId="0" applyNumberFormat="1" applyFont="1" applyFill="1" applyAlignment="1">
      <alignment horizontal="left" vertical="center"/>
    </xf>
    <xf numFmtId="0" fontId="46" fillId="23" borderId="0" xfId="0" applyFont="1" applyFill="1" applyAlignment="1">
      <alignment horizontal="center" vertical="center"/>
    </xf>
    <xf numFmtId="0" fontId="34" fillId="29" borderId="0" xfId="0" applyFont="1" applyFill="1" applyAlignment="1">
      <alignment vertical="center" wrapText="1"/>
    </xf>
    <xf numFmtId="167" fontId="3" fillId="3" borderId="2" xfId="2" applyNumberFormat="1" applyFont="1" applyFill="1" applyBorder="1" applyAlignment="1"/>
    <xf numFmtId="164" fontId="2" fillId="2" borderId="1" xfId="1" applyNumberFormat="1" applyFont="1" applyFill="1" applyBorder="1" applyAlignment="1"/>
    <xf numFmtId="0" fontId="2" fillId="2" borderId="1" xfId="1" applyNumberFormat="1" applyFont="1" applyFill="1" applyBorder="1" applyAlignment="1"/>
    <xf numFmtId="0" fontId="57" fillId="33" borderId="0" xfId="0" applyFont="1" applyFill="1" applyAlignment="1">
      <alignment horizontal="center" vertical="center" wrapText="1"/>
    </xf>
    <xf numFmtId="164" fontId="1" fillId="2" borderId="1" xfId="1" applyNumberFormat="1" applyFont="1" applyFill="1" applyBorder="1" applyAlignment="1"/>
    <xf numFmtId="4" fontId="1" fillId="2" borderId="1" xfId="1" applyNumberFormat="1" applyFont="1" applyFill="1" applyBorder="1" applyAlignment="1"/>
    <xf numFmtId="4" fontId="2" fillId="2" borderId="1" xfId="1" applyNumberFormat="1" applyFont="1" applyFill="1" applyBorder="1" applyAlignment="1"/>
    <xf numFmtId="166" fontId="1" fillId="2" borderId="1" xfId="1" applyNumberFormat="1" applyFont="1" applyFill="1" applyBorder="1" applyAlignment="1"/>
    <xf numFmtId="0" fontId="27" fillId="25" borderId="14" xfId="0" applyFont="1" applyFill="1" applyBorder="1" applyAlignment="1">
      <alignment horizontal="center" vertical="center" wrapText="1"/>
    </xf>
    <xf numFmtId="0" fontId="27" fillId="25" borderId="15" xfId="0" applyFont="1" applyFill="1" applyBorder="1" applyAlignment="1">
      <alignment horizontal="center" vertical="center" wrapText="1"/>
    </xf>
    <xf numFmtId="0" fontId="27" fillId="25" borderId="16" xfId="0" applyFont="1" applyFill="1" applyBorder="1" applyAlignment="1">
      <alignment horizontal="center" vertical="center" wrapText="1"/>
    </xf>
    <xf numFmtId="0" fontId="31" fillId="26" borderId="17" xfId="0" applyFont="1" applyFill="1" applyBorder="1" applyAlignment="1">
      <alignment horizontal="center" vertical="center" wrapText="1"/>
    </xf>
    <xf numFmtId="0" fontId="31" fillId="26" borderId="17" xfId="0" applyFont="1" applyFill="1" applyBorder="1" applyAlignment="1">
      <alignment horizontal="center" vertical="center"/>
    </xf>
    <xf numFmtId="0" fontId="30" fillId="27" borderId="18" xfId="8" applyNumberFormat="1" applyFont="1" applyFill="1" applyBorder="1" applyAlignment="1">
      <alignment horizontal="center" vertical="center" wrapText="1"/>
    </xf>
    <xf numFmtId="0" fontId="30" fillId="28" borderId="19" xfId="8" applyNumberFormat="1" applyFont="1" applyFill="1" applyBorder="1" applyAlignment="1">
      <alignment horizontal="center" vertical="center" wrapText="1"/>
    </xf>
    <xf numFmtId="0" fontId="30" fillId="29" borderId="20" xfId="8" applyNumberFormat="1" applyFont="1" applyFill="1" applyBorder="1" applyAlignment="1">
      <alignment horizontal="center" vertical="center" wrapText="1"/>
    </xf>
    <xf numFmtId="0" fontId="24" fillId="22" borderId="8" xfId="8" applyNumberFormat="1" applyFont="1" applyFill="1" applyBorder="1" applyAlignment="1">
      <alignment horizontal="left" vertical="center"/>
    </xf>
    <xf numFmtId="0" fontId="27" fillId="25" borderId="11" xfId="1" applyNumberFormat="1" applyFont="1" applyFill="1" applyBorder="1" applyAlignment="1">
      <alignment horizontal="center" vertical="center" wrapText="1"/>
    </xf>
    <xf numFmtId="0" fontId="27" fillId="25" borderId="12" xfId="1" applyNumberFormat="1" applyFont="1" applyFill="1" applyBorder="1" applyAlignment="1">
      <alignment horizontal="center" vertical="center" wrapText="1"/>
    </xf>
    <xf numFmtId="0" fontId="27" fillId="25" borderId="13" xfId="1" applyNumberFormat="1" applyFont="1" applyFill="1" applyBorder="1" applyAlignment="1">
      <alignment horizontal="center" vertical="center" wrapText="1"/>
    </xf>
    <xf numFmtId="166" fontId="22" fillId="23" borderId="1" xfId="1" applyNumberFormat="1" applyFont="1" applyFill="1" applyBorder="1" applyAlignment="1">
      <alignment horizontal="left" vertical="center"/>
    </xf>
    <xf numFmtId="164" fontId="24" fillId="24" borderId="1" xfId="1" applyNumberFormat="1" applyFont="1" applyFill="1" applyBorder="1" applyAlignment="1">
      <alignment horizontal="left" vertical="center"/>
    </xf>
    <xf numFmtId="164" fontId="25" fillId="2" borderId="1" xfId="1" applyNumberFormat="1" applyFont="1" applyFill="1" applyBorder="1" applyAlignment="1">
      <alignment horizontal="left" vertical="center"/>
    </xf>
    <xf numFmtId="164" fontId="25" fillId="2" borderId="8" xfId="1" applyNumberFormat="1" applyFont="1" applyFill="1" applyBorder="1" applyAlignment="1">
      <alignment horizontal="left" vertical="center"/>
    </xf>
    <xf numFmtId="0" fontId="42" fillId="31" borderId="0" xfId="0" applyFont="1" applyFill="1" applyAlignment="1">
      <alignment vertical="center" wrapText="1"/>
    </xf>
    <xf numFmtId="0" fontId="43" fillId="26" borderId="0" xfId="0" applyFont="1" applyFill="1" applyAlignment="1">
      <alignment vertical="center" wrapText="1"/>
    </xf>
    <xf numFmtId="0" fontId="29" fillId="31" borderId="0" xfId="0" applyFont="1" applyFill="1" applyAlignment="1">
      <alignment vertical="center" wrapText="1"/>
    </xf>
    <xf numFmtId="0" fontId="44" fillId="26" borderId="0" xfId="0" applyFont="1" applyFill="1" applyAlignment="1">
      <alignment vertical="center" wrapText="1"/>
    </xf>
    <xf numFmtId="1" fontId="45" fillId="26" borderId="0" xfId="0" applyNumberFormat="1" applyFont="1" applyFill="1" applyAlignment="1">
      <alignment horizontal="center" vertical="center" wrapText="1"/>
    </xf>
    <xf numFmtId="0" fontId="41" fillId="32" borderId="0" xfId="0" applyFont="1" applyFill="1" applyAlignment="1">
      <alignment vertical="center" wrapText="1"/>
    </xf>
    <xf numFmtId="0" fontId="46" fillId="23" borderId="0" xfId="0" applyFont="1" applyFill="1" applyAlignment="1">
      <alignment horizontal="center" vertical="center" wrapText="1"/>
    </xf>
    <xf numFmtId="4" fontId="41" fillId="33" borderId="0" xfId="0" applyNumberFormat="1" applyFont="1" applyFill="1" applyAlignment="1">
      <alignment vertical="center" wrapText="1"/>
    </xf>
    <xf numFmtId="164" fontId="41" fillId="33" borderId="0" xfId="0" applyNumberFormat="1" applyFont="1" applyFill="1" applyAlignment="1">
      <alignment vertical="center" wrapText="1"/>
    </xf>
    <xf numFmtId="4" fontId="41" fillId="31" borderId="0" xfId="0" applyNumberFormat="1" applyFont="1" applyFill="1" applyAlignment="1">
      <alignment vertical="center" wrapText="1"/>
    </xf>
    <xf numFmtId="164" fontId="41" fillId="31" borderId="0" xfId="0" applyNumberFormat="1" applyFont="1" applyFill="1" applyAlignment="1">
      <alignment vertical="center" wrapText="1"/>
    </xf>
    <xf numFmtId="0" fontId="47" fillId="31" borderId="0" xfId="0" applyFont="1" applyFill="1" applyAlignment="1">
      <alignment vertical="center" wrapText="1"/>
    </xf>
    <xf numFmtId="0" fontId="40" fillId="31" borderId="0" xfId="0" applyFont="1" applyFill="1" applyAlignment="1">
      <alignment vertical="center"/>
    </xf>
    <xf numFmtId="0" fontId="33" fillId="31" borderId="0" xfId="0" applyFont="1" applyFill="1" applyAlignment="1">
      <alignment vertical="center"/>
    </xf>
    <xf numFmtId="0" fontId="40" fillId="26" borderId="0" xfId="0" applyFont="1" applyFill="1" applyAlignment="1">
      <alignment vertical="center"/>
    </xf>
    <xf numFmtId="0" fontId="33" fillId="26" borderId="0" xfId="0" applyFont="1" applyFill="1" applyAlignment="1">
      <alignment vertical="center"/>
    </xf>
    <xf numFmtId="0" fontId="40" fillId="27" borderId="0" xfId="0" applyFont="1" applyFill="1" applyAlignment="1">
      <alignment vertical="center"/>
    </xf>
    <xf numFmtId="0" fontId="33" fillId="27" borderId="0" xfId="0" applyFont="1" applyFill="1" applyAlignment="1">
      <alignment vertical="center"/>
    </xf>
    <xf numFmtId="0" fontId="40" fillId="28" borderId="0" xfId="0" applyFont="1" applyFill="1" applyAlignment="1">
      <alignment vertical="center"/>
    </xf>
    <xf numFmtId="0" fontId="33" fillId="28" borderId="0" xfId="0" applyFont="1" applyFill="1" applyAlignment="1">
      <alignment vertical="center"/>
    </xf>
    <xf numFmtId="0" fontId="40" fillId="29" borderId="0" xfId="0" applyFont="1" applyFill="1" applyAlignment="1">
      <alignment vertical="center"/>
    </xf>
    <xf numFmtId="4" fontId="33" fillId="29" borderId="0" xfId="0" applyNumberFormat="1" applyFont="1" applyFill="1" applyAlignment="1">
      <alignment vertical="center"/>
    </xf>
    <xf numFmtId="0" fontId="33" fillId="29" borderId="0" xfId="0" applyFont="1" applyFill="1" applyAlignment="1">
      <alignment vertical="center"/>
    </xf>
    <xf numFmtId="0" fontId="33" fillId="0" borderId="0" xfId="0" applyFont="1" applyAlignment="1">
      <alignment vertical="center"/>
    </xf>
    <xf numFmtId="0" fontId="40" fillId="0" borderId="0" xfId="0" applyFont="1" applyAlignment="1">
      <alignment vertical="center"/>
    </xf>
    <xf numFmtId="167" fontId="40" fillId="29" borderId="0" xfId="0" applyNumberFormat="1" applyFont="1" applyFill="1" applyAlignment="1">
      <alignment vertical="center"/>
    </xf>
    <xf numFmtId="167" fontId="33" fillId="29" borderId="0" xfId="0" applyNumberFormat="1" applyFont="1" applyFill="1" applyAlignment="1">
      <alignment vertical="center"/>
    </xf>
    <xf numFmtId="49" fontId="33" fillId="0" borderId="0" xfId="0" applyNumberFormat="1" applyFont="1" applyAlignment="1">
      <alignment vertical="center"/>
    </xf>
    <xf numFmtId="49" fontId="40" fillId="0" borderId="0" xfId="0" applyNumberFormat="1" applyFont="1" applyAlignment="1">
      <alignment vertical="center"/>
    </xf>
    <xf numFmtId="49" fontId="40" fillId="26" borderId="0" xfId="0" applyNumberFormat="1" applyFont="1" applyFill="1" applyAlignment="1">
      <alignment vertical="center"/>
    </xf>
    <xf numFmtId="4" fontId="33" fillId="26" borderId="0" xfId="0" applyNumberFormat="1" applyFont="1" applyFill="1" applyAlignment="1">
      <alignment vertical="center"/>
    </xf>
    <xf numFmtId="49" fontId="40" fillId="29" borderId="0" xfId="0" applyNumberFormat="1" applyFont="1" applyFill="1" applyAlignment="1">
      <alignment vertical="center"/>
    </xf>
    <xf numFmtId="4" fontId="40" fillId="28" borderId="0" xfId="0" applyNumberFormat="1" applyFont="1" applyFill="1" applyAlignment="1">
      <alignment vertical="center"/>
    </xf>
    <xf numFmtId="4" fontId="33" fillId="28" borderId="0" xfId="0" applyNumberFormat="1" applyFont="1" applyFill="1" applyAlignment="1">
      <alignment vertical="center"/>
    </xf>
    <xf numFmtId="49" fontId="40" fillId="27" borderId="0" xfId="0" applyNumberFormat="1" applyFont="1" applyFill="1" applyAlignment="1">
      <alignment vertical="center"/>
    </xf>
    <xf numFmtId="4" fontId="33" fillId="27" borderId="0" xfId="0" applyNumberFormat="1" applyFont="1" applyFill="1" applyAlignment="1">
      <alignment vertical="center"/>
    </xf>
    <xf numFmtId="0" fontId="35" fillId="9" borderId="4" xfId="4" applyNumberFormat="1" applyFont="1" applyFill="1" applyBorder="1" applyAlignment="1"/>
    <xf numFmtId="1" fontId="37" fillId="9" borderId="4" xfId="4" applyNumberFormat="1" applyFont="1" applyFill="1" applyBorder="1" applyAlignment="1">
      <alignment horizontal="right" vertical="center"/>
    </xf>
    <xf numFmtId="0" fontId="38" fillId="6" borderId="4" xfId="4" applyNumberFormat="1" applyFont="1" applyFill="1" applyBorder="1" applyAlignment="1"/>
    <xf numFmtId="0" fontId="36" fillId="0" borderId="0" xfId="0" applyFont="1"/>
    <xf numFmtId="0" fontId="35" fillId="10" borderId="4" xfId="4" applyNumberFormat="1" applyFont="1" applyFill="1" applyBorder="1" applyAlignment="1"/>
    <xf numFmtId="1" fontId="37" fillId="10" borderId="4" xfId="4" applyNumberFormat="1" applyFont="1" applyFill="1" applyBorder="1" applyAlignment="1">
      <alignment horizontal="right" vertical="center"/>
    </xf>
    <xf numFmtId="0" fontId="27" fillId="8" borderId="4" xfId="4" applyNumberFormat="1" applyFont="1" applyFill="1" applyBorder="1" applyAlignment="1">
      <alignment horizontal="center" vertical="center"/>
    </xf>
    <xf numFmtId="0" fontId="37" fillId="6" borderId="4" xfId="4" applyNumberFormat="1" applyFont="1" applyFill="1" applyBorder="1" applyAlignment="1">
      <alignment vertical="center"/>
    </xf>
    <xf numFmtId="0" fontId="39" fillId="6" borderId="4" xfId="4" applyNumberFormat="1" applyFont="1" applyFill="1" applyBorder="1" applyAlignment="1"/>
    <xf numFmtId="0" fontId="13" fillId="11" borderId="5" xfId="5" applyNumberFormat="1" applyFont="1" applyFill="1" applyBorder="1" applyAlignment="1"/>
    <xf numFmtId="0" fontId="0" fillId="0" borderId="0" xfId="0"/>
    <xf numFmtId="0" fontId="11" fillId="13" borderId="5" xfId="5" applyNumberFormat="1" applyFont="1" applyFill="1" applyBorder="1" applyAlignment="1">
      <alignment horizontal="center"/>
    </xf>
    <xf numFmtId="0" fontId="15" fillId="14" borderId="5" xfId="5" applyNumberFormat="1" applyFont="1" applyFill="1" applyBorder="1" applyAlignment="1"/>
    <xf numFmtId="1" fontId="12" fillId="14" borderId="5" xfId="5" applyNumberFormat="1" applyFont="1" applyFill="1" applyBorder="1" applyAlignment="1">
      <alignment horizontal="right"/>
    </xf>
    <xf numFmtId="0" fontId="15" fillId="15" borderId="5" xfId="5" applyNumberFormat="1" applyFont="1" applyFill="1" applyBorder="1" applyAlignment="1"/>
    <xf numFmtId="1" fontId="12" fillId="15" borderId="5" xfId="5" applyNumberFormat="1" applyFont="1" applyFill="1" applyBorder="1" applyAlignment="1">
      <alignment horizontal="right"/>
    </xf>
    <xf numFmtId="0" fontId="12" fillId="11" borderId="5" xfId="5" applyNumberFormat="1" applyFont="1" applyFill="1" applyBorder="1" applyAlignment="1"/>
    <xf numFmtId="0" fontId="14" fillId="11" borderId="5" xfId="5" applyNumberFormat="1" applyFont="1" applyFill="1" applyBorder="1" applyAlignment="1"/>
    <xf numFmtId="0" fontId="55" fillId="31" borderId="7" xfId="7" applyNumberFormat="1" applyFont="1" applyFill="1" applyBorder="1" applyAlignment="1">
      <alignment horizontal="left"/>
    </xf>
    <xf numFmtId="0" fontId="54" fillId="31" borderId="7" xfId="7" applyNumberFormat="1" applyFont="1" applyFill="1" applyBorder="1" applyAlignment="1">
      <alignment horizontal="left"/>
    </xf>
    <xf numFmtId="0" fontId="40" fillId="26" borderId="7" xfId="7" applyNumberFormat="1" applyFont="1" applyFill="1" applyBorder="1" applyAlignment="1">
      <alignment horizontal="left"/>
    </xf>
    <xf numFmtId="1" fontId="51" fillId="26" borderId="7" xfId="7" applyNumberFormat="1" applyFont="1" applyFill="1" applyBorder="1" applyAlignment="1">
      <alignment horizontal="center"/>
    </xf>
    <xf numFmtId="0" fontId="51" fillId="31" borderId="7" xfId="7" applyNumberFormat="1" applyFont="1" applyFill="1" applyBorder="1" applyAlignment="1">
      <alignment horizontal="left" vertical="center"/>
    </xf>
    <xf numFmtId="0" fontId="53" fillId="31" borderId="0" xfId="0" applyFont="1" applyFill="1" applyAlignment="1">
      <alignment horizontal="left"/>
    </xf>
    <xf numFmtId="0" fontId="7" fillId="31" borderId="7" xfId="7" applyNumberFormat="1" applyFont="1" applyFill="1" applyBorder="1" applyAlignment="1">
      <alignment horizontal="left"/>
    </xf>
    <xf numFmtId="0" fontId="27" fillId="17" borderId="6" xfId="6" applyNumberFormat="1" applyFont="1" applyFill="1" applyBorder="1" applyAlignment="1">
      <alignment horizontal="center" vertical="center"/>
    </xf>
    <xf numFmtId="0" fontId="19" fillId="20" borderId="7" xfId="7" applyNumberFormat="1" applyFont="1" applyFill="1" applyBorder="1" applyAlignment="1"/>
    <xf numFmtId="0" fontId="17" fillId="18" borderId="7" xfId="7" applyNumberFormat="1" applyFont="1" applyFill="1" applyBorder="1" applyAlignment="1">
      <alignment vertical="center"/>
    </xf>
    <xf numFmtId="0" fontId="18" fillId="18" borderId="7" xfId="7" applyNumberFormat="1" applyFont="1" applyFill="1" applyBorder="1" applyAlignment="1">
      <alignment wrapText="1"/>
    </xf>
    <xf numFmtId="0" fontId="16" fillId="19" borderId="7" xfId="7" applyNumberFormat="1" applyFont="1" applyFill="1" applyBorder="1" applyAlignment="1">
      <alignment horizontal="center" vertical="center"/>
    </xf>
    <xf numFmtId="1" fontId="17" fillId="20" borderId="7" xfId="7" applyNumberFormat="1" applyFont="1" applyFill="1" applyBorder="1" applyAlignment="1">
      <alignment horizontal="center"/>
    </xf>
    <xf numFmtId="0" fontId="20" fillId="18" borderId="7" xfId="7" applyNumberFormat="1" applyFont="1" applyFill="1" applyBorder="1" applyAlignment="1"/>
  </cellXfs>
  <cellStyles count="2">
    <cellStyle name="Hyperlink" xfId="9" builtinId="8"/>
    <cellStyle name="Normal" xfId="0" builtinId="0"/>
  </cellStyles>
  <dxfs count="380"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rgb="FFFFFFFF"/>
        <name val="Aptos"/>
        <family val="2"/>
        <scheme val="none"/>
      </font>
      <fill>
        <patternFill patternType="solid">
          <fgColor indexed="64"/>
          <bgColor rgb="FF1F2937"/>
        </patternFill>
      </fill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" formatCode="0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" formatCode="0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" formatCode="0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" formatCode="0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" formatCode="0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30" formatCode="@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30" formatCode="@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30" formatCode="@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30" formatCode="@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30" formatCode="@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30" formatCode="@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30" formatCode="@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30" formatCode="@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30" formatCode="@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30" formatCode="@"/>
    </dxf>
    <dxf>
      <font>
        <strike val="0"/>
        <outline val="0"/>
        <shadow val="0"/>
        <u val="none"/>
        <vertAlign val="baseline"/>
        <sz val="10"/>
        <color rgb="FFFFFFFF"/>
        <name val="Aptos"/>
        <family val="2"/>
        <scheme val="none"/>
      </font>
      <fill>
        <patternFill patternType="solid">
          <fgColor indexed="64"/>
          <bgColor rgb="FF1F2937"/>
        </patternFill>
      </fill>
      <alignment horizontal="general" vertical="center" textRotation="0" wrapText="1" indent="0" justifyLastLine="0" shrinkToFit="0" readingOrder="0"/>
    </dxf>
    <dxf>
      <fill>
        <patternFill patternType="solid">
          <bgColor rgb="FFF0FDF4"/>
        </patternFill>
      </fill>
    </dxf>
    <dxf>
      <fill>
        <patternFill patternType="solid">
          <bgColor rgb="FFFEF2F2"/>
        </patternFill>
      </fill>
    </dxf>
    <dxf>
      <fill>
        <patternFill patternType="solid">
          <bgColor rgb="FFFFF7ED"/>
        </patternFill>
      </fill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30" formatCode="@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30" formatCode="@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30" formatCode="@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30" formatCode="@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30" formatCode="@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30" formatCode="@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30" formatCode="@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30" formatCode="@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30" formatCode="@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30" formatCode="@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30" formatCode="@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30" formatCode="@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30" formatCode="@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30" formatCode="@"/>
    </dxf>
    <dxf>
      <font>
        <strike val="0"/>
        <outline val="0"/>
        <shadow val="0"/>
        <u val="none"/>
        <vertAlign val="baseline"/>
        <sz val="10"/>
        <color rgb="FFFFFFFF"/>
        <name val="Aptos"/>
        <family val="2"/>
        <scheme val="none"/>
      </font>
      <fill>
        <patternFill patternType="solid">
          <fgColor indexed="64"/>
          <bgColor rgb="FF1F2937"/>
        </patternFill>
      </fill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" formatCode="0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rgb="FFFFFFFF"/>
        <name val="Aptos"/>
        <family val="2"/>
        <scheme val="none"/>
      </font>
      <fill>
        <patternFill patternType="solid">
          <fgColor indexed="64"/>
          <bgColor rgb="FF1F2937"/>
        </patternFill>
      </fill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" formatCode="0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66" formatCode="dd\.mm\.yyyy\ hh:mm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66" formatCode="dd\.mm\.yyyy\ hh:mm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66" formatCode="dd\.mm\.yyyy\ hh:mm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" formatCode="0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64" formatCode="dd\.mm\.yyyy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rgb="FF2563EB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64" formatCode="dd\.mm\.yyyy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rgb="FFFFFFFF"/>
        <name val="Aptos"/>
        <family val="2"/>
        <scheme val="none"/>
      </font>
      <fill>
        <patternFill patternType="solid">
          <fgColor indexed="64"/>
          <bgColor rgb="FF1F2937"/>
        </patternFill>
      </fill>
      <alignment horizontal="general" vertical="center" textRotation="0" wrapText="1" indent="0" justifyLastLine="0" shrinkToFit="0" readingOrder="0"/>
    </dxf>
    <dxf>
      <fill>
        <patternFill patternType="solid">
          <bgColor rgb="FFF1F5F9"/>
        </patternFill>
      </fill>
    </dxf>
    <dxf>
      <fill>
        <patternFill patternType="solid">
          <bgColor rgb="FFF0FDF4"/>
        </patternFill>
      </fill>
    </dxf>
    <dxf>
      <fill>
        <patternFill patternType="solid">
          <bgColor rgb="FFFFF7ED"/>
        </patternFill>
      </fill>
    </dxf>
    <dxf>
      <fill>
        <patternFill patternType="solid">
          <bgColor rgb="FFFEF2F2"/>
        </patternFill>
      </fill>
    </dxf>
    <dxf>
      <fill>
        <patternFill patternType="solid">
          <bgColor rgb="FFFEF2F2"/>
        </patternFill>
      </fill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rgb="FFFFFFFF"/>
        <name val="Aptos"/>
        <family val="2"/>
        <scheme val="none"/>
      </font>
      <fill>
        <patternFill patternType="solid">
          <fgColor indexed="64"/>
          <bgColor rgb="FF1F2937"/>
        </patternFill>
      </fill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rgb="FFFFFFFF"/>
        <name val="Aptos"/>
        <family val="2"/>
        <scheme val="none"/>
      </font>
      <fill>
        <patternFill patternType="solid">
          <fgColor indexed="64"/>
          <bgColor rgb="FF1F2937"/>
        </patternFill>
      </fill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rgb="FFFFFFFF"/>
        <name val="Aptos"/>
        <family val="2"/>
        <scheme val="none"/>
      </font>
      <fill>
        <patternFill patternType="solid">
          <fgColor indexed="64"/>
          <bgColor rgb="FF1F2937"/>
        </patternFill>
      </fill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68" formatCode="#,##0.00;\(#,##0.00\);&quot;-&quot;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68" formatCode="#,##0.00;\(#,##0.00\);&quot;-&quot;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68" formatCode="#,##0.00;\(#,##0.00\);&quot;-&quot;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68" formatCode="#,##0.00;\(#,##0.00\);&quot;-&quot;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68" formatCode="#,##0.00;\(#,##0.00\);&quot;-&quot;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68" formatCode="#,##0.00;\(#,##0.00\);&quot;-&quot;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68" formatCode="#,##0.00;\(#,##0.00\);&quot;-&quot;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68" formatCode="#,##0.00;\(#,##0.00\);&quot;-&quot;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68" formatCode="#,##0.00;\(#,##0.00\);&quot;-&quot;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rgb="FFFFFFFF"/>
        <name val="Aptos"/>
        <family val="2"/>
        <scheme val="none"/>
      </font>
      <fill>
        <patternFill patternType="solid">
          <fgColor indexed="64"/>
          <bgColor rgb="FF1F2937"/>
        </patternFill>
      </fill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68" formatCode="#,##0.00;\(#,##0.00\);&quot;-&quot;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68" formatCode="#,##0.00;\(#,##0.00\);&quot;-&quot;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68" formatCode="#,##0.00;\(#,##0.00\);&quot;-&quot;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68" formatCode="#,##0.00;\(#,##0.00\);&quot;-&quot;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68" formatCode="#,##0.00;\(#,##0.00\);&quot;-&quot;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68" formatCode="#,##0.00;\(#,##0.00\);&quot;-&quot;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rgb="FFFFFFFF"/>
        <name val="Aptos"/>
        <family val="2"/>
        <scheme val="none"/>
      </font>
      <fill>
        <patternFill patternType="solid">
          <fgColor indexed="64"/>
          <bgColor rgb="FF1F2937"/>
        </patternFill>
      </fill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68" formatCode="#,##0.00;\(#,##0.00\);&quot;-&quot;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68" formatCode="#,##0.00;\(#,##0.00\);&quot;-&quot;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68" formatCode="#,##0.00;\(#,##0.00\);&quot;-&quot;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68" formatCode="#,##0.00;\(#,##0.00\);&quot;-&quot;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rgb="FFFFFFFF"/>
        <name val="Aptos"/>
        <family val="2"/>
        <scheme val="none"/>
      </font>
      <fill>
        <patternFill patternType="solid">
          <fgColor indexed="64"/>
          <bgColor rgb="FF1F2937"/>
        </patternFill>
      </fill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68" formatCode="#,##0.00;\(#,##0.00\);&quot;-&quot;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rgb="FFFFFFFF"/>
        <name val="Aptos"/>
        <family val="2"/>
        <scheme val="none"/>
      </font>
      <fill>
        <patternFill patternType="solid">
          <fgColor indexed="64"/>
          <bgColor rgb="FF1F2937"/>
        </patternFill>
      </fill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66" formatCode="dd\.mm\.yyyy\ hh:mm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68" formatCode="#,##0.00;\(#,##0.00\);&quot;-&quot;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68" formatCode="#,##0.00;\(#,##0.00\);&quot;-&quot;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68" formatCode="#,##0.00;\(#,##0.00\);&quot;-&quot;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68" formatCode="#,##0.00;\(#,##0.00\);&quot;-&quot;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68" formatCode="#,##0.00;\(#,##0.00\);&quot;-&quot;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68" formatCode="#,##0.00;\(#,##0.00\);&quot;-&quot;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68" formatCode="#,##0.00;\(#,##0.00\);&quot;-&quot;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68" formatCode="#,##0.00;\(#,##0.00\);&quot;-&quot;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68" formatCode="#,##0.00;\(#,##0.00\);&quot;-&quot;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0" formatCode="General"/>
      <alignment horizontal="general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65" formatCode="0.0%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68" formatCode="#,##0.00;\(#,##0.00\);&quot;-&quot;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68" formatCode="#,##0.00;\(#,##0.00\);&quot;-&quot;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68" formatCode="#,##0.00;\(#,##0.00\);&quot;-&quot;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68" formatCode="#,##0.00;\(#,##0.00\);&quot;-&quot;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68" formatCode="#,##0.00;\(#,##0.00\);&quot;-&quot;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rgb="FFFFFFFF"/>
        <name val="Aptos"/>
        <family val="2"/>
        <scheme val="none"/>
      </font>
      <fill>
        <patternFill patternType="solid">
          <fgColor indexed="64"/>
          <bgColor rgb="FF1F2937"/>
        </patternFill>
      </fill>
      <alignment horizontal="general" vertical="center" textRotation="0" wrapText="1" indent="0" justifyLastLine="0" shrinkToFit="0" readingOrder="0"/>
    </dxf>
    <dxf>
      <fill>
        <patternFill patternType="solid">
          <bgColor rgb="FFFEF2F2"/>
        </patternFill>
      </fill>
    </dxf>
    <dxf>
      <fill>
        <patternFill patternType="solid">
          <bgColor rgb="FFFFF7ED"/>
        </patternFill>
      </fill>
    </dxf>
    <dxf>
      <fill>
        <patternFill patternType="solid">
          <bgColor rgb="FFFFF7ED"/>
        </patternFill>
      </fill>
    </dxf>
    <dxf>
      <fill>
        <patternFill patternType="solid">
          <bgColor rgb="FFFEF2F2"/>
        </patternFill>
      </fill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ill>
        <patternFill patternType="solid">
          <bgColor rgb="FFF0FDF4"/>
        </patternFill>
      </fill>
    </dxf>
    <dxf>
      <fill>
        <patternFill patternType="solid">
          <bgColor rgb="FFF1F5F9"/>
        </patternFill>
      </fill>
    </dxf>
    <dxf>
      <fill>
        <patternFill patternType="solid">
          <bgColor rgb="FFFFF7ED"/>
        </patternFill>
      </fill>
    </dxf>
    <dxf>
      <numFmt numFmtId="4" formatCode="#,##0.00"/>
    </dxf>
    <dxf>
      <numFmt numFmtId="164" formatCode="dd\.mm\.yyyy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0" formatCode="General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164" formatCode="dd\.mm\.yyyy"/>
    </dxf>
    <dxf>
      <numFmt numFmtId="164" formatCode="dd\.mm\.yyyy"/>
    </dxf>
    <dxf>
      <font>
        <b/>
        <i val="0"/>
        <strike val="0"/>
        <outline val="0"/>
        <shadow val="0"/>
        <u val="none"/>
        <vertAlign val="baseline"/>
        <sz val="10"/>
        <color rgb="FFFFFFFF"/>
        <name val="Aptos"/>
        <family val="2"/>
        <scheme val="none"/>
      </font>
      <fill>
        <patternFill patternType="solid">
          <fgColor indexed="64"/>
          <bgColor rgb="FF1F2937"/>
        </patternFill>
      </fill>
      <alignment horizontal="center" vertical="center" textRotation="0" wrapText="1" indent="0" justifyLastLine="0" shrinkToFit="0" readingOrder="0"/>
    </dxf>
    <dxf>
      <fill>
        <patternFill>
          <bgColor rgb="FFFECACA"/>
        </patternFill>
      </fill>
    </dxf>
    <dxf>
      <fill>
        <patternFill>
          <bgColor rgb="FFF0FDF4"/>
        </patternFill>
      </fill>
    </dxf>
    <dxf>
      <fill>
        <patternFill>
          <bgColor rgb="FFFFF7ED"/>
        </patternFill>
      </fill>
    </dxf>
    <dxf>
      <fill>
        <patternFill>
          <bgColor rgb="FFFEF2F2"/>
        </patternFill>
      </fill>
    </dxf>
    <dxf>
      <numFmt numFmtId="164" formatCode="dd\.mm\.yyyy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66" formatCode="dd\.mm\.yyyy\ hh:mm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67" formatCode="#,##0.######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67" formatCode="#,##0.######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67" formatCode="#,##0.######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67" formatCode="#,##0.######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b/>
        <i val="0"/>
        <strike val="0"/>
        <outline val="0"/>
        <shadow val="0"/>
        <u val="none"/>
        <vertAlign val="baseline"/>
        <sz val="10"/>
        <color rgb="FFFFFFFF"/>
        <name val="Aptos"/>
        <family val="2"/>
        <scheme val="none"/>
      </font>
      <fill>
        <patternFill patternType="solid">
          <fgColor indexed="64"/>
          <bgColor rgb="FF1F2937"/>
        </patternFill>
      </fill>
      <alignment horizontal="center" vertical="center" textRotation="0" wrapText="1" indent="0" justifyLastLine="0" shrinkToFit="0" readingOrder="0"/>
    </dxf>
    <dxf>
      <fill>
        <patternFill>
          <bgColor rgb="FFF1F5F9"/>
        </patternFill>
      </fill>
    </dxf>
    <dxf>
      <fill>
        <patternFill>
          <bgColor rgb="FFFEF2F2"/>
        </patternFill>
      </fill>
    </dxf>
    <dxf>
      <fill>
        <patternFill>
          <bgColor rgb="FFFFF7ED"/>
        </patternFill>
      </fill>
    </dxf>
    <dxf>
      <numFmt numFmtId="164" formatCode="dd\.mm\.yyyy"/>
    </dxf>
    <dxf>
      <numFmt numFmtId="166" formatCode="dd\.mm\.yyyy\ hh:mm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164" formatCode="dd\.mm\.yyyy"/>
    </dxf>
    <dxf>
      <numFmt numFmtId="164" formatCode="dd\.mm\.yyyy"/>
    </dxf>
    <dxf>
      <font>
        <b/>
        <i val="0"/>
        <strike val="0"/>
        <outline val="0"/>
        <shadow val="0"/>
        <u val="none"/>
        <vertAlign val="baseline"/>
        <sz val="10"/>
        <color rgb="FFFFFFFF"/>
        <name val="Aptos"/>
        <family val="2"/>
        <scheme val="none"/>
      </font>
      <fill>
        <patternFill patternType="solid">
          <fgColor indexed="64"/>
          <bgColor rgb="FF1F2937"/>
        </patternFill>
      </fill>
      <alignment horizontal="center" vertical="center" textRotation="0" wrapText="1" indent="0" justifyLastLine="0" shrinkToFit="0" readingOrder="0"/>
    </dxf>
    <dxf>
      <font>
        <color rgb="FFB91C1C"/>
      </font>
      <fill>
        <patternFill>
          <bgColor rgb="FFFEF2F2"/>
        </patternFill>
      </fill>
    </dxf>
    <dxf>
      <fill>
        <patternFill>
          <bgColor rgb="FFF0FDF4"/>
        </patternFill>
      </fill>
    </dxf>
    <dxf>
      <fill>
        <patternFill>
          <bgColor rgb="FFFFF7ED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numFmt numFmtId="166" formatCode="dd\.mm\.yyyy\ hh:mm"/>
      <fill>
        <patternFill patternType="solid">
          <fgColor indexed="64"/>
          <bgColor rgb="FFFFFFFF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fill>
        <patternFill patternType="solid">
          <fgColor indexed="64"/>
          <bgColor rgb="FFFFFBEB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fill>
        <patternFill patternType="solid">
          <fgColor indexed="64"/>
          <bgColor rgb="FFFFFBEB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fill>
        <patternFill patternType="solid">
          <fgColor indexed="64"/>
          <bgColor rgb="FFFFFBEB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fill>
        <patternFill patternType="solid">
          <fgColor indexed="64"/>
          <bgColor rgb="FFFFFBEB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numFmt numFmtId="4" formatCode="#,##0.00"/>
      <fill>
        <patternFill patternType="solid">
          <fgColor indexed="64"/>
          <bgColor rgb="FFFFFBEB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numFmt numFmtId="4" formatCode="#,##0.00"/>
      <fill>
        <patternFill patternType="solid">
          <fgColor indexed="64"/>
          <bgColor rgb="FFFFFBEB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numFmt numFmtId="165" formatCode="0.0%"/>
      <fill>
        <patternFill patternType="solid">
          <fgColor indexed="64"/>
          <bgColor rgb="FFFFFBEB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numFmt numFmtId="164" formatCode="dd\.mm\.yyyy"/>
      <fill>
        <patternFill patternType="solid">
          <fgColor indexed="64"/>
          <bgColor rgb="FFFFFBEB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fill>
        <patternFill patternType="solid">
          <fgColor indexed="64"/>
          <bgColor rgb="FFFFFBEB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fill>
        <patternFill patternType="solid">
          <fgColor indexed="64"/>
          <bgColor rgb="FFFFFBEB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numFmt numFmtId="164" formatCode="dd\.mm\.yyyy"/>
      <fill>
        <patternFill patternType="solid">
          <fgColor indexed="64"/>
          <bgColor rgb="FFFFFBEB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numFmt numFmtId="164" formatCode="dd\.mm\.yyyy"/>
      <fill>
        <patternFill patternType="solid">
          <fgColor indexed="64"/>
          <bgColor rgb="FFFFFBEB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numFmt numFmtId="4" formatCode="#,##0.00"/>
      <fill>
        <patternFill patternType="solid">
          <fgColor indexed="64"/>
          <bgColor rgb="FFFFFFFF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numFmt numFmtId="4" formatCode="#,##0.00"/>
      <fill>
        <patternFill patternType="solid">
          <fgColor indexed="64"/>
          <bgColor rgb="FFFFFBEB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fill>
        <patternFill patternType="solid">
          <fgColor indexed="64"/>
          <bgColor rgb="FFFFFBEB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fill>
        <patternFill patternType="solid">
          <fgColor indexed="64"/>
          <bgColor rgb="FFFFFBEB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fill>
        <patternFill patternType="solid">
          <fgColor indexed="64"/>
          <bgColor rgb="FFFFFBEB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fill>
        <patternFill patternType="solid">
          <fgColor indexed="64"/>
          <bgColor rgb="FFFFFBEB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fill>
        <patternFill patternType="solid">
          <fgColor indexed="64"/>
          <bgColor rgb="FFFFFBEB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ptos"/>
        <family val="2"/>
        <scheme val="none"/>
      </font>
      <fill>
        <patternFill patternType="solid">
          <fgColor indexed="64"/>
          <bgColor rgb="FF1F2937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numFmt numFmtId="166" formatCode="dd\.mm\.yyyy\ hh:mm"/>
      <fill>
        <patternFill patternType="solid">
          <fgColor indexed="64"/>
          <bgColor rgb="FFFFFFFF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fill>
        <patternFill patternType="solid">
          <fgColor indexed="64"/>
          <bgColor rgb="FFFFFBEB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fill>
        <patternFill patternType="solid">
          <fgColor indexed="64"/>
          <bgColor rgb="FFFFFBEB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numFmt numFmtId="166" formatCode="dd\.mm\.yyyy\ hh:mm"/>
      <fill>
        <patternFill patternType="solid">
          <fgColor indexed="64"/>
          <bgColor rgb="FFFFFBEB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fill>
        <patternFill patternType="solid">
          <fgColor indexed="64"/>
          <bgColor rgb="FFFFFBEB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fill>
        <patternFill patternType="solid">
          <fgColor indexed="64"/>
          <bgColor rgb="FFFFFBEB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numFmt numFmtId="4" formatCode="#,##0.00"/>
      <fill>
        <patternFill patternType="solid">
          <fgColor indexed="64"/>
          <bgColor rgb="FFFFFBEB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fill>
        <patternFill patternType="solid">
          <fgColor indexed="64"/>
          <bgColor rgb="FFFFFBEB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fill>
        <patternFill patternType="solid">
          <fgColor indexed="64"/>
          <bgColor rgb="FFFFFBEB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numFmt numFmtId="4" formatCode="#,##0.00"/>
      <fill>
        <patternFill patternType="solid">
          <fgColor indexed="64"/>
          <bgColor rgb="FFFFFFFF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fill>
        <patternFill patternType="solid">
          <fgColor indexed="64"/>
          <bgColor rgb="FFFFFBEB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numFmt numFmtId="164" formatCode="dd\.mm\.yyyy"/>
      <fill>
        <patternFill patternType="solid">
          <fgColor indexed="64"/>
          <bgColor rgb="FFFFFBEB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fill>
        <patternFill patternType="solid">
          <fgColor indexed="64"/>
          <bgColor rgb="FFFFFBEB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fill>
        <patternFill patternType="solid">
          <fgColor indexed="64"/>
          <bgColor rgb="FFFFFBEB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fill>
        <patternFill patternType="solid">
          <fgColor indexed="64"/>
          <bgColor rgb="FFFFFBEB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fill>
        <patternFill patternType="solid">
          <fgColor indexed="64"/>
          <bgColor rgb="FFFFFBEB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numFmt numFmtId="164" formatCode="dd\.mm\.yyyy"/>
      <fill>
        <patternFill patternType="solid">
          <fgColor indexed="64"/>
          <bgColor rgb="FFFFFBEB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fill>
        <patternFill patternType="solid">
          <fgColor indexed="64"/>
          <bgColor rgb="FFFFFBEB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ptos"/>
        <family val="2"/>
        <scheme val="none"/>
      </font>
      <fill>
        <patternFill patternType="solid">
          <fgColor indexed="64"/>
          <bgColor rgb="FF1F2937"/>
        </patternFill>
      </fill>
      <alignment horizontal="center" vertical="center" textRotation="0" wrapText="1" indent="0" justifyLastLine="0" shrinkToFit="0" readingOrder="0"/>
    </dxf>
    <dxf>
      <font>
        <b/>
        <i val="0"/>
        <color rgb="FF9A3412"/>
      </font>
      <fill>
        <patternFill>
          <bgColor rgb="FFFFF7ED"/>
        </patternFill>
      </fill>
    </dxf>
    <dxf>
      <font>
        <b/>
        <i val="0"/>
        <color rgb="FFB91C1C"/>
      </font>
      <fill>
        <patternFill>
          <bgColor rgb="FFFEE2E2"/>
        </patternFill>
      </fill>
    </dxf>
    <dxf>
      <font>
        <b/>
        <i val="0"/>
        <color rgb="FF166534"/>
      </font>
      <fill>
        <patternFill>
          <bgColor rgb="FFDCFCE7"/>
        </patternFill>
      </fill>
    </dxf>
    <dxf>
      <font>
        <color rgb="FF6B7280"/>
      </font>
      <fill>
        <patternFill>
          <bgColor rgb="FFF3F4F6"/>
        </patternFill>
      </fill>
    </dxf>
    <dxf>
      <font>
        <b/>
        <i val="0"/>
        <color rgb="FF166534"/>
      </font>
      <fill>
        <patternFill>
          <bgColor rgb="FFF0FDF4"/>
        </patternFill>
      </fill>
    </dxf>
    <dxf>
      <font>
        <b/>
        <i val="0"/>
        <color rgb="FFB91C1C"/>
      </font>
      <fill>
        <patternFill>
          <bgColor rgb="FFFEF2F2"/>
        </patternFill>
      </fill>
    </dxf>
    <dxf>
      <font>
        <b/>
        <i val="0"/>
        <color rgb="FFB91C1C"/>
      </font>
      <fill>
        <patternFill>
          <bgColor rgb="FFFEF2F2"/>
        </patternFill>
      </fill>
    </dxf>
    <dxf>
      <font>
        <b/>
        <i val="0"/>
        <color rgb="FF9A3412"/>
      </font>
      <fill>
        <patternFill>
          <bgColor rgb="FFFFEDD5"/>
        </patternFill>
      </fill>
    </dxf>
    <dxf>
      <font>
        <b/>
        <color rgb="FF9A3412"/>
      </font>
      <fill>
        <patternFill patternType="solid">
          <bgColor rgb="FFFFF7ED"/>
        </patternFill>
      </fill>
    </dxf>
    <dxf>
      <font>
        <b/>
        <color rgb="FFB91C1C"/>
      </font>
      <fill>
        <patternFill patternType="solid">
          <bgColor rgb="FFFEE2E2"/>
        </patternFill>
      </fill>
    </dxf>
    <dxf>
      <font>
        <b/>
        <color rgb="FF166534"/>
      </font>
      <fill>
        <patternFill patternType="solid">
          <bgColor rgb="FFDCFCE7"/>
        </patternFill>
      </fill>
    </dxf>
    <dxf>
      <font>
        <color rgb="FF6B7280"/>
      </font>
      <fill>
        <patternFill patternType="solid">
          <bgColor rgb="FFF3F4F6"/>
        </patternFill>
      </fill>
    </dxf>
    <dxf>
      <font>
        <b/>
        <color rgb="FF166534"/>
      </font>
      <fill>
        <patternFill patternType="solid">
          <bgColor rgb="FFF0FDF4"/>
        </patternFill>
      </fill>
    </dxf>
    <dxf>
      <font>
        <b/>
        <color rgb="FFB91C1C"/>
      </font>
      <fill>
        <patternFill patternType="solid">
          <bgColor rgb="FFFEF2F2"/>
        </patternFill>
      </fill>
    </dxf>
    <dxf>
      <font>
        <b/>
        <color rgb="FFB91C1C"/>
      </font>
      <fill>
        <patternFill patternType="solid">
          <bgColor rgb="FFFEF2F2"/>
        </patternFill>
      </fill>
    </dxf>
    <dxf>
      <font>
        <b/>
        <color rgb="FF9A3412"/>
      </font>
      <fill>
        <patternFill patternType="solid">
          <bgColor rgb="FFFFEDD5"/>
        </patternFill>
      </fill>
    </dxf>
    <dxf>
      <font>
        <color rgb="FFB91C1C"/>
      </font>
      <fill>
        <patternFill>
          <bgColor rgb="FFFEF2F2"/>
        </patternFill>
      </fill>
    </dxf>
  </dxfs>
  <tableStyles count="0" defaultTableStyle="TableStyleMedium2" defaultPivotStyle="PivotStyleLight16"/>
  <colors>
    <mruColors>
      <color rgb="FFD5E7FF"/>
      <color rgb="FFEFF6FF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'1.0' encoding='UTF-8' standalone='yes'?>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theme" Target="theme/theme1.xml"/><Relationship Id="rId45" Type="http://schemas.microsoft.com/office/2017/10/relationships/person" Target="persons/perso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20" Type="http://schemas.openxmlformats.org/officeDocument/2006/relationships/worksheet" Target="worksheets/sheet20.xml"/><Relationship Id="rId41" Type="http://schemas.openxmlformats.org/officeDocument/2006/relationships/styles" Target="styles.xml"/><Relationship Id="rId46" Type="http://schemas.openxmlformats.org/officeDocument/2006/relationships/worksheet" Target="worksheets/sheet40.xml"/><Relationship Id="rId47" Type="http://schemas.openxmlformats.org/officeDocument/2006/relationships/worksheet" Target="worksheets/sheet41.xml"/><Relationship Id="rId48" Type="http://schemas.openxmlformats.org/officeDocument/2006/relationships/worksheet" Target="worksheets/sheet42.xml"/><Relationship Id="rId49" Type="http://schemas.openxmlformats.org/officeDocument/2006/relationships/worksheet" Target="worksheets/sheet43.xml"/><Relationship Id="rId50" Type="http://schemas.openxmlformats.org/officeDocument/2006/relationships/worksheet" Target="worksheets/sheet44.xml"/><Relationship Id="rId51" Type="http://schemas.openxmlformats.org/officeDocument/2006/relationships/worksheet" Target="worksheets/sheet4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'00_DASHBOARD'!$AB$2</c:f>
              <c:strCache>
                <c:ptCount val="1"/>
                <c:pt idx="0">
                  <c:v>Dosare</c:v>
                </c:pt>
              </c:strCache>
            </c:strRef>
          </c:tx>
          <c:spPr>
            <a:solidFill>
              <a:srgbClr val="2563EB"/>
            </a:solidFill>
          </c:spPr>
          <c:invertIfNegative val="0"/>
          <c:cat>
            <c:strRef>
              <c:f>'00_DASHBOARD'!$AA$3:$AA$5</c:f>
              <c:strCache>
                <c:ptCount val="3"/>
                <c:pt idx="0">
                  <c:v>Complete</c:v>
                </c:pt>
                <c:pt idx="1">
                  <c:v>Incomplete</c:v>
                </c:pt>
                <c:pt idx="2">
                  <c:v>Alte statusuri</c:v>
                </c:pt>
              </c:strCache>
            </c:strRef>
          </c:cat>
          <c:val>
            <c:numRef>
              <c:f>'00_DASHBOARD'!$AB$3:$AB$5</c:f>
              <c:numCache>
                <c:formatCode>General</c:formatCode>
                <c:ptCount val="3"/>
                <c:pt idx="0">
                  <c:v>0</c:v>
                </c:pt>
                <c:pt idx="1">
                  <c:v>4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520-4CB2-B483-FF1CC9C5D2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014560"/>
        <c:axId val="7020320"/>
      </c:barChart>
      <c:catAx>
        <c:axId val="70145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7020320"/>
        <c:crosses val="autoZero"/>
        <c:auto val="1"/>
        <c:lblAlgn val="ctr"/>
        <c:lblOffset val="100"/>
        <c:noMultiLvlLbl val="0"/>
      </c:catAx>
      <c:valAx>
        <c:axId val="7020320"/>
        <c:scaling>
          <c:orientation val="minMax"/>
          <c:min val="0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7014560"/>
        <c:crosses val="autoZero"/>
        <c:crossBetween val="between"/>
      </c:valAx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 sz="1000">
          <a:latin typeface="Aptos"/>
          <a:ea typeface="Aptos"/>
          <a:cs typeface="Apto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'00_DASHBOARD'!$AC$8</c:f>
              <c:strCache>
                <c:ptCount val="1"/>
                <c:pt idx="0">
                  <c:v>Facturi RON</c:v>
                </c:pt>
              </c:strCache>
            </c:strRef>
          </c:tx>
          <c:spPr>
            <a:ln>
              <a:solidFill>
                <a:srgbClr val="2563EB"/>
              </a:solidFill>
            </a:ln>
          </c:spPr>
          <c:marker>
            <c:spPr>
              <a:ln>
                <a:solidFill>
                  <a:srgbClr val="2563EB"/>
                </a:solidFill>
              </a:ln>
            </c:spPr>
          </c:marker>
          <c:cat>
            <c:strRef>
              <c:f>'00_DASHBOARD'!$AB$9:$AB$20</c:f>
              <c:strCache>
                <c:ptCount val="12"/>
                <c:pt idx="0">
                  <c:v>Ian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Mai</c:v>
                </c:pt>
                <c:pt idx="5">
                  <c:v>Iun</c:v>
                </c:pt>
                <c:pt idx="6">
                  <c:v>Iul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'00_DASHBOARD'!$AC$9:$AC$20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682-43B4-ACAB-EEE82661A1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11680"/>
        <c:axId val="7023200"/>
      </c:lineChart>
      <c:catAx>
        <c:axId val="70116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7023200"/>
        <c:crosses val="autoZero"/>
        <c:auto val="1"/>
        <c:lblAlgn val="ctr"/>
        <c:lblOffset val="100"/>
        <c:noMultiLvlLbl val="0"/>
      </c:catAx>
      <c:valAx>
        <c:axId val="7023200"/>
        <c:scaling>
          <c:orientation val="minMax"/>
          <c:min val="0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7011680"/>
        <c:crosses val="autoZero"/>
        <c:crossBetween val="between"/>
      </c:valAx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 sz="1000">
          <a:latin typeface="Aptos"/>
          <a:ea typeface="Aptos"/>
          <a:cs typeface="Apto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20</xdr:row>
      <xdr:rowOff>0</xdr:rowOff>
    </xdr:from>
    <xdr:to>
      <xdr:col>10</xdr:col>
      <xdr:colOff>0</xdr:colOff>
      <xdr:row>31</xdr:row>
      <xdr:rowOff>0</xdr:rowOff>
    </xdr:to>
    <xdr:graphicFrame macro="">
      <xdr:nvGraphicFramePr>
        <xdr:cNvPr id="2" name="TQM_DASH_Status">
          <a:extLst>
            <a:ext uri="{FF2B5EF4-FFF2-40B4-BE49-F238E27FC236}">
              <a16:creationId xmlns:a16="http://schemas.microsoft.com/office/drawing/2014/main" id="{4B76D786-50DF-460A-2F16-68CFA431D7D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20</xdr:row>
      <xdr:rowOff>0</xdr:rowOff>
    </xdr:from>
    <xdr:to>
      <xdr:col>19</xdr:col>
      <xdr:colOff>0</xdr:colOff>
      <xdr:row>31</xdr:row>
      <xdr:rowOff>0</xdr:rowOff>
    </xdr:to>
    <xdr:graphicFrame macro="">
      <xdr:nvGraphicFramePr>
        <xdr:cNvPr id="3" name="TQM_DASH_Luni">
          <a:extLst>
            <a:ext uri="{FF2B5EF4-FFF2-40B4-BE49-F238E27FC236}">
              <a16:creationId xmlns:a16="http://schemas.microsoft.com/office/drawing/2014/main" id="{0675B6BD-942D-C6AE-8BBA-130D1228B80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25400</xdr:colOff>
      <xdr:row>2</xdr:row>
      <xdr:rowOff>25400</xdr:rowOff>
    </xdr:from>
    <xdr:to>
      <xdr:col>4</xdr:col>
      <xdr:colOff>629920</xdr:colOff>
      <xdr:row>2</xdr:row>
      <xdr:rowOff>287020</xdr:rowOff>
    </xdr:to>
    <xdr:sp macro="[0]!TQM_Dashboard_Actualizeaza" textlink="">
      <xdr:nvSpPr>
        <xdr:cNvPr id="4" name="TQM_DASH_Refresh">
          <a:extLst>
            <a:ext uri="{FF2B5EF4-FFF2-40B4-BE49-F238E27FC236}">
              <a16:creationId xmlns:a16="http://schemas.microsoft.com/office/drawing/2014/main" id="{EA182887-6A3B-61F0-A5F8-992DB482EFDB}"/>
            </a:ext>
          </a:extLst>
        </xdr:cNvPr>
        <xdr:cNvSpPr/>
      </xdr:nvSpPr>
      <xdr:spPr>
        <a:xfrm>
          <a:off x="254000" y="718820"/>
          <a:ext cx="2570480" cy="26162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ptos" panose="020B0004020202020204" pitchFamily="34" charset="0"/>
            </a:rPr>
            <a:t>Actualizeaza</a:t>
          </a:r>
        </a:p>
      </xdr:txBody>
    </xdr:sp>
    <xdr:clientData/>
  </xdr:twoCellAnchor>
  <xdr:twoCellAnchor>
    <xdr:from>
      <xdr:col>6</xdr:col>
      <xdr:colOff>25400</xdr:colOff>
      <xdr:row>2</xdr:row>
      <xdr:rowOff>25400</xdr:rowOff>
    </xdr:from>
    <xdr:to>
      <xdr:col>9</xdr:col>
      <xdr:colOff>629920</xdr:colOff>
      <xdr:row>2</xdr:row>
      <xdr:rowOff>287020</xdr:rowOff>
    </xdr:to>
    <xdr:sp macro="[0]!TQM_Dashboard_Registru" textlink="">
      <xdr:nvSpPr>
        <xdr:cNvPr id="5" name="TQM_DASH_Registru">
          <a:extLst>
            <a:ext uri="{FF2B5EF4-FFF2-40B4-BE49-F238E27FC236}">
              <a16:creationId xmlns:a16="http://schemas.microsoft.com/office/drawing/2014/main" id="{F4F267D5-6EC2-14AD-963A-E21772E65350}"/>
            </a:ext>
          </a:extLst>
        </xdr:cNvPr>
        <xdr:cNvSpPr/>
      </xdr:nvSpPr>
      <xdr:spPr>
        <a:xfrm>
          <a:off x="3530600" y="718820"/>
          <a:ext cx="2570480" cy="261620"/>
        </a:xfrm>
        <a:prstGeom prst="roundRect">
          <a:avLst/>
        </a:prstGeom>
        <a:solidFill>
          <a:srgbClr val="1F2937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ptos" panose="020B0004020202020204" pitchFamily="34" charset="0"/>
            </a:rPr>
            <a:t>Registru</a:t>
          </a:r>
        </a:p>
      </xdr:txBody>
    </xdr:sp>
    <xdr:clientData/>
  </xdr:twoCellAnchor>
  <xdr:twoCellAnchor>
    <xdr:from>
      <xdr:col>11</xdr:col>
      <xdr:colOff>25400</xdr:colOff>
      <xdr:row>2</xdr:row>
      <xdr:rowOff>25400</xdr:rowOff>
    </xdr:from>
    <xdr:to>
      <xdr:col>14</xdr:col>
      <xdr:colOff>629920</xdr:colOff>
      <xdr:row>2</xdr:row>
      <xdr:rowOff>287020</xdr:rowOff>
    </xdr:to>
    <xdr:sp macro="[0]!TQM_Dashboard_Incomplete" textlink="">
      <xdr:nvSpPr>
        <xdr:cNvPr id="6" name="TQM_DASH_Incomplete">
          <a:extLst>
            <a:ext uri="{FF2B5EF4-FFF2-40B4-BE49-F238E27FC236}">
              <a16:creationId xmlns:a16="http://schemas.microsoft.com/office/drawing/2014/main" id="{C5CBC7B5-8638-86F8-A905-328C5BC9839F}"/>
            </a:ext>
          </a:extLst>
        </xdr:cNvPr>
        <xdr:cNvSpPr/>
      </xdr:nvSpPr>
      <xdr:spPr>
        <a:xfrm>
          <a:off x="6807200" y="718820"/>
          <a:ext cx="2570480" cy="261620"/>
        </a:xfrm>
        <a:prstGeom prst="roundRect">
          <a:avLst/>
        </a:prstGeom>
        <a:solidFill>
          <a:srgbClr val="B91C1C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ptos" panose="020B0004020202020204" pitchFamily="34" charset="0"/>
            </a:rPr>
            <a:t>Dosare incomplete</a:t>
          </a:r>
        </a:p>
      </xdr:txBody>
    </xdr:sp>
    <xdr:clientData/>
  </xdr:twoCellAnchor>
  <xdr:twoCellAnchor>
    <xdr:from>
      <xdr:col>16</xdr:col>
      <xdr:colOff>25400</xdr:colOff>
      <xdr:row>2</xdr:row>
      <xdr:rowOff>25400</xdr:rowOff>
    </xdr:from>
    <xdr:to>
      <xdr:col>18</xdr:col>
      <xdr:colOff>629920</xdr:colOff>
      <xdr:row>2</xdr:row>
      <xdr:rowOff>287020</xdr:rowOff>
    </xdr:to>
    <xdr:sp macro="[0]!TQM_Dashboard_ResetFiltre" textlink="">
      <xdr:nvSpPr>
        <xdr:cNvPr id="7" name="TQM_DASH_Reset">
          <a:extLst>
            <a:ext uri="{FF2B5EF4-FFF2-40B4-BE49-F238E27FC236}">
              <a16:creationId xmlns:a16="http://schemas.microsoft.com/office/drawing/2014/main" id="{F9322EC7-F747-EB86-69E8-F60ECA74D0F2}"/>
            </a:ext>
          </a:extLst>
        </xdr:cNvPr>
        <xdr:cNvSpPr/>
      </xdr:nvSpPr>
      <xdr:spPr>
        <a:xfrm>
          <a:off x="10083800" y="718820"/>
          <a:ext cx="1915160" cy="261620"/>
        </a:xfrm>
        <a:prstGeom prst="roundRect">
          <a:avLst/>
        </a:prstGeom>
        <a:solidFill>
          <a:srgbClr val="4B5563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ptos" panose="020B0004020202020204" pitchFamily="34" charset="0"/>
            </a:rPr>
            <a:t>Reset filtre</a:t>
          </a:r>
        </a:p>
      </xdr:txBody>
    </xdr:sp>
    <xdr:clientData/>
  </xdr:twoCellAnchor>
  <xdr:twoCellAnchor>
    <xdr:from>
      <xdr:col>17</xdr:col>
      <xdr:colOff>25400</xdr:colOff>
      <xdr:row>34</xdr:row>
      <xdr:rowOff>25400</xdr:rowOff>
    </xdr:from>
    <xdr:to>
      <xdr:col>18</xdr:col>
      <xdr:colOff>629920</xdr:colOff>
      <xdr:row>34</xdr:row>
      <xdr:rowOff>508000</xdr:rowOff>
    </xdr:to>
    <xdr:sp macro="[0]!TQM_Dashboard_DeschideDosar" textlink="">
      <xdr:nvSpPr>
        <xdr:cNvPr id="8" name="TQM_DASH_Row_35">
          <a:extLst>
            <a:ext uri="{FF2B5EF4-FFF2-40B4-BE49-F238E27FC236}">
              <a16:creationId xmlns:a16="http://schemas.microsoft.com/office/drawing/2014/main" id="{098A4FA1-6FEF-CBEC-DFF5-4A27C960B1CA}"/>
            </a:ext>
          </a:extLst>
        </xdr:cNvPr>
        <xdr:cNvSpPr/>
      </xdr:nvSpPr>
      <xdr:spPr>
        <a:xfrm>
          <a:off x="10739120" y="9458960"/>
          <a:ext cx="1259840" cy="48260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ptos" panose="020B0004020202020204" pitchFamily="34" charset="0"/>
            </a:rPr>
            <a:t>Deschide</a:t>
          </a:r>
        </a:p>
      </xdr:txBody>
    </xdr:sp>
    <xdr:clientData/>
  </xdr:twoCellAnchor>
  <xdr:twoCellAnchor>
    <xdr:from>
      <xdr:col>17</xdr:col>
      <xdr:colOff>25400</xdr:colOff>
      <xdr:row>35</xdr:row>
      <xdr:rowOff>25400</xdr:rowOff>
    </xdr:from>
    <xdr:to>
      <xdr:col>18</xdr:col>
      <xdr:colOff>629920</xdr:colOff>
      <xdr:row>35</xdr:row>
      <xdr:rowOff>508000</xdr:rowOff>
    </xdr:to>
    <xdr:sp macro="[0]!TQM_Dashboard_DeschideDosar" textlink="">
      <xdr:nvSpPr>
        <xdr:cNvPr id="9" name="TQM_DASH_Row_36">
          <a:extLst>
            <a:ext uri="{FF2B5EF4-FFF2-40B4-BE49-F238E27FC236}">
              <a16:creationId xmlns:a16="http://schemas.microsoft.com/office/drawing/2014/main" id="{E3D1AF64-53EF-5A99-C107-D38331D8ADC7}"/>
            </a:ext>
          </a:extLst>
        </xdr:cNvPr>
        <xdr:cNvSpPr/>
      </xdr:nvSpPr>
      <xdr:spPr>
        <a:xfrm>
          <a:off x="10739120" y="9992360"/>
          <a:ext cx="1259840" cy="48260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ptos" panose="020B0004020202020204" pitchFamily="34" charset="0"/>
            </a:rPr>
            <a:t>Deschide</a:t>
          </a:r>
        </a:p>
      </xdr:txBody>
    </xdr:sp>
    <xdr:clientData/>
  </xdr:twoCellAnchor>
  <xdr:twoCellAnchor>
    <xdr:from>
      <xdr:col>17</xdr:col>
      <xdr:colOff>25400</xdr:colOff>
      <xdr:row>36</xdr:row>
      <xdr:rowOff>25400</xdr:rowOff>
    </xdr:from>
    <xdr:to>
      <xdr:col>18</xdr:col>
      <xdr:colOff>629920</xdr:colOff>
      <xdr:row>36</xdr:row>
      <xdr:rowOff>508000</xdr:rowOff>
    </xdr:to>
    <xdr:sp macro="[0]!TQM_Dashboard_DeschideDosar" textlink="">
      <xdr:nvSpPr>
        <xdr:cNvPr id="10" name="TQM_DASH_Row_37">
          <a:extLst>
            <a:ext uri="{FF2B5EF4-FFF2-40B4-BE49-F238E27FC236}">
              <a16:creationId xmlns:a16="http://schemas.microsoft.com/office/drawing/2014/main" id="{48B25ABF-EF64-CC3D-16D6-4B85C5D3DFF2}"/>
            </a:ext>
          </a:extLst>
        </xdr:cNvPr>
        <xdr:cNvSpPr/>
      </xdr:nvSpPr>
      <xdr:spPr>
        <a:xfrm>
          <a:off x="10739120" y="10525760"/>
          <a:ext cx="1259840" cy="48260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ptos" panose="020B0004020202020204" pitchFamily="34" charset="0"/>
            </a:rPr>
            <a:t>Deschide</a:t>
          </a:r>
        </a:p>
      </xdr:txBody>
    </xdr:sp>
    <xdr:clientData/>
  </xdr:twoCellAnchor>
  <xdr:twoCellAnchor>
    <xdr:from>
      <xdr:col>17</xdr:col>
      <xdr:colOff>25400</xdr:colOff>
      <xdr:row>37</xdr:row>
      <xdr:rowOff>25400</xdr:rowOff>
    </xdr:from>
    <xdr:to>
      <xdr:col>18</xdr:col>
      <xdr:colOff>629920</xdr:colOff>
      <xdr:row>37</xdr:row>
      <xdr:rowOff>508000</xdr:rowOff>
    </xdr:to>
    <xdr:sp macro="[0]!TQM_Dashboard_DeschideDosar" textlink="">
      <xdr:nvSpPr>
        <xdr:cNvPr id="11" name="TQM_DASH_Row_38">
          <a:extLst>
            <a:ext uri="{FF2B5EF4-FFF2-40B4-BE49-F238E27FC236}">
              <a16:creationId xmlns:a16="http://schemas.microsoft.com/office/drawing/2014/main" id="{C53BFB66-5A6E-A4A2-E2A8-6B7548EEC462}"/>
            </a:ext>
          </a:extLst>
        </xdr:cNvPr>
        <xdr:cNvSpPr/>
      </xdr:nvSpPr>
      <xdr:spPr>
        <a:xfrm>
          <a:off x="10739120" y="11059160"/>
          <a:ext cx="1259840" cy="48260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ptos" panose="020B0004020202020204" pitchFamily="34" charset="0"/>
            </a:rPr>
            <a:t>Deschide</a:t>
          </a:r>
        </a:p>
      </xdr:txBody>
    </xdr:sp>
    <xdr:clientData/>
  </xdr:twoCellAnchor>
  <xdr:twoCellAnchor>
    <xdr:from>
      <xdr:col>17</xdr:col>
      <xdr:colOff>25400</xdr:colOff>
      <xdr:row>38</xdr:row>
      <xdr:rowOff>25400</xdr:rowOff>
    </xdr:from>
    <xdr:to>
      <xdr:col>18</xdr:col>
      <xdr:colOff>629920</xdr:colOff>
      <xdr:row>38</xdr:row>
      <xdr:rowOff>508000</xdr:rowOff>
    </xdr:to>
    <xdr:sp macro="[0]!TQM_Dashboard_DeschideDosar" textlink="">
      <xdr:nvSpPr>
        <xdr:cNvPr id="12" name="TQM_DASH_Row_39">
          <a:extLst>
            <a:ext uri="{FF2B5EF4-FFF2-40B4-BE49-F238E27FC236}">
              <a16:creationId xmlns:a16="http://schemas.microsoft.com/office/drawing/2014/main" id="{8CEE9E72-4326-80E2-0B3C-67CB7F18DEA1}"/>
            </a:ext>
          </a:extLst>
        </xdr:cNvPr>
        <xdr:cNvSpPr/>
      </xdr:nvSpPr>
      <xdr:spPr>
        <a:xfrm>
          <a:off x="10739120" y="11592560"/>
          <a:ext cx="1259840" cy="48260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ptos" panose="020B0004020202020204" pitchFamily="34" charset="0"/>
            </a:rPr>
            <a:t>Deschide</a:t>
          </a:r>
        </a:p>
      </xdr:txBody>
    </xdr:sp>
    <xdr:clientData/>
  </xdr:twoCellAnchor>
  <xdr:twoCellAnchor>
    <xdr:from>
      <xdr:col>17</xdr:col>
      <xdr:colOff>25400</xdr:colOff>
      <xdr:row>39</xdr:row>
      <xdr:rowOff>25400</xdr:rowOff>
    </xdr:from>
    <xdr:to>
      <xdr:col>18</xdr:col>
      <xdr:colOff>629920</xdr:colOff>
      <xdr:row>39</xdr:row>
      <xdr:rowOff>508000</xdr:rowOff>
    </xdr:to>
    <xdr:sp macro="[0]!TQM_Dashboard_DeschideDosar" textlink="">
      <xdr:nvSpPr>
        <xdr:cNvPr id="13" name="TQM_DASH_Row_40">
          <a:extLst>
            <a:ext uri="{FF2B5EF4-FFF2-40B4-BE49-F238E27FC236}">
              <a16:creationId xmlns:a16="http://schemas.microsoft.com/office/drawing/2014/main" id="{53365A18-4A32-3706-A541-6B89060FADDD}"/>
            </a:ext>
          </a:extLst>
        </xdr:cNvPr>
        <xdr:cNvSpPr/>
      </xdr:nvSpPr>
      <xdr:spPr>
        <a:xfrm>
          <a:off x="10739120" y="12125960"/>
          <a:ext cx="1259840" cy="48260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ptos" panose="020B0004020202020204" pitchFamily="34" charset="0"/>
            </a:rPr>
            <a:t>Deschide</a:t>
          </a:r>
        </a:p>
      </xdr:txBody>
    </xdr:sp>
    <xdr:clientData/>
  </xdr:twoCellAnchor>
  <xdr:twoCellAnchor>
    <xdr:from>
      <xdr:col>17</xdr:col>
      <xdr:colOff>25400</xdr:colOff>
      <xdr:row>40</xdr:row>
      <xdr:rowOff>25400</xdr:rowOff>
    </xdr:from>
    <xdr:to>
      <xdr:col>18</xdr:col>
      <xdr:colOff>629920</xdr:colOff>
      <xdr:row>40</xdr:row>
      <xdr:rowOff>508001</xdr:rowOff>
    </xdr:to>
    <xdr:sp macro="[0]!TQM_Dashboard_DeschideDosar" textlink="">
      <xdr:nvSpPr>
        <xdr:cNvPr id="14" name="TQM_DASH_Row_41">
          <a:extLst>
            <a:ext uri="{FF2B5EF4-FFF2-40B4-BE49-F238E27FC236}">
              <a16:creationId xmlns:a16="http://schemas.microsoft.com/office/drawing/2014/main" id="{4EE2B547-060B-028A-3603-46C73B59A95F}"/>
            </a:ext>
          </a:extLst>
        </xdr:cNvPr>
        <xdr:cNvSpPr/>
      </xdr:nvSpPr>
      <xdr:spPr>
        <a:xfrm>
          <a:off x="10739120" y="12659360"/>
          <a:ext cx="1259840" cy="482601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ptos" panose="020B0004020202020204" pitchFamily="34" charset="0"/>
            </a:rPr>
            <a:t>Deschide</a:t>
          </a:r>
        </a:p>
      </xdr:txBody>
    </xdr:sp>
    <xdr:clientData/>
  </xdr:twoCellAnchor>
  <xdr:twoCellAnchor>
    <xdr:from>
      <xdr:col>17</xdr:col>
      <xdr:colOff>25400</xdr:colOff>
      <xdr:row>41</xdr:row>
      <xdr:rowOff>25401</xdr:rowOff>
    </xdr:from>
    <xdr:to>
      <xdr:col>18</xdr:col>
      <xdr:colOff>629920</xdr:colOff>
      <xdr:row>41</xdr:row>
      <xdr:rowOff>508001</xdr:rowOff>
    </xdr:to>
    <xdr:sp macro="[0]!TQM_Dashboard_DeschideDosar" textlink="">
      <xdr:nvSpPr>
        <xdr:cNvPr id="15" name="TQM_DASH_Row_42">
          <a:extLst>
            <a:ext uri="{FF2B5EF4-FFF2-40B4-BE49-F238E27FC236}">
              <a16:creationId xmlns:a16="http://schemas.microsoft.com/office/drawing/2014/main" id="{98FB5AAE-E266-F9E6-A845-E038E2EE304C}"/>
            </a:ext>
          </a:extLst>
        </xdr:cNvPr>
        <xdr:cNvSpPr/>
      </xdr:nvSpPr>
      <xdr:spPr>
        <a:xfrm>
          <a:off x="10739120" y="13192761"/>
          <a:ext cx="1259840" cy="48260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ptos" panose="020B0004020202020204" pitchFamily="34" charset="0"/>
            </a:rPr>
            <a:t>Deschide</a:t>
          </a:r>
        </a:p>
      </xdr:txBody>
    </xdr:sp>
    <xdr:clientData/>
  </xdr:twoCellAnchor>
  <xdr:twoCellAnchor>
    <xdr:from>
      <xdr:col>17</xdr:col>
      <xdr:colOff>25400</xdr:colOff>
      <xdr:row>42</xdr:row>
      <xdr:rowOff>25401</xdr:rowOff>
    </xdr:from>
    <xdr:to>
      <xdr:col>18</xdr:col>
      <xdr:colOff>629920</xdr:colOff>
      <xdr:row>42</xdr:row>
      <xdr:rowOff>508001</xdr:rowOff>
    </xdr:to>
    <xdr:sp macro="[0]!TQM_Dashboard_DeschideDosar" textlink="">
      <xdr:nvSpPr>
        <xdr:cNvPr id="16" name="TQM_DASH_Row_43">
          <a:extLst>
            <a:ext uri="{FF2B5EF4-FFF2-40B4-BE49-F238E27FC236}">
              <a16:creationId xmlns:a16="http://schemas.microsoft.com/office/drawing/2014/main" id="{D22E6111-7E97-11AA-9FE6-D7E7358A0437}"/>
            </a:ext>
          </a:extLst>
        </xdr:cNvPr>
        <xdr:cNvSpPr/>
      </xdr:nvSpPr>
      <xdr:spPr>
        <a:xfrm>
          <a:off x="10739120" y="13726161"/>
          <a:ext cx="1259840" cy="48260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ptos" panose="020B0004020202020204" pitchFamily="34" charset="0"/>
            </a:rPr>
            <a:t>Deschide</a:t>
          </a:r>
        </a:p>
      </xdr:txBody>
    </xdr:sp>
    <xdr:clientData/>
  </xdr:twoCellAnchor>
  <xdr:twoCellAnchor>
    <xdr:from>
      <xdr:col>17</xdr:col>
      <xdr:colOff>25400</xdr:colOff>
      <xdr:row>43</xdr:row>
      <xdr:rowOff>25401</xdr:rowOff>
    </xdr:from>
    <xdr:to>
      <xdr:col>18</xdr:col>
      <xdr:colOff>629920</xdr:colOff>
      <xdr:row>43</xdr:row>
      <xdr:rowOff>508001</xdr:rowOff>
    </xdr:to>
    <xdr:sp macro="[0]!TQM_Dashboard_DeschideDosar" textlink="">
      <xdr:nvSpPr>
        <xdr:cNvPr id="17" name="TQM_DASH_Row_44">
          <a:extLst>
            <a:ext uri="{FF2B5EF4-FFF2-40B4-BE49-F238E27FC236}">
              <a16:creationId xmlns:a16="http://schemas.microsoft.com/office/drawing/2014/main" id="{335C6858-C3B6-45A0-37EA-B3547D3FC23C}"/>
            </a:ext>
          </a:extLst>
        </xdr:cNvPr>
        <xdr:cNvSpPr/>
      </xdr:nvSpPr>
      <xdr:spPr>
        <a:xfrm>
          <a:off x="10739120" y="14259561"/>
          <a:ext cx="1259840" cy="48260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ptos" panose="020B0004020202020204" pitchFamily="34" charset="0"/>
            </a:rPr>
            <a:t>Deschide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1577340</xdr:colOff>
      <xdr:row>9</xdr:row>
      <xdr:rowOff>7172</xdr:rowOff>
    </xdr:from>
    <xdr:to>
      <xdr:col>6</xdr:col>
      <xdr:colOff>96669</xdr:colOff>
      <xdr:row>10</xdr:row>
      <xdr:rowOff>13148</xdr:rowOff>
    </xdr:to>
    <xdr:sp macro="[0]!TQM_Control_Adauga" textlink="">
      <xdr:nvSpPr>
        <xdr:cNvPr id="2" name="TQM_Adauga">
          <a:extLst>
            <a:ext uri="{FF2B5EF4-FFF2-40B4-BE49-F238E27FC236}">
              <a16:creationId xmlns:a16="http://schemas.microsoft.com/office/drawing/2014/main" id="{1CDD5639-74A2-D0F0-A09E-AC823C2ECEEB}"/>
            </a:ext>
          </a:extLst>
        </xdr:cNvPr>
        <xdr:cNvSpPr/>
      </xdr:nvSpPr>
      <xdr:spPr>
        <a:xfrm>
          <a:off x="5692140" y="2956560"/>
          <a:ext cx="1397000" cy="355600"/>
        </a:xfrm>
        <a:prstGeom prst="roundRect">
          <a:avLst/>
        </a:prstGeom>
        <a:solidFill>
          <a:srgbClr val="166534"/>
        </a:solidFill>
        <a:ln>
          <a:solidFill>
            <a:srgbClr val="16653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 b="1">
              <a:solidFill>
                <a:srgbClr val="FFFFFF"/>
              </a:solidFill>
            </a:rPr>
            <a:t>ADAUGA</a:t>
          </a:r>
        </a:p>
      </xdr:txBody>
    </xdr:sp>
    <xdr:clientData/>
  </xdr:twoCellAnchor>
  <xdr:twoCellAnchor>
    <xdr:from>
      <xdr:col>7</xdr:col>
      <xdr:colOff>5379</xdr:colOff>
      <xdr:row>9</xdr:row>
      <xdr:rowOff>7172</xdr:rowOff>
    </xdr:from>
    <xdr:to>
      <xdr:col>7</xdr:col>
      <xdr:colOff>1402379</xdr:colOff>
      <xdr:row>10</xdr:row>
      <xdr:rowOff>13148</xdr:rowOff>
    </xdr:to>
    <xdr:sp macro="[0]!TQM_Control_Goleste" textlink="">
      <xdr:nvSpPr>
        <xdr:cNvPr id="3" name="TQM_Goleste">
          <a:extLst>
            <a:ext uri="{FF2B5EF4-FFF2-40B4-BE49-F238E27FC236}">
              <a16:creationId xmlns:a16="http://schemas.microsoft.com/office/drawing/2014/main" id="{7DE4BB2B-177B-5A29-FECC-27783D506784}"/>
            </a:ext>
          </a:extLst>
        </xdr:cNvPr>
        <xdr:cNvSpPr/>
      </xdr:nvSpPr>
      <xdr:spPr>
        <a:xfrm>
          <a:off x="8503920" y="2956560"/>
          <a:ext cx="1397000" cy="355600"/>
        </a:xfrm>
        <a:prstGeom prst="roundRect">
          <a:avLst/>
        </a:prstGeom>
        <a:solidFill>
          <a:srgbClr val="6B7280"/>
        </a:solidFill>
        <a:ln>
          <a:solidFill>
            <a:srgbClr val="6B728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 b="1">
              <a:solidFill>
                <a:srgbClr val="FFFFFF"/>
              </a:solidFill>
            </a:rPr>
            <a:t>GOLESTE</a:t>
          </a:r>
        </a:p>
      </xdr:txBody>
    </xdr:sp>
    <xdr:clientData/>
  </xdr:twoCellAnchor>
  <xdr:twoCellAnchor>
    <xdr:from>
      <xdr:col>8</xdr:col>
      <xdr:colOff>1236681</xdr:colOff>
      <xdr:row>9</xdr:row>
      <xdr:rowOff>7172</xdr:rowOff>
    </xdr:from>
    <xdr:to>
      <xdr:col>9</xdr:col>
      <xdr:colOff>1396552</xdr:colOff>
      <xdr:row>10</xdr:row>
      <xdr:rowOff>13148</xdr:rowOff>
    </xdr:to>
    <xdr:sp macro="[0]!TQM_Control_Sterge" textlink="">
      <xdr:nvSpPr>
        <xdr:cNvPr id="4" name="TQM_Sterge">
          <a:extLst>
            <a:ext uri="{FF2B5EF4-FFF2-40B4-BE49-F238E27FC236}">
              <a16:creationId xmlns:a16="http://schemas.microsoft.com/office/drawing/2014/main" id="{99A88F3E-9825-0A14-36D7-6C88F5E480DD}"/>
            </a:ext>
          </a:extLst>
        </xdr:cNvPr>
        <xdr:cNvSpPr/>
      </xdr:nvSpPr>
      <xdr:spPr>
        <a:xfrm>
          <a:off x="11178540" y="2956560"/>
          <a:ext cx="1397000" cy="355600"/>
        </a:xfrm>
        <a:prstGeom prst="roundRect">
          <a:avLst/>
        </a:prstGeom>
        <a:solidFill>
          <a:srgbClr val="B91C1C"/>
        </a:solidFill>
        <a:ln>
          <a:solidFill>
            <a:srgbClr val="B91C1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 b="1">
              <a:solidFill>
                <a:srgbClr val="FFFFFF"/>
              </a:solidFill>
            </a:rPr>
            <a:t>STERGE RÂND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2</xdr:row>
      <xdr:rowOff>25400</xdr:rowOff>
    </xdr:from>
    <xdr:to>
      <xdr:col>1</xdr:col>
      <xdr:colOff>988060</xdr:colOff>
      <xdr:row>2</xdr:row>
      <xdr:rowOff>264160</xdr:rowOff>
    </xdr:to>
    <xdr:sp macro="[0]!TQM_CO_CerereNoua" textlink="">
      <xdr:nvSpPr>
        <xdr:cNvPr id="2" name="TQM_CO_TQM_CO_CerereNoua">
          <a:extLst>
            <a:ext uri="{FF2B5EF4-FFF2-40B4-BE49-F238E27FC236}">
              <a16:creationId xmlns:a16="http://schemas.microsoft.com/office/drawing/2014/main" id="{C387C3EB-DEB3-C316-E1E7-F5E54C767149}"/>
            </a:ext>
          </a:extLst>
        </xdr:cNvPr>
        <xdr:cNvSpPr/>
      </xdr:nvSpPr>
      <xdr:spPr>
        <a:xfrm>
          <a:off x="25400" y="741680"/>
          <a:ext cx="2524760" cy="23876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ptos" panose="020B0004020202020204" pitchFamily="34" charset="0"/>
            </a:rPr>
            <a:t>Cerere noua</a:t>
          </a:r>
        </a:p>
      </xdr:txBody>
    </xdr:sp>
    <xdr:clientData/>
  </xdr:twoCellAnchor>
  <xdr:twoCellAnchor>
    <xdr:from>
      <xdr:col>2</xdr:col>
      <xdr:colOff>25400</xdr:colOff>
      <xdr:row>2</xdr:row>
      <xdr:rowOff>25400</xdr:rowOff>
    </xdr:from>
    <xdr:to>
      <xdr:col>3</xdr:col>
      <xdr:colOff>1056640</xdr:colOff>
      <xdr:row>2</xdr:row>
      <xdr:rowOff>264160</xdr:rowOff>
    </xdr:to>
    <xdr:sp macro="[0]!TQM_CO_OfertaNoua" textlink="">
      <xdr:nvSpPr>
        <xdr:cNvPr id="3" name="TQM_CO_TQM_CO_OfertaNoua">
          <a:extLst>
            <a:ext uri="{FF2B5EF4-FFF2-40B4-BE49-F238E27FC236}">
              <a16:creationId xmlns:a16="http://schemas.microsoft.com/office/drawing/2014/main" id="{17923735-F7AE-334A-ACAF-AE2CDCBD74C9}"/>
            </a:ext>
          </a:extLst>
        </xdr:cNvPr>
        <xdr:cNvSpPr/>
      </xdr:nvSpPr>
      <xdr:spPr>
        <a:xfrm>
          <a:off x="2600960" y="741680"/>
          <a:ext cx="2661920" cy="23876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ptos" panose="020B0004020202020204" pitchFamily="34" charset="0"/>
            </a:rPr>
            <a:t>Oferta noua</a:t>
          </a:r>
        </a:p>
      </xdr:txBody>
    </xdr:sp>
    <xdr:clientData/>
  </xdr:twoCellAnchor>
  <xdr:twoCellAnchor>
    <xdr:from>
      <xdr:col>4</xdr:col>
      <xdr:colOff>25400</xdr:colOff>
      <xdr:row>2</xdr:row>
      <xdr:rowOff>25400</xdr:rowOff>
    </xdr:from>
    <xdr:to>
      <xdr:col>5</xdr:col>
      <xdr:colOff>988060</xdr:colOff>
      <xdr:row>2</xdr:row>
      <xdr:rowOff>264160</xdr:rowOff>
    </xdr:to>
    <xdr:sp macro="[0]!TQM_CO_AprobaOferta" textlink="">
      <xdr:nvSpPr>
        <xdr:cNvPr id="4" name="TQM_CO_TQM_CO_AprobaOferta">
          <a:extLst>
            <a:ext uri="{FF2B5EF4-FFF2-40B4-BE49-F238E27FC236}">
              <a16:creationId xmlns:a16="http://schemas.microsoft.com/office/drawing/2014/main" id="{F639FAC3-7D30-A629-5895-2E36EB9E8078}"/>
            </a:ext>
          </a:extLst>
        </xdr:cNvPr>
        <xdr:cNvSpPr/>
      </xdr:nvSpPr>
      <xdr:spPr>
        <a:xfrm>
          <a:off x="5313680" y="741680"/>
          <a:ext cx="1701800" cy="23876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ptos" panose="020B0004020202020204" pitchFamily="34" charset="0"/>
            </a:rPr>
            <a:t>Aproba oferta</a:t>
          </a:r>
        </a:p>
      </xdr:txBody>
    </xdr:sp>
    <xdr:clientData/>
  </xdr:twoCellAnchor>
  <xdr:twoCellAnchor>
    <xdr:from>
      <xdr:col>6</xdr:col>
      <xdr:colOff>25400</xdr:colOff>
      <xdr:row>2</xdr:row>
      <xdr:rowOff>25400</xdr:rowOff>
    </xdr:from>
    <xdr:to>
      <xdr:col>7</xdr:col>
      <xdr:colOff>1056640</xdr:colOff>
      <xdr:row>2</xdr:row>
      <xdr:rowOff>264160</xdr:rowOff>
    </xdr:to>
    <xdr:sp macro="[0]!TQM_CO_Compara" textlink="">
      <xdr:nvSpPr>
        <xdr:cNvPr id="5" name="TQM_CO_TQM_CO_Compara">
          <a:extLst>
            <a:ext uri="{FF2B5EF4-FFF2-40B4-BE49-F238E27FC236}">
              <a16:creationId xmlns:a16="http://schemas.microsoft.com/office/drawing/2014/main" id="{BFEFDB10-AA36-4AC1-E3C1-AD45841382DA}"/>
            </a:ext>
          </a:extLst>
        </xdr:cNvPr>
        <xdr:cNvSpPr/>
      </xdr:nvSpPr>
      <xdr:spPr>
        <a:xfrm>
          <a:off x="7066280" y="741680"/>
          <a:ext cx="2098040" cy="23876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ptos" panose="020B0004020202020204" pitchFamily="34" charset="0"/>
            </a:rPr>
            <a:t>Compara</a:t>
          </a:r>
        </a:p>
      </xdr:txBody>
    </xdr:sp>
    <xdr:clientData/>
  </xdr:twoCellAnchor>
  <xdr:twoCellAnchor>
    <xdr:from>
      <xdr:col>8</xdr:col>
      <xdr:colOff>25400</xdr:colOff>
      <xdr:row>2</xdr:row>
      <xdr:rowOff>25400</xdr:rowOff>
    </xdr:from>
    <xdr:to>
      <xdr:col>9</xdr:col>
      <xdr:colOff>1132839</xdr:colOff>
      <xdr:row>2</xdr:row>
      <xdr:rowOff>264160</xdr:rowOff>
    </xdr:to>
    <xdr:sp macro="[0]!TQM_CO_Actualizeaza" textlink="">
      <xdr:nvSpPr>
        <xdr:cNvPr id="6" name="TQM_CO_TQM_CO_Actualizeaza">
          <a:extLst>
            <a:ext uri="{FF2B5EF4-FFF2-40B4-BE49-F238E27FC236}">
              <a16:creationId xmlns:a16="http://schemas.microsoft.com/office/drawing/2014/main" id="{42DEE78C-2B7D-6F5C-828C-E672A9BA9B2F}"/>
            </a:ext>
          </a:extLst>
        </xdr:cNvPr>
        <xdr:cNvSpPr/>
      </xdr:nvSpPr>
      <xdr:spPr>
        <a:xfrm>
          <a:off x="9215120" y="741680"/>
          <a:ext cx="2128519" cy="23876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ptos" panose="020B0004020202020204" pitchFamily="34" charset="0"/>
            </a:rPr>
            <a:t>Actualizeaza</a:t>
          </a:r>
        </a:p>
      </xdr:txBody>
    </xdr:sp>
    <xdr:clientData/>
  </xdr:twoCellAnchor>
  <xdr:twoCellAnchor>
    <xdr:from>
      <xdr:col>10</xdr:col>
      <xdr:colOff>25400</xdr:colOff>
      <xdr:row>2</xdr:row>
      <xdr:rowOff>25400</xdr:rowOff>
    </xdr:from>
    <xdr:to>
      <xdr:col>11</xdr:col>
      <xdr:colOff>1948180</xdr:colOff>
      <xdr:row>2</xdr:row>
      <xdr:rowOff>264160</xdr:rowOff>
    </xdr:to>
    <xdr:sp macro="[0]!TQM_CO_Dashboard" textlink="">
      <xdr:nvSpPr>
        <xdr:cNvPr id="7" name="TQM_CO_TQM_CO_Dashboard">
          <a:extLst>
            <a:ext uri="{FF2B5EF4-FFF2-40B4-BE49-F238E27FC236}">
              <a16:creationId xmlns:a16="http://schemas.microsoft.com/office/drawing/2014/main" id="{F6D848D5-C8BE-4F09-FFC1-2478FF29688B}"/>
            </a:ext>
          </a:extLst>
        </xdr:cNvPr>
        <xdr:cNvSpPr/>
      </xdr:nvSpPr>
      <xdr:spPr>
        <a:xfrm>
          <a:off x="11394440" y="741680"/>
          <a:ext cx="3622040" cy="23876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ptos" panose="020B0004020202020204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25400</xdr:colOff>
      <xdr:row>20</xdr:row>
      <xdr:rowOff>25400</xdr:rowOff>
    </xdr:from>
    <xdr:to>
      <xdr:col>2</xdr:col>
      <xdr:colOff>1605280</xdr:colOff>
      <xdr:row>20</xdr:row>
      <xdr:rowOff>264160</xdr:rowOff>
    </xdr:to>
    <xdr:sp macro="[0]!TQM_CO_ModificaCerere" textlink="">
      <xdr:nvSpPr>
        <xdr:cNvPr id="8" name="TQM_CO_TQM_CO_ModificaCerere">
          <a:extLst>
            <a:ext uri="{FF2B5EF4-FFF2-40B4-BE49-F238E27FC236}">
              <a16:creationId xmlns:a16="http://schemas.microsoft.com/office/drawing/2014/main" id="{119EDDCB-299A-AA1C-EFD8-FDE682AF57EF}"/>
            </a:ext>
          </a:extLst>
        </xdr:cNvPr>
        <xdr:cNvSpPr/>
      </xdr:nvSpPr>
      <xdr:spPr>
        <a:xfrm>
          <a:off x="25400" y="7096760"/>
          <a:ext cx="4155440" cy="23876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ptos" panose="020B0004020202020204" pitchFamily="34" charset="0"/>
            </a:rPr>
            <a:t>Modifica cererea</a:t>
          </a:r>
        </a:p>
      </xdr:txBody>
    </xdr:sp>
    <xdr:clientData/>
  </xdr:twoCellAnchor>
  <xdr:twoCellAnchor>
    <xdr:from>
      <xdr:col>3</xdr:col>
      <xdr:colOff>25400</xdr:colOff>
      <xdr:row>20</xdr:row>
      <xdr:rowOff>25400</xdr:rowOff>
    </xdr:from>
    <xdr:to>
      <xdr:col>5</xdr:col>
      <xdr:colOff>988060</xdr:colOff>
      <xdr:row>20</xdr:row>
      <xdr:rowOff>264160</xdr:rowOff>
    </xdr:to>
    <xdr:sp macro="[0]!TQM_CO_RetrageAprobarea" textlink="">
      <xdr:nvSpPr>
        <xdr:cNvPr id="9" name="TQM_CO_TQM_CO_RetrageAprobarea">
          <a:extLst>
            <a:ext uri="{FF2B5EF4-FFF2-40B4-BE49-F238E27FC236}">
              <a16:creationId xmlns:a16="http://schemas.microsoft.com/office/drawing/2014/main" id="{9F9D79AB-9416-A006-74F6-7029A7877902}"/>
            </a:ext>
          </a:extLst>
        </xdr:cNvPr>
        <xdr:cNvSpPr/>
      </xdr:nvSpPr>
      <xdr:spPr>
        <a:xfrm>
          <a:off x="4231640" y="7096760"/>
          <a:ext cx="2783840" cy="23876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ptos" panose="020B0004020202020204" pitchFamily="34" charset="0"/>
            </a:rPr>
            <a:t>Retrage aprobarea</a:t>
          </a:r>
        </a:p>
      </xdr:txBody>
    </xdr:sp>
    <xdr:clientData/>
  </xdr:twoCellAnchor>
  <xdr:twoCellAnchor>
    <xdr:from>
      <xdr:col>6</xdr:col>
      <xdr:colOff>25400</xdr:colOff>
      <xdr:row>20</xdr:row>
      <xdr:rowOff>25400</xdr:rowOff>
    </xdr:from>
    <xdr:to>
      <xdr:col>8</xdr:col>
      <xdr:colOff>995680</xdr:colOff>
      <xdr:row>20</xdr:row>
      <xdr:rowOff>264160</xdr:rowOff>
    </xdr:to>
    <xdr:sp macro="[0]!TQM_CO_ModificaOferta" textlink="">
      <xdr:nvSpPr>
        <xdr:cNvPr id="10" name="TQM_CO_TQM_CO_ModificaOferta">
          <a:extLst>
            <a:ext uri="{FF2B5EF4-FFF2-40B4-BE49-F238E27FC236}">
              <a16:creationId xmlns:a16="http://schemas.microsoft.com/office/drawing/2014/main" id="{68743FE5-CD3A-0A99-1859-ACB2BE9CFB0A}"/>
            </a:ext>
          </a:extLst>
        </xdr:cNvPr>
        <xdr:cNvSpPr/>
      </xdr:nvSpPr>
      <xdr:spPr>
        <a:xfrm>
          <a:off x="7066280" y="7096760"/>
          <a:ext cx="3119120" cy="23876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ptos" panose="020B0004020202020204" pitchFamily="34" charset="0"/>
            </a:rPr>
            <a:t>Modifica oferta</a:t>
          </a:r>
        </a:p>
      </xdr:txBody>
    </xdr:sp>
    <xdr:clientData/>
  </xdr:twoCellAnchor>
  <xdr:twoCellAnchor>
    <xdr:from>
      <xdr:col>9</xdr:col>
      <xdr:colOff>25400</xdr:colOff>
      <xdr:row>20</xdr:row>
      <xdr:rowOff>25400</xdr:rowOff>
    </xdr:from>
    <xdr:to>
      <xdr:col>11</xdr:col>
      <xdr:colOff>1948180</xdr:colOff>
      <xdr:row>20</xdr:row>
      <xdr:rowOff>264160</xdr:rowOff>
    </xdr:to>
    <xdr:sp macro="[0]!TQM_CO_VeziOferte" textlink="">
      <xdr:nvSpPr>
        <xdr:cNvPr id="11" name="TQM_CO_TQM_CO_VeziOferte">
          <a:extLst>
            <a:ext uri="{FF2B5EF4-FFF2-40B4-BE49-F238E27FC236}">
              <a16:creationId xmlns:a16="http://schemas.microsoft.com/office/drawing/2014/main" id="{65E523E7-52B1-A379-1041-954025D3A562}"/>
            </a:ext>
          </a:extLst>
        </xdr:cNvPr>
        <xdr:cNvSpPr/>
      </xdr:nvSpPr>
      <xdr:spPr>
        <a:xfrm>
          <a:off x="10236200" y="7096760"/>
          <a:ext cx="4780280" cy="23876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ptos" panose="020B0004020202020204" pitchFamily="34" charset="0"/>
            </a:rPr>
            <a:t>Vezi ofertele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25400</xdr:colOff>
      <xdr:row>4</xdr:row>
      <xdr:rowOff>36158</xdr:rowOff>
    </xdr:from>
    <xdr:to>
      <xdr:col>1</xdr:col>
      <xdr:colOff>1334098</xdr:colOff>
      <xdr:row>4</xdr:row>
      <xdr:rowOff>274918</xdr:rowOff>
    </xdr:to>
    <xdr:sp macro="[0]!CF_ComandaNoua" textlink="">
      <xdr:nvSpPr>
        <xdr:cNvPr id="29" name="CFBTN_CF_ComandaNoua">
          <a:extLst>
            <a:ext uri="{FF2B5EF4-FFF2-40B4-BE49-F238E27FC236}">
              <a16:creationId xmlns:a16="http://schemas.microsoft.com/office/drawing/2014/main" id="{720BAF08-8404-D639-A637-4DFCA97ECFC6}"/>
            </a:ext>
          </a:extLst>
        </xdr:cNvPr>
        <xdr:cNvSpPr/>
      </xdr:nvSpPr>
      <xdr:spPr>
        <a:xfrm>
          <a:off x="25400" y="1183640"/>
          <a:ext cx="2456180" cy="23876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rgbClr val="FFFFFF"/>
              </a:solidFill>
              <a:latin typeface="Aptos" panose="020B0004020202020204" pitchFamily="34" charset="0"/>
            </a:rPr>
            <a:t>Comanda noua</a:t>
          </a:r>
        </a:p>
      </xdr:txBody>
    </xdr:sp>
    <xdr:clientData/>
  </xdr:twoCellAnchor>
  <xdr:twoCellAnchor editAs="absolute">
    <xdr:from>
      <xdr:col>2</xdr:col>
      <xdr:colOff>31227</xdr:colOff>
      <xdr:row>4</xdr:row>
      <xdr:rowOff>36158</xdr:rowOff>
    </xdr:from>
    <xdr:to>
      <xdr:col>3</xdr:col>
      <xdr:colOff>1954455</xdr:colOff>
      <xdr:row>4</xdr:row>
      <xdr:rowOff>274918</xdr:rowOff>
    </xdr:to>
    <xdr:sp macro="[0]!CF_DinOferte" textlink="">
      <xdr:nvSpPr>
        <xdr:cNvPr id="30" name="CFBTN_CF_DinOferte">
          <a:extLst>
            <a:ext uri="{FF2B5EF4-FFF2-40B4-BE49-F238E27FC236}">
              <a16:creationId xmlns:a16="http://schemas.microsoft.com/office/drawing/2014/main" id="{A1464F3F-1E6E-6527-DEFC-459CC7A40D9A}"/>
            </a:ext>
          </a:extLst>
        </xdr:cNvPr>
        <xdr:cNvSpPr/>
      </xdr:nvSpPr>
      <xdr:spPr>
        <a:xfrm>
          <a:off x="2532380" y="1183640"/>
          <a:ext cx="2936240" cy="23876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rgbClr val="FFFFFF"/>
              </a:solidFill>
              <a:latin typeface="Aptos" panose="020B0004020202020204" pitchFamily="34" charset="0"/>
            </a:rPr>
            <a:t>Din oferte aprobate</a:t>
          </a:r>
        </a:p>
      </xdr:txBody>
    </xdr:sp>
    <xdr:clientData/>
  </xdr:twoCellAnchor>
  <xdr:twoCellAnchor editAs="absolute">
    <xdr:from>
      <xdr:col>4</xdr:col>
      <xdr:colOff>33020</xdr:colOff>
      <xdr:row>4</xdr:row>
      <xdr:rowOff>36158</xdr:rowOff>
    </xdr:from>
    <xdr:to>
      <xdr:col>5</xdr:col>
      <xdr:colOff>997473</xdr:colOff>
      <xdr:row>4</xdr:row>
      <xdr:rowOff>274918</xdr:rowOff>
    </xdr:to>
    <xdr:sp macro="[0]!CF_Deschide" textlink="">
      <xdr:nvSpPr>
        <xdr:cNvPr id="31" name="CFBTN_CF_Deschide">
          <a:extLst>
            <a:ext uri="{FF2B5EF4-FFF2-40B4-BE49-F238E27FC236}">
              <a16:creationId xmlns:a16="http://schemas.microsoft.com/office/drawing/2014/main" id="{DF60DB5C-C892-6124-C4A8-2000A0CF7DA1}"/>
            </a:ext>
          </a:extLst>
        </xdr:cNvPr>
        <xdr:cNvSpPr/>
      </xdr:nvSpPr>
      <xdr:spPr>
        <a:xfrm>
          <a:off x="5519420" y="1183640"/>
          <a:ext cx="2730500" cy="23876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rgbClr val="FFFFFF"/>
              </a:solidFill>
              <a:latin typeface="Aptos" panose="020B0004020202020204" pitchFamily="34" charset="0"/>
            </a:rPr>
            <a:t>Deschide comanda</a:t>
          </a:r>
        </a:p>
      </xdr:txBody>
    </xdr:sp>
    <xdr:clientData/>
  </xdr:twoCellAnchor>
  <xdr:twoCellAnchor editAs="absolute">
    <xdr:from>
      <xdr:col>6</xdr:col>
      <xdr:colOff>35261</xdr:colOff>
      <xdr:row>4</xdr:row>
      <xdr:rowOff>36158</xdr:rowOff>
    </xdr:from>
    <xdr:to>
      <xdr:col>7</xdr:col>
      <xdr:colOff>1000610</xdr:colOff>
      <xdr:row>4</xdr:row>
      <xdr:rowOff>274918</xdr:rowOff>
    </xdr:to>
    <xdr:sp macro="[0]!CF_Receptie" textlink="">
      <xdr:nvSpPr>
        <xdr:cNvPr id="32" name="CFBTN_CF_Receptie">
          <a:extLst>
            <a:ext uri="{FF2B5EF4-FFF2-40B4-BE49-F238E27FC236}">
              <a16:creationId xmlns:a16="http://schemas.microsoft.com/office/drawing/2014/main" id="{8DF7EB5F-D476-3B30-686A-609D4776FD5B}"/>
            </a:ext>
          </a:extLst>
        </xdr:cNvPr>
        <xdr:cNvSpPr/>
      </xdr:nvSpPr>
      <xdr:spPr>
        <a:xfrm>
          <a:off x="8300720" y="1183640"/>
          <a:ext cx="2319019" cy="23876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rgbClr val="FFFFFF"/>
              </a:solidFill>
              <a:latin typeface="Aptos" panose="020B0004020202020204" pitchFamily="34" charset="0"/>
            </a:rPr>
            <a:t>Receptie partiala</a:t>
          </a:r>
        </a:p>
      </xdr:txBody>
    </xdr:sp>
    <xdr:clientData/>
  </xdr:twoCellAnchor>
  <xdr:twoCellAnchor editAs="absolute">
    <xdr:from>
      <xdr:col>8</xdr:col>
      <xdr:colOff>38399</xdr:colOff>
      <xdr:row>4</xdr:row>
      <xdr:rowOff>36158</xdr:rowOff>
    </xdr:from>
    <xdr:to>
      <xdr:col>9</xdr:col>
      <xdr:colOff>863899</xdr:colOff>
      <xdr:row>4</xdr:row>
      <xdr:rowOff>274918</xdr:rowOff>
    </xdr:to>
    <xdr:sp macro="[0]!CF_AnuleazaRest" textlink="">
      <xdr:nvSpPr>
        <xdr:cNvPr id="33" name="CFBTN_CF_AnuleazaRest">
          <a:extLst>
            <a:ext uri="{FF2B5EF4-FFF2-40B4-BE49-F238E27FC236}">
              <a16:creationId xmlns:a16="http://schemas.microsoft.com/office/drawing/2014/main" id="{F4507D64-9F6B-3DCC-3D73-8750A422F201}"/>
            </a:ext>
          </a:extLst>
        </xdr:cNvPr>
        <xdr:cNvSpPr/>
      </xdr:nvSpPr>
      <xdr:spPr>
        <a:xfrm>
          <a:off x="10670540" y="1183640"/>
          <a:ext cx="2044700" cy="23876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rgbClr val="FFFFFF"/>
              </a:solidFill>
              <a:latin typeface="Aptos" panose="020B0004020202020204" pitchFamily="34" charset="0"/>
            </a:rPr>
            <a:t>Anuleaza restul</a:t>
          </a:r>
        </a:p>
      </xdr:txBody>
    </xdr:sp>
    <xdr:clientData/>
  </xdr:twoCellAnchor>
  <xdr:twoCellAnchor editAs="absolute">
    <xdr:from>
      <xdr:col>10</xdr:col>
      <xdr:colOff>36158</xdr:colOff>
      <xdr:row>4</xdr:row>
      <xdr:rowOff>36158</xdr:rowOff>
    </xdr:from>
    <xdr:to>
      <xdr:col>11</xdr:col>
      <xdr:colOff>1344408</xdr:colOff>
      <xdr:row>4</xdr:row>
      <xdr:rowOff>274918</xdr:rowOff>
    </xdr:to>
    <xdr:sp macro="[0]!CF_ExportPDF" textlink="">
      <xdr:nvSpPr>
        <xdr:cNvPr id="34" name="CFBTN_CF_ExportPDF">
          <a:extLst>
            <a:ext uri="{FF2B5EF4-FFF2-40B4-BE49-F238E27FC236}">
              <a16:creationId xmlns:a16="http://schemas.microsoft.com/office/drawing/2014/main" id="{FBC5656D-7A79-617B-7B56-12408FB647B4}"/>
            </a:ext>
          </a:extLst>
        </xdr:cNvPr>
        <xdr:cNvSpPr/>
      </xdr:nvSpPr>
      <xdr:spPr>
        <a:xfrm>
          <a:off x="12766040" y="1183640"/>
          <a:ext cx="2661921" cy="23876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rgbClr val="FFFFFF"/>
              </a:solidFill>
              <a:latin typeface="Aptos" panose="020B0004020202020204" pitchFamily="34" charset="0"/>
            </a:rPr>
            <a:t>Export PDF</a:t>
          </a:r>
        </a:p>
      </xdr:txBody>
    </xdr:sp>
    <xdr:clientData/>
  </xdr:twoCellAnchor>
  <xdr:twoCellAnchor editAs="absolute">
    <xdr:from>
      <xdr:col>0</xdr:col>
      <xdr:colOff>25400</xdr:colOff>
      <xdr:row>5</xdr:row>
      <xdr:rowOff>38847</xdr:rowOff>
    </xdr:from>
    <xdr:to>
      <xdr:col>1</xdr:col>
      <xdr:colOff>1334098</xdr:colOff>
      <xdr:row>5</xdr:row>
      <xdr:rowOff>277607</xdr:rowOff>
    </xdr:to>
    <xdr:sp macro="[0]!CF_Istoric" textlink="">
      <xdr:nvSpPr>
        <xdr:cNvPr id="35" name="CFBTN_CF_Istoric">
          <a:extLst>
            <a:ext uri="{FF2B5EF4-FFF2-40B4-BE49-F238E27FC236}">
              <a16:creationId xmlns:a16="http://schemas.microsoft.com/office/drawing/2014/main" id="{51F1C32F-B0F3-C904-322A-C9E48077C3DF}"/>
            </a:ext>
          </a:extLst>
        </xdr:cNvPr>
        <xdr:cNvSpPr/>
      </xdr:nvSpPr>
      <xdr:spPr>
        <a:xfrm>
          <a:off x="25400" y="1473200"/>
          <a:ext cx="2456180" cy="23876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rgbClr val="FFFFFF"/>
              </a:solidFill>
              <a:latin typeface="Aptos" panose="020B0004020202020204" pitchFamily="34" charset="0"/>
            </a:rPr>
            <a:t>Istoric receptii</a:t>
          </a:r>
        </a:p>
      </xdr:txBody>
    </xdr:sp>
    <xdr:clientData/>
  </xdr:twoCellAnchor>
  <xdr:twoCellAnchor editAs="absolute">
    <xdr:from>
      <xdr:col>2</xdr:col>
      <xdr:colOff>31227</xdr:colOff>
      <xdr:row>5</xdr:row>
      <xdr:rowOff>38847</xdr:rowOff>
    </xdr:from>
    <xdr:to>
      <xdr:col>3</xdr:col>
      <xdr:colOff>1954455</xdr:colOff>
      <xdr:row>5</xdr:row>
      <xdr:rowOff>277607</xdr:rowOff>
    </xdr:to>
    <xdr:sp macro="[0]!CF_AnuleazaReceptie" textlink="">
      <xdr:nvSpPr>
        <xdr:cNvPr id="36" name="CFBTN_CF_AnuleazaReceptie">
          <a:extLst>
            <a:ext uri="{FF2B5EF4-FFF2-40B4-BE49-F238E27FC236}">
              <a16:creationId xmlns:a16="http://schemas.microsoft.com/office/drawing/2014/main" id="{AE8FCF27-850C-A793-A419-1DC26F67B969}"/>
            </a:ext>
          </a:extLst>
        </xdr:cNvPr>
        <xdr:cNvSpPr/>
      </xdr:nvSpPr>
      <xdr:spPr>
        <a:xfrm>
          <a:off x="2532380" y="1473200"/>
          <a:ext cx="2936240" cy="23876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rgbClr val="FFFFFF"/>
              </a:solidFill>
              <a:latin typeface="Aptos" panose="020B0004020202020204" pitchFamily="34" charset="0"/>
            </a:rPr>
            <a:t>Anuleaza receptie</a:t>
          </a:r>
        </a:p>
      </xdr:txBody>
    </xdr:sp>
    <xdr:clientData/>
  </xdr:twoCellAnchor>
  <xdr:twoCellAnchor editAs="absolute">
    <xdr:from>
      <xdr:col>4</xdr:col>
      <xdr:colOff>33020</xdr:colOff>
      <xdr:row>5</xdr:row>
      <xdr:rowOff>38847</xdr:rowOff>
    </xdr:from>
    <xdr:to>
      <xdr:col>5</xdr:col>
      <xdr:colOff>997473</xdr:colOff>
      <xdr:row>5</xdr:row>
      <xdr:rowOff>277607</xdr:rowOff>
    </xdr:to>
    <xdr:sp macro="[0]!CF_Actualizeaza" textlink="">
      <xdr:nvSpPr>
        <xdr:cNvPr id="37" name="CFBTN_CF_Actualizeaza">
          <a:extLst>
            <a:ext uri="{FF2B5EF4-FFF2-40B4-BE49-F238E27FC236}">
              <a16:creationId xmlns:a16="http://schemas.microsoft.com/office/drawing/2014/main" id="{DC4DB8CF-A075-C25B-DD8B-4B8C7D8D1ED3}"/>
            </a:ext>
          </a:extLst>
        </xdr:cNvPr>
        <xdr:cNvSpPr/>
      </xdr:nvSpPr>
      <xdr:spPr>
        <a:xfrm>
          <a:off x="5519420" y="1473200"/>
          <a:ext cx="2730500" cy="23876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rgbClr val="FFFFFF"/>
              </a:solidFill>
              <a:latin typeface="Aptos" panose="020B0004020202020204" pitchFamily="34" charset="0"/>
            </a:rPr>
            <a:t>Actualizeaza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25400</xdr:colOff>
      <xdr:row>4</xdr:row>
      <xdr:rowOff>21814</xdr:rowOff>
    </xdr:from>
    <xdr:to>
      <xdr:col>1</xdr:col>
      <xdr:colOff>2089374</xdr:colOff>
      <xdr:row>4</xdr:row>
      <xdr:rowOff>275814</xdr:rowOff>
    </xdr:to>
    <xdr:sp macro="[0]!ST_PreiaReceptii" textlink="">
      <xdr:nvSpPr>
        <xdr:cNvPr id="42" name="STBTN_ST_PreiaReceptii">
          <a:extLst>
            <a:ext uri="{FF2B5EF4-FFF2-40B4-BE49-F238E27FC236}">
              <a16:creationId xmlns:a16="http://schemas.microsoft.com/office/drawing/2014/main" id="{F6F60858-B42D-3B99-A96B-0ADB91831D55}"/>
            </a:ext>
          </a:extLst>
        </xdr:cNvPr>
        <xdr:cNvSpPr/>
      </xdr:nvSpPr>
      <xdr:spPr>
        <a:xfrm>
          <a:off x="25400" y="1366520"/>
          <a:ext cx="4170680" cy="25400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rgbClr val="FFFFFF"/>
              </a:solidFill>
              <a:latin typeface="Aptos" panose="020B0004020202020204" pitchFamily="34" charset="0"/>
            </a:rPr>
            <a:t>Preia receptii</a:t>
          </a:r>
        </a:p>
      </xdr:txBody>
    </xdr:sp>
    <xdr:clientData/>
  </xdr:twoCellAnchor>
  <xdr:twoCellAnchor editAs="absolute">
    <xdr:from>
      <xdr:col>2</xdr:col>
      <xdr:colOff>33468</xdr:colOff>
      <xdr:row>4</xdr:row>
      <xdr:rowOff>21814</xdr:rowOff>
    </xdr:from>
    <xdr:to>
      <xdr:col>3</xdr:col>
      <xdr:colOff>1748715</xdr:colOff>
      <xdr:row>4</xdr:row>
      <xdr:rowOff>275814</xdr:rowOff>
    </xdr:to>
    <xdr:sp macro="[0]!ST_StocInitial" textlink="">
      <xdr:nvSpPr>
        <xdr:cNvPr id="43" name="STBTN_ST_StocInitial">
          <a:extLst>
            <a:ext uri="{FF2B5EF4-FFF2-40B4-BE49-F238E27FC236}">
              <a16:creationId xmlns:a16="http://schemas.microsoft.com/office/drawing/2014/main" id="{CEB6C7C5-A65F-FC26-98FC-4E5878302E2D}"/>
            </a:ext>
          </a:extLst>
        </xdr:cNvPr>
        <xdr:cNvSpPr/>
      </xdr:nvSpPr>
      <xdr:spPr>
        <a:xfrm>
          <a:off x="4246880" y="1366520"/>
          <a:ext cx="2387600" cy="25400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rgbClr val="FFFFFF"/>
              </a:solidFill>
              <a:latin typeface="Aptos" panose="020B0004020202020204" pitchFamily="34" charset="0"/>
            </a:rPr>
            <a:t>Stoc initial</a:t>
          </a:r>
        </a:p>
      </xdr:txBody>
    </xdr:sp>
    <xdr:clientData/>
  </xdr:twoCellAnchor>
  <xdr:twoCellAnchor editAs="absolute">
    <xdr:from>
      <xdr:col>4</xdr:col>
      <xdr:colOff>33468</xdr:colOff>
      <xdr:row>4</xdr:row>
      <xdr:rowOff>21814</xdr:rowOff>
    </xdr:from>
    <xdr:to>
      <xdr:col>5</xdr:col>
      <xdr:colOff>1062020</xdr:colOff>
      <xdr:row>4</xdr:row>
      <xdr:rowOff>275814</xdr:rowOff>
    </xdr:to>
    <xdr:sp macro="[0]!ST_Transfer" textlink="">
      <xdr:nvSpPr>
        <xdr:cNvPr id="44" name="STBTN_ST_Transfer">
          <a:extLst>
            <a:ext uri="{FF2B5EF4-FFF2-40B4-BE49-F238E27FC236}">
              <a16:creationId xmlns:a16="http://schemas.microsoft.com/office/drawing/2014/main" id="{9604FB08-B561-FFE1-1E49-8CA69F4C4FD6}"/>
            </a:ext>
          </a:extLst>
        </xdr:cNvPr>
        <xdr:cNvSpPr/>
      </xdr:nvSpPr>
      <xdr:spPr>
        <a:xfrm>
          <a:off x="6685280" y="1366520"/>
          <a:ext cx="2113281" cy="25400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rgbClr val="FFFFFF"/>
              </a:solidFill>
              <a:latin typeface="Aptos" panose="020B0004020202020204" pitchFamily="34" charset="0"/>
            </a:rPr>
            <a:t>Transfer</a:t>
          </a:r>
        </a:p>
      </xdr:txBody>
    </xdr:sp>
    <xdr:clientData/>
  </xdr:twoCellAnchor>
  <xdr:twoCellAnchor editAs="absolute">
    <xdr:from>
      <xdr:col>6</xdr:col>
      <xdr:colOff>28089</xdr:colOff>
      <xdr:row>4</xdr:row>
      <xdr:rowOff>21814</xdr:rowOff>
    </xdr:from>
    <xdr:to>
      <xdr:col>7</xdr:col>
      <xdr:colOff>1127909</xdr:colOff>
      <xdr:row>4</xdr:row>
      <xdr:rowOff>275814</xdr:rowOff>
    </xdr:to>
    <xdr:sp macro="[0]!ST_Consum" textlink="">
      <xdr:nvSpPr>
        <xdr:cNvPr id="45" name="STBTN_ST_Consum">
          <a:extLst>
            <a:ext uri="{FF2B5EF4-FFF2-40B4-BE49-F238E27FC236}">
              <a16:creationId xmlns:a16="http://schemas.microsoft.com/office/drawing/2014/main" id="{E53E653B-501D-287A-9EE0-06BB6794D5B6}"/>
            </a:ext>
          </a:extLst>
        </xdr:cNvPr>
        <xdr:cNvSpPr/>
      </xdr:nvSpPr>
      <xdr:spPr>
        <a:xfrm>
          <a:off x="8849360" y="1366520"/>
          <a:ext cx="2319020" cy="25400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rgbClr val="FFFFFF"/>
              </a:solidFill>
              <a:latin typeface="Aptos" panose="020B0004020202020204" pitchFamily="34" charset="0"/>
            </a:rPr>
            <a:t>Consum</a:t>
          </a:r>
        </a:p>
      </xdr:txBody>
    </xdr:sp>
    <xdr:clientData/>
  </xdr:twoCellAnchor>
  <xdr:twoCellAnchor editAs="absolute">
    <xdr:from>
      <xdr:col>0</xdr:col>
      <xdr:colOff>25400</xdr:colOff>
      <xdr:row>5</xdr:row>
      <xdr:rowOff>21814</xdr:rowOff>
    </xdr:from>
    <xdr:to>
      <xdr:col>1</xdr:col>
      <xdr:colOff>2089374</xdr:colOff>
      <xdr:row>5</xdr:row>
      <xdr:rowOff>275814</xdr:rowOff>
    </xdr:to>
    <xdr:sp macro="[0]!ST_Retur" textlink="">
      <xdr:nvSpPr>
        <xdr:cNvPr id="46" name="STBTN_ST_Retur">
          <a:extLst>
            <a:ext uri="{FF2B5EF4-FFF2-40B4-BE49-F238E27FC236}">
              <a16:creationId xmlns:a16="http://schemas.microsoft.com/office/drawing/2014/main" id="{EF815445-80CB-C5CA-205D-CBDC724AC15D}"/>
            </a:ext>
          </a:extLst>
        </xdr:cNvPr>
        <xdr:cNvSpPr/>
      </xdr:nvSpPr>
      <xdr:spPr>
        <a:xfrm>
          <a:off x="25400" y="1671320"/>
          <a:ext cx="4170680" cy="25400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rgbClr val="FFFFFF"/>
              </a:solidFill>
              <a:latin typeface="Aptos" panose="020B0004020202020204" pitchFamily="34" charset="0"/>
            </a:rPr>
            <a:t>Retur furnizor</a:t>
          </a:r>
        </a:p>
      </xdr:txBody>
    </xdr:sp>
    <xdr:clientData/>
  </xdr:twoCellAnchor>
  <xdr:twoCellAnchor editAs="absolute">
    <xdr:from>
      <xdr:col>2</xdr:col>
      <xdr:colOff>33468</xdr:colOff>
      <xdr:row>5</xdr:row>
      <xdr:rowOff>21814</xdr:rowOff>
    </xdr:from>
    <xdr:to>
      <xdr:col>3</xdr:col>
      <xdr:colOff>1748715</xdr:colOff>
      <xdr:row>5</xdr:row>
      <xdr:rowOff>275814</xdr:rowOff>
    </xdr:to>
    <xdr:sp macro="[0]!ST_Corectie" textlink="">
      <xdr:nvSpPr>
        <xdr:cNvPr id="47" name="STBTN_ST_Corectie">
          <a:extLst>
            <a:ext uri="{FF2B5EF4-FFF2-40B4-BE49-F238E27FC236}">
              <a16:creationId xmlns:a16="http://schemas.microsoft.com/office/drawing/2014/main" id="{6E644B75-FB73-4597-1588-F8DA503B55D2}"/>
            </a:ext>
          </a:extLst>
        </xdr:cNvPr>
        <xdr:cNvSpPr/>
      </xdr:nvSpPr>
      <xdr:spPr>
        <a:xfrm>
          <a:off x="4246880" y="1671320"/>
          <a:ext cx="2387600" cy="25400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rgbClr val="FFFFFF"/>
              </a:solidFill>
              <a:latin typeface="Aptos" panose="020B0004020202020204" pitchFamily="34" charset="0"/>
            </a:rPr>
            <a:t>Corectie inventar</a:t>
          </a:r>
        </a:p>
      </xdr:txBody>
    </xdr:sp>
    <xdr:clientData/>
  </xdr:twoCellAnchor>
  <xdr:twoCellAnchor editAs="absolute">
    <xdr:from>
      <xdr:col>4</xdr:col>
      <xdr:colOff>33468</xdr:colOff>
      <xdr:row>5</xdr:row>
      <xdr:rowOff>21814</xdr:rowOff>
    </xdr:from>
    <xdr:to>
      <xdr:col>5</xdr:col>
      <xdr:colOff>1062020</xdr:colOff>
      <xdr:row>5</xdr:row>
      <xdr:rowOff>275814</xdr:rowOff>
    </xdr:to>
    <xdr:sp macro="[0]!ST_PragMinim" textlink="">
      <xdr:nvSpPr>
        <xdr:cNvPr id="48" name="STBTN_ST_PragMinim">
          <a:extLst>
            <a:ext uri="{FF2B5EF4-FFF2-40B4-BE49-F238E27FC236}">
              <a16:creationId xmlns:a16="http://schemas.microsoft.com/office/drawing/2014/main" id="{85AE25D5-D86F-3EED-9616-58C50407391F}"/>
            </a:ext>
          </a:extLst>
        </xdr:cNvPr>
        <xdr:cNvSpPr/>
      </xdr:nvSpPr>
      <xdr:spPr>
        <a:xfrm>
          <a:off x="6685280" y="1671320"/>
          <a:ext cx="2113281" cy="25400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rgbClr val="FFFFFF"/>
              </a:solidFill>
              <a:latin typeface="Aptos" panose="020B0004020202020204" pitchFamily="34" charset="0"/>
            </a:rPr>
            <a:t>Prag minim</a:t>
          </a:r>
        </a:p>
      </xdr:txBody>
    </xdr:sp>
    <xdr:clientData/>
  </xdr:twoCellAnchor>
  <xdr:twoCellAnchor editAs="absolute">
    <xdr:from>
      <xdr:col>6</xdr:col>
      <xdr:colOff>28089</xdr:colOff>
      <xdr:row>5</xdr:row>
      <xdr:rowOff>21814</xdr:rowOff>
    </xdr:from>
    <xdr:to>
      <xdr:col>7</xdr:col>
      <xdr:colOff>1127909</xdr:colOff>
      <xdr:row>5</xdr:row>
      <xdr:rowOff>275814</xdr:rowOff>
    </xdr:to>
    <xdr:sp macro="[0]!ST_Istoric" textlink="">
      <xdr:nvSpPr>
        <xdr:cNvPr id="49" name="STBTN_ST_Istoric">
          <a:extLst>
            <a:ext uri="{FF2B5EF4-FFF2-40B4-BE49-F238E27FC236}">
              <a16:creationId xmlns:a16="http://schemas.microsoft.com/office/drawing/2014/main" id="{13930EE7-3C88-B156-13CD-49AAEF81988B}"/>
            </a:ext>
          </a:extLst>
        </xdr:cNvPr>
        <xdr:cNvSpPr/>
      </xdr:nvSpPr>
      <xdr:spPr>
        <a:xfrm>
          <a:off x="8849360" y="1671320"/>
          <a:ext cx="2319020" cy="25400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rgbClr val="FFFFFF"/>
              </a:solidFill>
              <a:latin typeface="Aptos" panose="020B0004020202020204" pitchFamily="34" charset="0"/>
            </a:rPr>
            <a:t>Istoric miscari</a:t>
          </a:r>
        </a:p>
      </xdr:txBody>
    </xdr:sp>
    <xdr:clientData/>
  </xdr:twoCellAnchor>
  <xdr:twoCellAnchor editAs="absolute">
    <xdr:from>
      <xdr:col>0</xdr:col>
      <xdr:colOff>25400</xdr:colOff>
      <xdr:row>6</xdr:row>
      <xdr:rowOff>21814</xdr:rowOff>
    </xdr:from>
    <xdr:to>
      <xdr:col>1</xdr:col>
      <xdr:colOff>2089374</xdr:colOff>
      <xdr:row>6</xdr:row>
      <xdr:rowOff>275814</xdr:rowOff>
    </xdr:to>
    <xdr:sp macro="[0]!ST_AnuleazaOperatie" textlink="">
      <xdr:nvSpPr>
        <xdr:cNvPr id="50" name="STBTN_ST_AnuleazaOperatie">
          <a:extLst>
            <a:ext uri="{FF2B5EF4-FFF2-40B4-BE49-F238E27FC236}">
              <a16:creationId xmlns:a16="http://schemas.microsoft.com/office/drawing/2014/main" id="{00C9C771-AFFE-33F4-79C2-EFB53A2FA387}"/>
            </a:ext>
          </a:extLst>
        </xdr:cNvPr>
        <xdr:cNvSpPr/>
      </xdr:nvSpPr>
      <xdr:spPr>
        <a:xfrm>
          <a:off x="25400" y="1976120"/>
          <a:ext cx="4170680" cy="25400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rgbClr val="FFFFFF"/>
              </a:solidFill>
              <a:latin typeface="Aptos" panose="020B0004020202020204" pitchFamily="34" charset="0"/>
            </a:rPr>
            <a:t>Anuleaza operatie</a:t>
          </a:r>
        </a:p>
      </xdr:txBody>
    </xdr:sp>
    <xdr:clientData/>
  </xdr:twoCellAnchor>
  <xdr:twoCellAnchor editAs="absolute">
    <xdr:from>
      <xdr:col>2</xdr:col>
      <xdr:colOff>33468</xdr:colOff>
      <xdr:row>6</xdr:row>
      <xdr:rowOff>21814</xdr:rowOff>
    </xdr:from>
    <xdr:to>
      <xdr:col>3</xdr:col>
      <xdr:colOff>1748715</xdr:colOff>
      <xdr:row>6</xdr:row>
      <xdr:rowOff>275814</xdr:rowOff>
    </xdr:to>
    <xdr:sp macro="[0]!ST_Actualizeaza" textlink="">
      <xdr:nvSpPr>
        <xdr:cNvPr id="51" name="STBTN_ST_Actualizeaza">
          <a:extLst>
            <a:ext uri="{FF2B5EF4-FFF2-40B4-BE49-F238E27FC236}">
              <a16:creationId xmlns:a16="http://schemas.microsoft.com/office/drawing/2014/main" id="{23DDBC8F-848D-4006-DD3E-342359B4CABD}"/>
            </a:ext>
          </a:extLst>
        </xdr:cNvPr>
        <xdr:cNvSpPr/>
      </xdr:nvSpPr>
      <xdr:spPr>
        <a:xfrm>
          <a:off x="4246880" y="1976120"/>
          <a:ext cx="2387600" cy="25400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rgbClr val="FFFFFF"/>
              </a:solidFill>
              <a:latin typeface="Aptos" panose="020B0004020202020204" pitchFamily="34" charset="0"/>
            </a:rPr>
            <a:t>Actualizeaza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25400</xdr:colOff>
      <xdr:row>4</xdr:row>
      <xdr:rowOff>21814</xdr:rowOff>
    </xdr:from>
    <xdr:to>
      <xdr:col>1</xdr:col>
      <xdr:colOff>987612</xdr:colOff>
      <xdr:row>4</xdr:row>
      <xdr:rowOff>275814</xdr:rowOff>
    </xdr:to>
    <xdr:sp macro="[0]!FP_FacturaNoua" textlink="">
      <xdr:nvSpPr>
        <xdr:cNvPr id="14" name="FPBTN_FP_FacturaNoua">
          <a:extLst>
            <a:ext uri="{FF2B5EF4-FFF2-40B4-BE49-F238E27FC236}">
              <a16:creationId xmlns:a16="http://schemas.microsoft.com/office/drawing/2014/main" id="{C324C070-7BE8-D08F-0A7B-5EC3E0745035}"/>
            </a:ext>
          </a:extLst>
        </xdr:cNvPr>
        <xdr:cNvSpPr/>
      </xdr:nvSpPr>
      <xdr:spPr>
        <a:xfrm>
          <a:off x="25400" y="1366520"/>
          <a:ext cx="2387600" cy="25400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rgbClr val="FFFFFF"/>
              </a:solidFill>
              <a:latin typeface="Aptos" panose="020B0004020202020204" pitchFamily="34" charset="0"/>
            </a:rPr>
            <a:t>Factura noua</a:t>
          </a:r>
        </a:p>
      </xdr:txBody>
    </xdr:sp>
    <xdr:clientData/>
  </xdr:twoCellAnchor>
  <xdr:twoCellAnchor editAs="absolute">
    <xdr:from>
      <xdr:col>2</xdr:col>
      <xdr:colOff>25400</xdr:colOff>
      <xdr:row>4</xdr:row>
      <xdr:rowOff>21814</xdr:rowOff>
    </xdr:from>
    <xdr:to>
      <xdr:col>3</xdr:col>
      <xdr:colOff>1263725</xdr:colOff>
      <xdr:row>4</xdr:row>
      <xdr:rowOff>275814</xdr:rowOff>
    </xdr:to>
    <xdr:sp macro="[0]!FP_DinComanda" textlink="">
      <xdr:nvSpPr>
        <xdr:cNvPr id="15" name="FPBTN_FP_DinComanda">
          <a:extLst>
            <a:ext uri="{FF2B5EF4-FFF2-40B4-BE49-F238E27FC236}">
              <a16:creationId xmlns:a16="http://schemas.microsoft.com/office/drawing/2014/main" id="{101F1D45-6896-35B5-6BCA-B1F48BA41D91}"/>
            </a:ext>
          </a:extLst>
        </xdr:cNvPr>
        <xdr:cNvSpPr/>
      </xdr:nvSpPr>
      <xdr:spPr>
        <a:xfrm>
          <a:off x="2463800" y="1366520"/>
          <a:ext cx="3210560" cy="25400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rgbClr val="FFFFFF"/>
              </a:solidFill>
              <a:latin typeface="Aptos" panose="020B0004020202020204" pitchFamily="34" charset="0"/>
            </a:rPr>
            <a:t>Din comanda</a:t>
          </a:r>
        </a:p>
      </xdr:txBody>
    </xdr:sp>
    <xdr:clientData/>
  </xdr:twoCellAnchor>
  <xdr:twoCellAnchor editAs="absolute">
    <xdr:from>
      <xdr:col>4</xdr:col>
      <xdr:colOff>23607</xdr:colOff>
      <xdr:row>4</xdr:row>
      <xdr:rowOff>21814</xdr:rowOff>
    </xdr:from>
    <xdr:to>
      <xdr:col>5</xdr:col>
      <xdr:colOff>986715</xdr:colOff>
      <xdr:row>4</xdr:row>
      <xdr:rowOff>275814</xdr:rowOff>
    </xdr:to>
    <xdr:sp macro="[0]!FP_DinReceptie" textlink="">
      <xdr:nvSpPr>
        <xdr:cNvPr id="16" name="FPBTN_FP_DinReceptie">
          <a:extLst>
            <a:ext uri="{FF2B5EF4-FFF2-40B4-BE49-F238E27FC236}">
              <a16:creationId xmlns:a16="http://schemas.microsoft.com/office/drawing/2014/main" id="{B03181CC-F0E4-D288-B071-5A5348707465}"/>
            </a:ext>
          </a:extLst>
        </xdr:cNvPr>
        <xdr:cNvSpPr/>
      </xdr:nvSpPr>
      <xdr:spPr>
        <a:xfrm>
          <a:off x="5725160" y="1366520"/>
          <a:ext cx="1976120" cy="25400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rgbClr val="FFFFFF"/>
              </a:solidFill>
              <a:latin typeface="Aptos" panose="020B0004020202020204" pitchFamily="34" charset="0"/>
            </a:rPr>
            <a:t>Din receptie</a:t>
          </a:r>
        </a:p>
      </xdr:txBody>
    </xdr:sp>
    <xdr:clientData/>
  </xdr:twoCellAnchor>
  <xdr:twoCellAnchor editAs="absolute">
    <xdr:from>
      <xdr:col>6</xdr:col>
      <xdr:colOff>24504</xdr:colOff>
      <xdr:row>4</xdr:row>
      <xdr:rowOff>21814</xdr:rowOff>
    </xdr:from>
    <xdr:to>
      <xdr:col>7</xdr:col>
      <xdr:colOff>1192904</xdr:colOff>
      <xdr:row>4</xdr:row>
      <xdr:rowOff>275814</xdr:rowOff>
    </xdr:to>
    <xdr:sp macro="[0]!FP_DinControl" textlink="">
      <xdr:nvSpPr>
        <xdr:cNvPr id="17" name="FPBTN_FP_DinControl">
          <a:extLst>
            <a:ext uri="{FF2B5EF4-FFF2-40B4-BE49-F238E27FC236}">
              <a16:creationId xmlns:a16="http://schemas.microsoft.com/office/drawing/2014/main" id="{9A5466A6-9303-CE84-1252-9BD8844F8507}"/>
            </a:ext>
          </a:extLst>
        </xdr:cNvPr>
        <xdr:cNvSpPr/>
      </xdr:nvSpPr>
      <xdr:spPr>
        <a:xfrm>
          <a:off x="7752080" y="1366520"/>
          <a:ext cx="2387600" cy="25400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rgbClr val="FFFFFF"/>
              </a:solidFill>
              <a:latin typeface="Aptos" panose="020B0004020202020204" pitchFamily="34" charset="0"/>
            </a:rPr>
            <a:t>Din Control Achizitii</a:t>
          </a:r>
        </a:p>
      </xdr:txBody>
    </xdr:sp>
    <xdr:clientData/>
  </xdr:twoCellAnchor>
  <xdr:twoCellAnchor editAs="absolute">
    <xdr:from>
      <xdr:col>8</xdr:col>
      <xdr:colOff>24504</xdr:colOff>
      <xdr:row>4</xdr:row>
      <xdr:rowOff>21814</xdr:rowOff>
    </xdr:from>
    <xdr:to>
      <xdr:col>9</xdr:col>
      <xdr:colOff>1258346</xdr:colOff>
      <xdr:row>4</xdr:row>
      <xdr:rowOff>275814</xdr:rowOff>
    </xdr:to>
    <xdr:sp macro="[0]!FP_Plata" textlink="">
      <xdr:nvSpPr>
        <xdr:cNvPr id="18" name="FPBTN_FP_Plata">
          <a:extLst>
            <a:ext uri="{FF2B5EF4-FFF2-40B4-BE49-F238E27FC236}">
              <a16:creationId xmlns:a16="http://schemas.microsoft.com/office/drawing/2014/main" id="{F60A2A5D-9B96-F788-A935-D0DA88F6E58D}"/>
            </a:ext>
          </a:extLst>
        </xdr:cNvPr>
        <xdr:cNvSpPr/>
      </xdr:nvSpPr>
      <xdr:spPr>
        <a:xfrm>
          <a:off x="10190480" y="1366520"/>
          <a:ext cx="2524760" cy="25400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rgbClr val="FFFFFF"/>
              </a:solidFill>
              <a:latin typeface="Aptos" panose="020B0004020202020204" pitchFamily="34" charset="0"/>
            </a:rPr>
            <a:t>Plata / restituire</a:t>
          </a:r>
        </a:p>
      </xdr:txBody>
    </xdr:sp>
    <xdr:clientData/>
  </xdr:twoCellAnchor>
  <xdr:twoCellAnchor editAs="absolute">
    <xdr:from>
      <xdr:col>10</xdr:col>
      <xdr:colOff>18228</xdr:colOff>
      <xdr:row>4</xdr:row>
      <xdr:rowOff>21814</xdr:rowOff>
    </xdr:from>
    <xdr:to>
      <xdr:col>11</xdr:col>
      <xdr:colOff>1594971</xdr:colOff>
      <xdr:row>4</xdr:row>
      <xdr:rowOff>275814</xdr:rowOff>
    </xdr:to>
    <xdr:sp macro="[0]!FP_Compenseaza" textlink="">
      <xdr:nvSpPr>
        <xdr:cNvPr id="19" name="FPBTN_FP_Compenseaza">
          <a:extLst>
            <a:ext uri="{FF2B5EF4-FFF2-40B4-BE49-F238E27FC236}">
              <a16:creationId xmlns:a16="http://schemas.microsoft.com/office/drawing/2014/main" id="{1622B3C3-D499-735B-AF4F-3820952939BA}"/>
            </a:ext>
          </a:extLst>
        </xdr:cNvPr>
        <xdr:cNvSpPr/>
      </xdr:nvSpPr>
      <xdr:spPr>
        <a:xfrm>
          <a:off x="12766040" y="1366520"/>
          <a:ext cx="2867660" cy="25400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rgbClr val="FFFFFF"/>
              </a:solidFill>
              <a:latin typeface="Aptos" panose="020B0004020202020204" pitchFamily="34" charset="0"/>
            </a:rPr>
            <a:t>Compenseaza storno</a:t>
          </a:r>
        </a:p>
      </xdr:txBody>
    </xdr:sp>
    <xdr:clientData/>
  </xdr:twoCellAnchor>
  <xdr:twoCellAnchor editAs="absolute">
    <xdr:from>
      <xdr:col>0</xdr:col>
      <xdr:colOff>25400</xdr:colOff>
      <xdr:row>5</xdr:row>
      <xdr:rowOff>21814</xdr:rowOff>
    </xdr:from>
    <xdr:to>
      <xdr:col>1</xdr:col>
      <xdr:colOff>987612</xdr:colOff>
      <xdr:row>5</xdr:row>
      <xdr:rowOff>275814</xdr:rowOff>
    </xdr:to>
    <xdr:sp macro="[0]!FP_Storno" textlink="">
      <xdr:nvSpPr>
        <xdr:cNvPr id="20" name="FPBTN_FP_Storno">
          <a:extLst>
            <a:ext uri="{FF2B5EF4-FFF2-40B4-BE49-F238E27FC236}">
              <a16:creationId xmlns:a16="http://schemas.microsoft.com/office/drawing/2014/main" id="{4CA4EA39-76DD-4AA2-AF0C-6ED011D1FB13}"/>
            </a:ext>
          </a:extLst>
        </xdr:cNvPr>
        <xdr:cNvSpPr/>
      </xdr:nvSpPr>
      <xdr:spPr>
        <a:xfrm>
          <a:off x="25400" y="1671320"/>
          <a:ext cx="2387600" cy="25400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rgbClr val="FFFFFF"/>
              </a:solidFill>
              <a:latin typeface="Aptos" panose="020B0004020202020204" pitchFamily="34" charset="0"/>
            </a:rPr>
            <a:t>Factura storno</a:t>
          </a:r>
        </a:p>
      </xdr:txBody>
    </xdr:sp>
    <xdr:clientData/>
  </xdr:twoCellAnchor>
  <xdr:twoCellAnchor editAs="absolute">
    <xdr:from>
      <xdr:col>2</xdr:col>
      <xdr:colOff>25400</xdr:colOff>
      <xdr:row>5</xdr:row>
      <xdr:rowOff>21814</xdr:rowOff>
    </xdr:from>
    <xdr:to>
      <xdr:col>3</xdr:col>
      <xdr:colOff>1263725</xdr:colOff>
      <xdr:row>5</xdr:row>
      <xdr:rowOff>275814</xdr:rowOff>
    </xdr:to>
    <xdr:sp macro="[0]!FP_Detalii" textlink="">
      <xdr:nvSpPr>
        <xdr:cNvPr id="21" name="FPBTN_FP_Detalii">
          <a:extLst>
            <a:ext uri="{FF2B5EF4-FFF2-40B4-BE49-F238E27FC236}">
              <a16:creationId xmlns:a16="http://schemas.microsoft.com/office/drawing/2014/main" id="{B9DC4C2D-7D39-19CA-A059-87AF663953D5}"/>
            </a:ext>
          </a:extLst>
        </xdr:cNvPr>
        <xdr:cNvSpPr/>
      </xdr:nvSpPr>
      <xdr:spPr>
        <a:xfrm>
          <a:off x="2463800" y="1671320"/>
          <a:ext cx="3210560" cy="25400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rgbClr val="FFFFFF"/>
              </a:solidFill>
              <a:latin typeface="Aptos" panose="020B0004020202020204" pitchFamily="34" charset="0"/>
            </a:rPr>
            <a:t>Detalii si istoric</a:t>
          </a:r>
        </a:p>
      </xdr:txBody>
    </xdr:sp>
    <xdr:clientData/>
  </xdr:twoCellAnchor>
  <xdr:twoCellAnchor editAs="absolute">
    <xdr:from>
      <xdr:col>4</xdr:col>
      <xdr:colOff>23607</xdr:colOff>
      <xdr:row>5</xdr:row>
      <xdr:rowOff>21814</xdr:rowOff>
    </xdr:from>
    <xdr:to>
      <xdr:col>5</xdr:col>
      <xdr:colOff>986715</xdr:colOff>
      <xdr:row>5</xdr:row>
      <xdr:rowOff>275814</xdr:rowOff>
    </xdr:to>
    <xdr:sp macro="[0]!FP_AnuleazaPlata" textlink="">
      <xdr:nvSpPr>
        <xdr:cNvPr id="22" name="FPBTN_FP_AnuleazaPlata">
          <a:extLst>
            <a:ext uri="{FF2B5EF4-FFF2-40B4-BE49-F238E27FC236}">
              <a16:creationId xmlns:a16="http://schemas.microsoft.com/office/drawing/2014/main" id="{B22BF2B8-B6F7-87FA-ECF9-AB62D62291F9}"/>
            </a:ext>
          </a:extLst>
        </xdr:cNvPr>
        <xdr:cNvSpPr/>
      </xdr:nvSpPr>
      <xdr:spPr>
        <a:xfrm>
          <a:off x="5725160" y="1671320"/>
          <a:ext cx="1976120" cy="25400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rgbClr val="FFFFFF"/>
              </a:solidFill>
              <a:latin typeface="Aptos" panose="020B0004020202020204" pitchFamily="34" charset="0"/>
            </a:rPr>
            <a:t>Anuleaza plata</a:t>
          </a:r>
        </a:p>
      </xdr:txBody>
    </xdr:sp>
    <xdr:clientData/>
  </xdr:twoCellAnchor>
  <xdr:twoCellAnchor editAs="absolute">
    <xdr:from>
      <xdr:col>6</xdr:col>
      <xdr:colOff>24504</xdr:colOff>
      <xdr:row>5</xdr:row>
      <xdr:rowOff>21814</xdr:rowOff>
    </xdr:from>
    <xdr:to>
      <xdr:col>7</xdr:col>
      <xdr:colOff>1192904</xdr:colOff>
      <xdr:row>5</xdr:row>
      <xdr:rowOff>275814</xdr:rowOff>
    </xdr:to>
    <xdr:sp macro="[0]!FP_AnuleazaFactura" textlink="">
      <xdr:nvSpPr>
        <xdr:cNvPr id="23" name="FPBTN_FP_AnuleazaFactura">
          <a:extLst>
            <a:ext uri="{FF2B5EF4-FFF2-40B4-BE49-F238E27FC236}">
              <a16:creationId xmlns:a16="http://schemas.microsoft.com/office/drawing/2014/main" id="{88148E75-BD32-6209-BC08-62FF7440B053}"/>
            </a:ext>
          </a:extLst>
        </xdr:cNvPr>
        <xdr:cNvSpPr/>
      </xdr:nvSpPr>
      <xdr:spPr>
        <a:xfrm>
          <a:off x="7752080" y="1671320"/>
          <a:ext cx="2387600" cy="25400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rgbClr val="FFFFFF"/>
              </a:solidFill>
              <a:latin typeface="Aptos" panose="020B0004020202020204" pitchFamily="34" charset="0"/>
            </a:rPr>
            <a:t>Anuleaza factura</a:t>
          </a:r>
        </a:p>
      </xdr:txBody>
    </xdr:sp>
    <xdr:clientData/>
  </xdr:twoCellAnchor>
  <xdr:twoCellAnchor editAs="absolute">
    <xdr:from>
      <xdr:col>8</xdr:col>
      <xdr:colOff>24504</xdr:colOff>
      <xdr:row>5</xdr:row>
      <xdr:rowOff>21814</xdr:rowOff>
    </xdr:from>
    <xdr:to>
      <xdr:col>9</xdr:col>
      <xdr:colOff>1258346</xdr:colOff>
      <xdr:row>5</xdr:row>
      <xdr:rowOff>275814</xdr:rowOff>
    </xdr:to>
    <xdr:sp macro="[0]!FP_Actualizeaza" textlink="">
      <xdr:nvSpPr>
        <xdr:cNvPr id="24" name="FPBTN_FP_Actualizeaza">
          <a:extLst>
            <a:ext uri="{FF2B5EF4-FFF2-40B4-BE49-F238E27FC236}">
              <a16:creationId xmlns:a16="http://schemas.microsoft.com/office/drawing/2014/main" id="{A733786D-BD1A-5529-6D0F-56F31A7EC219}"/>
            </a:ext>
          </a:extLst>
        </xdr:cNvPr>
        <xdr:cNvSpPr/>
      </xdr:nvSpPr>
      <xdr:spPr>
        <a:xfrm>
          <a:off x="10190480" y="1671320"/>
          <a:ext cx="2524760" cy="25400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rgbClr val="FFFFFF"/>
              </a:solidFill>
              <a:latin typeface="Aptos" panose="020B0004020202020204" pitchFamily="34" charset="0"/>
            </a:rPr>
            <a:t>Actualizeaza</a:t>
          </a:r>
        </a:p>
      </xdr:txBody>
    </xdr:sp>
    <xdr:clientData/>
  </xdr:twoCellAnchor>
  <xdr:twoCellAnchor editAs="absolute">
    <xdr:from>
      <xdr:col>10</xdr:col>
      <xdr:colOff>18228</xdr:colOff>
      <xdr:row>5</xdr:row>
      <xdr:rowOff>21814</xdr:rowOff>
    </xdr:from>
    <xdr:to>
      <xdr:col>11</xdr:col>
      <xdr:colOff>1594971</xdr:colOff>
      <xdr:row>5</xdr:row>
      <xdr:rowOff>275814</xdr:rowOff>
    </xdr:to>
    <xdr:sp macro="[0]!FP_RegistruPlati" textlink="">
      <xdr:nvSpPr>
        <xdr:cNvPr id="25" name="FPBTN_FP_RegistruPlati">
          <a:extLst>
            <a:ext uri="{FF2B5EF4-FFF2-40B4-BE49-F238E27FC236}">
              <a16:creationId xmlns:a16="http://schemas.microsoft.com/office/drawing/2014/main" id="{B9063ECB-7F77-02CE-7975-879C4D02B60D}"/>
            </a:ext>
          </a:extLst>
        </xdr:cNvPr>
        <xdr:cNvSpPr/>
      </xdr:nvSpPr>
      <xdr:spPr>
        <a:xfrm>
          <a:off x="12766040" y="1671320"/>
          <a:ext cx="2867660" cy="25400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rgbClr val="FFFFFF"/>
              </a:solidFill>
              <a:latin typeface="Aptos" panose="020B0004020202020204" pitchFamily="34" charset="0"/>
            </a:rPr>
            <a:t>Registru plati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4</xdr:row>
      <xdr:rowOff>32572</xdr:rowOff>
    </xdr:from>
    <xdr:to>
      <xdr:col>1</xdr:col>
      <xdr:colOff>2507578</xdr:colOff>
      <xdr:row>4</xdr:row>
      <xdr:rowOff>332292</xdr:rowOff>
    </xdr:to>
    <xdr:sp macro="[0]!SL_EditeazaParametru" textlink="">
      <xdr:nvSpPr>
        <xdr:cNvPr id="2" name="TQM_SL_SL_EditeazaParametru">
          <a:extLst>
            <a:ext uri="{FF2B5EF4-FFF2-40B4-BE49-F238E27FC236}">
              <a16:creationId xmlns:a16="http://schemas.microsoft.com/office/drawing/2014/main" id="{9FA1AC1A-5047-CE57-4401-E3C9A0DD7E7A}"/>
            </a:ext>
          </a:extLst>
        </xdr:cNvPr>
        <xdr:cNvSpPr/>
      </xdr:nvSpPr>
      <xdr:spPr>
        <a:xfrm>
          <a:off x="25400" y="1000760"/>
          <a:ext cx="4544060" cy="29972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>
              <a:solidFill>
                <a:srgbClr val="FFFFFF"/>
              </a:solidFill>
            </a:rPr>
            <a:t>Editeaza parametru</a:t>
          </a:r>
        </a:p>
      </xdr:txBody>
    </xdr:sp>
    <xdr:clientData/>
  </xdr:twoCellAnchor>
  <xdr:twoCellAnchor>
    <xdr:from>
      <xdr:col>2</xdr:col>
      <xdr:colOff>21366</xdr:colOff>
      <xdr:row>4</xdr:row>
      <xdr:rowOff>32572</xdr:rowOff>
    </xdr:from>
    <xdr:to>
      <xdr:col>3</xdr:col>
      <xdr:colOff>793526</xdr:colOff>
      <xdr:row>4</xdr:row>
      <xdr:rowOff>332292</xdr:rowOff>
    </xdr:to>
    <xdr:sp macro="[0]!SL_Liste" textlink="">
      <xdr:nvSpPr>
        <xdr:cNvPr id="3" name="TQM_SL_SL_Liste">
          <a:extLst>
            <a:ext uri="{FF2B5EF4-FFF2-40B4-BE49-F238E27FC236}">
              <a16:creationId xmlns:a16="http://schemas.microsoft.com/office/drawing/2014/main" id="{E77662BD-72D8-1888-2F5B-41BEDCE2D81F}"/>
            </a:ext>
          </a:extLst>
        </xdr:cNvPr>
        <xdr:cNvSpPr/>
      </xdr:nvSpPr>
      <xdr:spPr>
        <a:xfrm>
          <a:off x="4620260" y="1000760"/>
          <a:ext cx="2143760" cy="29972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>
              <a:solidFill>
                <a:srgbClr val="FFFFFF"/>
              </a:solidFill>
            </a:rPr>
            <a:t>Liste dropdown</a:t>
          </a:r>
        </a:p>
      </xdr:txBody>
    </xdr:sp>
    <xdr:clientData/>
  </xdr:twoCellAnchor>
  <xdr:twoCellAnchor>
    <xdr:from>
      <xdr:col>4</xdr:col>
      <xdr:colOff>19573</xdr:colOff>
      <xdr:row>4</xdr:row>
      <xdr:rowOff>32572</xdr:rowOff>
    </xdr:from>
    <xdr:to>
      <xdr:col>5</xdr:col>
      <xdr:colOff>4425127</xdr:colOff>
      <xdr:row>4</xdr:row>
      <xdr:rowOff>332292</xdr:rowOff>
    </xdr:to>
    <xdr:sp macro="[0]!SL_ReguliDocumente" textlink="">
      <xdr:nvSpPr>
        <xdr:cNvPr id="4" name="TQM_SL_SL_ReguliDocumente">
          <a:extLst>
            <a:ext uri="{FF2B5EF4-FFF2-40B4-BE49-F238E27FC236}">
              <a16:creationId xmlns:a16="http://schemas.microsoft.com/office/drawing/2014/main" id="{2C112070-2027-74FD-E287-DD370D9BED42}"/>
            </a:ext>
          </a:extLst>
        </xdr:cNvPr>
        <xdr:cNvSpPr/>
      </xdr:nvSpPr>
      <xdr:spPr>
        <a:xfrm>
          <a:off x="6814820" y="1000760"/>
          <a:ext cx="5024119" cy="29972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>
              <a:solidFill>
                <a:srgbClr val="FFFFFF"/>
              </a:solidFill>
            </a:rPr>
            <a:t>Reguli documente</a:t>
          </a:r>
        </a:p>
      </xdr:txBody>
    </xdr:sp>
    <xdr:clientData/>
  </xdr:twoCellAnchor>
  <xdr:twoCellAnchor>
    <xdr:from>
      <xdr:col>0</xdr:col>
      <xdr:colOff>25400</xdr:colOff>
      <xdr:row>5</xdr:row>
      <xdr:rowOff>33468</xdr:rowOff>
    </xdr:from>
    <xdr:to>
      <xdr:col>1</xdr:col>
      <xdr:colOff>2507578</xdr:colOff>
      <xdr:row>5</xdr:row>
      <xdr:rowOff>333188</xdr:rowOff>
    </xdr:to>
    <xdr:sp macro="[0]!SL_DocumenteDosar" textlink="">
      <xdr:nvSpPr>
        <xdr:cNvPr id="5" name="TQM_SL_SL_DocumenteDosar">
          <a:extLst>
            <a:ext uri="{FF2B5EF4-FFF2-40B4-BE49-F238E27FC236}">
              <a16:creationId xmlns:a16="http://schemas.microsoft.com/office/drawing/2014/main" id="{77A790CB-9C6E-0862-3D91-B72F38B57C7A}"/>
            </a:ext>
          </a:extLst>
        </xdr:cNvPr>
        <xdr:cNvSpPr/>
      </xdr:nvSpPr>
      <xdr:spPr>
        <a:xfrm>
          <a:off x="25400" y="1351280"/>
          <a:ext cx="4544060" cy="29972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>
              <a:solidFill>
                <a:srgbClr val="FFFFFF"/>
              </a:solidFill>
            </a:rPr>
            <a:t>Documente dosar</a:t>
          </a:r>
        </a:p>
      </xdr:txBody>
    </xdr:sp>
    <xdr:clientData/>
  </xdr:twoCellAnchor>
  <xdr:twoCellAnchor>
    <xdr:from>
      <xdr:col>2</xdr:col>
      <xdr:colOff>21366</xdr:colOff>
      <xdr:row>5</xdr:row>
      <xdr:rowOff>33468</xdr:rowOff>
    </xdr:from>
    <xdr:to>
      <xdr:col>3</xdr:col>
      <xdr:colOff>793526</xdr:colOff>
      <xdr:row>5</xdr:row>
      <xdr:rowOff>333188</xdr:rowOff>
    </xdr:to>
    <xdr:sp macro="[0]!SL_Jurnal" textlink="">
      <xdr:nvSpPr>
        <xdr:cNvPr id="6" name="TQM_SL_SL_Jurnal">
          <a:extLst>
            <a:ext uri="{FF2B5EF4-FFF2-40B4-BE49-F238E27FC236}">
              <a16:creationId xmlns:a16="http://schemas.microsoft.com/office/drawing/2014/main" id="{32A7F6D8-0CBF-B6F0-2181-8C3CB343F0B0}"/>
            </a:ext>
          </a:extLst>
        </xdr:cNvPr>
        <xdr:cNvSpPr/>
      </xdr:nvSpPr>
      <xdr:spPr>
        <a:xfrm>
          <a:off x="4620260" y="1351280"/>
          <a:ext cx="2143760" cy="29972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>
              <a:solidFill>
                <a:srgbClr val="FFFFFF"/>
              </a:solidFill>
            </a:rPr>
            <a:t>Jurnal modificari</a:t>
          </a:r>
        </a:p>
      </xdr:txBody>
    </xdr:sp>
    <xdr:clientData/>
  </xdr:twoCellAnchor>
  <xdr:twoCellAnchor>
    <xdr:from>
      <xdr:col>4</xdr:col>
      <xdr:colOff>19573</xdr:colOff>
      <xdr:row>5</xdr:row>
      <xdr:rowOff>33468</xdr:rowOff>
    </xdr:from>
    <xdr:to>
      <xdr:col>5</xdr:col>
      <xdr:colOff>4425127</xdr:colOff>
      <xdr:row>5</xdr:row>
      <xdr:rowOff>333188</xdr:rowOff>
    </xdr:to>
    <xdr:sp macro="[0]!SL_Actualizeaza" textlink="">
      <xdr:nvSpPr>
        <xdr:cNvPr id="7" name="TQM_SL_SL_Actualizeaza">
          <a:extLst>
            <a:ext uri="{FF2B5EF4-FFF2-40B4-BE49-F238E27FC236}">
              <a16:creationId xmlns:a16="http://schemas.microsoft.com/office/drawing/2014/main" id="{ED312FC2-C174-EC03-FE68-8B606049BD2E}"/>
            </a:ext>
          </a:extLst>
        </xdr:cNvPr>
        <xdr:cNvSpPr/>
      </xdr:nvSpPr>
      <xdr:spPr>
        <a:xfrm>
          <a:off x="6814820" y="1351280"/>
          <a:ext cx="5024119" cy="29972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>
              <a:solidFill>
                <a:srgbClr val="FFFFFF"/>
              </a:solidFill>
            </a:rPr>
            <a:t>Actualizeaza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4</xdr:row>
      <xdr:rowOff>1046</xdr:rowOff>
    </xdr:from>
    <xdr:to>
      <xdr:col>1</xdr:col>
      <xdr:colOff>1950869</xdr:colOff>
      <xdr:row>4</xdr:row>
      <xdr:rowOff>288066</xdr:rowOff>
    </xdr:to>
    <xdr:sp macro="[0]!PB_Actualizeaza" textlink="">
      <xdr:nvSpPr>
        <xdr:cNvPr id="10" name="PB_PB_Actualizeaza">
          <a:extLst>
            <a:ext uri="{FF2B5EF4-FFF2-40B4-BE49-F238E27FC236}">
              <a16:creationId xmlns:a16="http://schemas.microsoft.com/office/drawing/2014/main" id="{68C852B1-4370-B001-5912-FB7B87C29FC7}"/>
            </a:ext>
          </a:extLst>
        </xdr:cNvPr>
        <xdr:cNvSpPr/>
      </xdr:nvSpPr>
      <xdr:spPr>
        <a:xfrm>
          <a:off x="25400" y="1094740"/>
          <a:ext cx="3279140" cy="28702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>
              <a:solidFill>
                <a:srgbClr val="FFFFFF"/>
              </a:solidFill>
            </a:rPr>
            <a:t>Actualizeaza</a:t>
          </a:r>
        </a:p>
      </xdr:txBody>
    </xdr:sp>
    <xdr:clientData/>
  </xdr:twoCellAnchor>
  <xdr:twoCellAnchor>
    <xdr:from>
      <xdr:col>2</xdr:col>
      <xdr:colOff>29434</xdr:colOff>
      <xdr:row>4</xdr:row>
      <xdr:rowOff>1046</xdr:rowOff>
    </xdr:from>
    <xdr:to>
      <xdr:col>3</xdr:col>
      <xdr:colOff>1403126</xdr:colOff>
      <xdr:row>4</xdr:row>
      <xdr:rowOff>288066</xdr:rowOff>
    </xdr:to>
    <xdr:sp macro="[0]!PB_BugetNou" textlink="">
      <xdr:nvSpPr>
        <xdr:cNvPr id="11" name="PB_PB_BugetNou">
          <a:extLst>
            <a:ext uri="{FF2B5EF4-FFF2-40B4-BE49-F238E27FC236}">
              <a16:creationId xmlns:a16="http://schemas.microsoft.com/office/drawing/2014/main" id="{114FB16C-5D79-209D-84FC-ACD5242AB041}"/>
            </a:ext>
          </a:extLst>
        </xdr:cNvPr>
        <xdr:cNvSpPr/>
      </xdr:nvSpPr>
      <xdr:spPr>
        <a:xfrm>
          <a:off x="3355340" y="1094740"/>
          <a:ext cx="2799080" cy="28702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>
              <a:solidFill>
                <a:srgbClr val="FFFFFF"/>
              </a:solidFill>
            </a:rPr>
            <a:t>Buget / revizie</a:t>
          </a:r>
        </a:p>
      </xdr:txBody>
    </xdr:sp>
    <xdr:clientData/>
  </xdr:twoCellAnchor>
  <xdr:twoCellAnchor>
    <xdr:from>
      <xdr:col>4</xdr:col>
      <xdr:colOff>28538</xdr:colOff>
      <xdr:row>4</xdr:row>
      <xdr:rowOff>1046</xdr:rowOff>
    </xdr:from>
    <xdr:to>
      <xdr:col>5</xdr:col>
      <xdr:colOff>1404471</xdr:colOff>
      <xdr:row>4</xdr:row>
      <xdr:rowOff>288066</xdr:rowOff>
    </xdr:to>
    <xdr:sp macro="[0]!PB_Aproba" textlink="">
      <xdr:nvSpPr>
        <xdr:cNvPr id="12" name="PB_PB_Aproba">
          <a:extLst>
            <a:ext uri="{FF2B5EF4-FFF2-40B4-BE49-F238E27FC236}">
              <a16:creationId xmlns:a16="http://schemas.microsoft.com/office/drawing/2014/main" id="{AB10F723-81C1-CC4A-E181-ECBE6C5F365F}"/>
            </a:ext>
          </a:extLst>
        </xdr:cNvPr>
        <xdr:cNvSpPr/>
      </xdr:nvSpPr>
      <xdr:spPr>
        <a:xfrm>
          <a:off x="6205220" y="1094740"/>
          <a:ext cx="3141980" cy="28702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>
              <a:solidFill>
                <a:srgbClr val="FFFFFF"/>
              </a:solidFill>
            </a:rPr>
            <a:t>Aproba ciorna</a:t>
          </a:r>
        </a:p>
      </xdr:txBody>
    </xdr:sp>
    <xdr:clientData/>
  </xdr:twoCellAnchor>
  <xdr:twoCellAnchor>
    <xdr:from>
      <xdr:col>6</xdr:col>
      <xdr:colOff>29882</xdr:colOff>
      <xdr:row>4</xdr:row>
      <xdr:rowOff>1046</xdr:rowOff>
    </xdr:from>
    <xdr:to>
      <xdr:col>8</xdr:col>
      <xdr:colOff>2498614</xdr:colOff>
      <xdr:row>4</xdr:row>
      <xdr:rowOff>288066</xdr:rowOff>
    </xdr:to>
    <xdr:sp macro="[0]!PB_Istoric" textlink="">
      <xdr:nvSpPr>
        <xdr:cNvPr id="13" name="PB_PB_Istoric">
          <a:extLst>
            <a:ext uri="{FF2B5EF4-FFF2-40B4-BE49-F238E27FC236}">
              <a16:creationId xmlns:a16="http://schemas.microsoft.com/office/drawing/2014/main" id="{F88F0C2C-D780-F858-1E07-0C9BA046DF6A}"/>
            </a:ext>
          </a:extLst>
        </xdr:cNvPr>
        <xdr:cNvSpPr/>
      </xdr:nvSpPr>
      <xdr:spPr>
        <a:xfrm>
          <a:off x="9398000" y="1094740"/>
          <a:ext cx="4772661" cy="28702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>
              <a:solidFill>
                <a:srgbClr val="FFFFFF"/>
              </a:solidFill>
            </a:rPr>
            <a:t>Istoric bugete</a:t>
          </a:r>
        </a:p>
      </xdr:txBody>
    </xdr:sp>
    <xdr:clientData/>
  </xdr:twoCellAnchor>
  <xdr:twoCellAnchor>
    <xdr:from>
      <xdr:col>0</xdr:col>
      <xdr:colOff>25400</xdr:colOff>
      <xdr:row>4</xdr:row>
      <xdr:rowOff>313466</xdr:rowOff>
    </xdr:from>
    <xdr:to>
      <xdr:col>1</xdr:col>
      <xdr:colOff>1950869</xdr:colOff>
      <xdr:row>5</xdr:row>
      <xdr:rowOff>286721</xdr:rowOff>
    </xdr:to>
    <xdr:sp macro="[0]!PB_Detalii" textlink="">
      <xdr:nvSpPr>
        <xdr:cNvPr id="14" name="PB_PB_Detalii">
          <a:extLst>
            <a:ext uri="{FF2B5EF4-FFF2-40B4-BE49-F238E27FC236}">
              <a16:creationId xmlns:a16="http://schemas.microsoft.com/office/drawing/2014/main" id="{87042C36-ADE1-66D6-AA0D-AB6B0C1986A5}"/>
            </a:ext>
          </a:extLst>
        </xdr:cNvPr>
        <xdr:cNvSpPr/>
      </xdr:nvSpPr>
      <xdr:spPr>
        <a:xfrm>
          <a:off x="25400" y="1407160"/>
          <a:ext cx="3279140" cy="28702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>
              <a:solidFill>
                <a:srgbClr val="FFFFFF"/>
              </a:solidFill>
            </a:rPr>
            <a:t>Detalii proiect</a:t>
          </a:r>
        </a:p>
      </xdr:txBody>
    </xdr:sp>
    <xdr:clientData/>
  </xdr:twoCellAnchor>
  <xdr:twoCellAnchor>
    <xdr:from>
      <xdr:col>2</xdr:col>
      <xdr:colOff>29434</xdr:colOff>
      <xdr:row>4</xdr:row>
      <xdr:rowOff>313466</xdr:rowOff>
    </xdr:from>
    <xdr:to>
      <xdr:col>3</xdr:col>
      <xdr:colOff>1403126</xdr:colOff>
      <xdr:row>5</xdr:row>
      <xdr:rowOff>286721</xdr:rowOff>
    </xdr:to>
    <xdr:sp macro="[0]!PB_Facturi" textlink="">
      <xdr:nvSpPr>
        <xdr:cNvPr id="15" name="PB_PB_Facturi">
          <a:extLst>
            <a:ext uri="{FF2B5EF4-FFF2-40B4-BE49-F238E27FC236}">
              <a16:creationId xmlns:a16="http://schemas.microsoft.com/office/drawing/2014/main" id="{9D5D40D3-8F2E-DDBE-E8F6-EA6FDE6BB515}"/>
            </a:ext>
          </a:extLst>
        </xdr:cNvPr>
        <xdr:cNvSpPr/>
      </xdr:nvSpPr>
      <xdr:spPr>
        <a:xfrm>
          <a:off x="3355340" y="1407160"/>
          <a:ext cx="2799080" cy="28702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>
              <a:solidFill>
                <a:srgbClr val="FFFFFF"/>
              </a:solidFill>
            </a:rPr>
            <a:t>Asocieri facturi</a:t>
          </a:r>
        </a:p>
      </xdr:txBody>
    </xdr:sp>
    <xdr:clientData/>
  </xdr:twoCellAnchor>
  <xdr:twoCellAnchor>
    <xdr:from>
      <xdr:col>4</xdr:col>
      <xdr:colOff>28538</xdr:colOff>
      <xdr:row>4</xdr:row>
      <xdr:rowOff>313466</xdr:rowOff>
    </xdr:from>
    <xdr:to>
      <xdr:col>5</xdr:col>
      <xdr:colOff>1404471</xdr:colOff>
      <xdr:row>5</xdr:row>
      <xdr:rowOff>286721</xdr:rowOff>
    </xdr:to>
    <xdr:sp macro="[0]!PB_ProiecteFolosite" textlink="">
      <xdr:nvSpPr>
        <xdr:cNvPr id="16" name="PB_PB_ProiecteFolosite">
          <a:extLst>
            <a:ext uri="{FF2B5EF4-FFF2-40B4-BE49-F238E27FC236}">
              <a16:creationId xmlns:a16="http://schemas.microsoft.com/office/drawing/2014/main" id="{91A7253C-FF4A-6912-6CD5-647AF0DD48E8}"/>
            </a:ext>
          </a:extLst>
        </xdr:cNvPr>
        <xdr:cNvSpPr/>
      </xdr:nvSpPr>
      <xdr:spPr>
        <a:xfrm>
          <a:off x="6205220" y="1407160"/>
          <a:ext cx="3141980" cy="28702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>
              <a:solidFill>
                <a:srgbClr val="FFFFFF"/>
              </a:solidFill>
            </a:rPr>
            <a:t>Proiecte folosite</a:t>
          </a:r>
        </a:p>
      </xdr:txBody>
    </xdr:sp>
    <xdr:clientData/>
  </xdr:twoCellAnchor>
  <xdr:twoCellAnchor>
    <xdr:from>
      <xdr:col>6</xdr:col>
      <xdr:colOff>29882</xdr:colOff>
      <xdr:row>4</xdr:row>
      <xdr:rowOff>313466</xdr:rowOff>
    </xdr:from>
    <xdr:to>
      <xdr:col>8</xdr:col>
      <xdr:colOff>2498614</xdr:colOff>
      <xdr:row>5</xdr:row>
      <xdr:rowOff>286721</xdr:rowOff>
    </xdr:to>
    <xdr:sp macro="[0]!PB_ProiectNou" textlink="">
      <xdr:nvSpPr>
        <xdr:cNvPr id="17" name="PB_PB_ProiectNou">
          <a:extLst>
            <a:ext uri="{FF2B5EF4-FFF2-40B4-BE49-F238E27FC236}">
              <a16:creationId xmlns:a16="http://schemas.microsoft.com/office/drawing/2014/main" id="{19079FEB-4DC0-652C-2B73-09F9E4A154DB}"/>
            </a:ext>
          </a:extLst>
        </xdr:cNvPr>
        <xdr:cNvSpPr/>
      </xdr:nvSpPr>
      <xdr:spPr>
        <a:xfrm>
          <a:off x="9398000" y="1407160"/>
          <a:ext cx="4772661" cy="28702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>
              <a:solidFill>
                <a:srgbClr val="FFFFFF"/>
              </a:solidFill>
            </a:rPr>
            <a:t>Proiect nou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4</xdr:row>
      <xdr:rowOff>12700</xdr:rowOff>
    </xdr:from>
    <xdr:to>
      <xdr:col>1</xdr:col>
      <xdr:colOff>1811020</xdr:colOff>
      <xdr:row>4</xdr:row>
      <xdr:rowOff>314960</xdr:rowOff>
    </xdr:to>
    <xdr:sp macro="[0]!DOC_Nou" textlink="">
      <xdr:nvSpPr>
        <xdr:cNvPr id="72" name="DOC_DOC_Nou">
          <a:extLst>
            <a:ext uri="{FF2B5EF4-FFF2-40B4-BE49-F238E27FC236}">
              <a16:creationId xmlns:a16="http://schemas.microsoft.com/office/drawing/2014/main" id="{CF6B2F9B-47F6-9708-5543-E5FB6C5B19EA}"/>
            </a:ext>
          </a:extLst>
        </xdr:cNvPr>
        <xdr:cNvSpPr/>
      </xdr:nvSpPr>
      <xdr:spPr>
        <a:xfrm>
          <a:off x="25400" y="1109980"/>
          <a:ext cx="3210560" cy="30226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>
              <a:solidFill>
                <a:srgbClr val="FFFFFF"/>
              </a:solidFill>
            </a:rPr>
            <a:t>Document nou</a:t>
          </a:r>
        </a:p>
      </xdr:txBody>
    </xdr:sp>
    <xdr:clientData/>
  </xdr:twoCellAnchor>
  <xdr:twoCellAnchor>
    <xdr:from>
      <xdr:col>2</xdr:col>
      <xdr:colOff>25400</xdr:colOff>
      <xdr:row>4</xdr:row>
      <xdr:rowOff>12700</xdr:rowOff>
    </xdr:from>
    <xdr:to>
      <xdr:col>3</xdr:col>
      <xdr:colOff>1742440</xdr:colOff>
      <xdr:row>4</xdr:row>
      <xdr:rowOff>314960</xdr:rowOff>
    </xdr:to>
    <xdr:sp macro="[0]!DOC_Editeaza" textlink="">
      <xdr:nvSpPr>
        <xdr:cNvPr id="73" name="DOC_DOC_Editeaza">
          <a:extLst>
            <a:ext uri="{FF2B5EF4-FFF2-40B4-BE49-F238E27FC236}">
              <a16:creationId xmlns:a16="http://schemas.microsoft.com/office/drawing/2014/main" id="{B4AACA4E-B6E9-5BCD-361A-57416BE12ACC}"/>
            </a:ext>
          </a:extLst>
        </xdr:cNvPr>
        <xdr:cNvSpPr/>
      </xdr:nvSpPr>
      <xdr:spPr>
        <a:xfrm>
          <a:off x="3286760" y="1109980"/>
          <a:ext cx="2799080" cy="30226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>
              <a:solidFill>
                <a:srgbClr val="FFFFFF"/>
              </a:solidFill>
            </a:rPr>
            <a:t>Editeaza / verifica</a:t>
          </a:r>
        </a:p>
      </xdr:txBody>
    </xdr:sp>
    <xdr:clientData/>
  </xdr:twoCellAnchor>
  <xdr:twoCellAnchor>
    <xdr:from>
      <xdr:col>4</xdr:col>
      <xdr:colOff>25400</xdr:colOff>
      <xdr:row>4</xdr:row>
      <xdr:rowOff>12700</xdr:rowOff>
    </xdr:from>
    <xdr:to>
      <xdr:col>5</xdr:col>
      <xdr:colOff>2976880</xdr:colOff>
      <xdr:row>4</xdr:row>
      <xdr:rowOff>314960</xdr:rowOff>
    </xdr:to>
    <xdr:sp macro="[0]!DOC_Asociaza" textlink="">
      <xdr:nvSpPr>
        <xdr:cNvPr id="74" name="DOC_DOC_Asociaza">
          <a:extLst>
            <a:ext uri="{FF2B5EF4-FFF2-40B4-BE49-F238E27FC236}">
              <a16:creationId xmlns:a16="http://schemas.microsoft.com/office/drawing/2014/main" id="{4EA2D29E-4E52-7A55-818C-44BD9F456C1F}"/>
            </a:ext>
          </a:extLst>
        </xdr:cNvPr>
        <xdr:cNvSpPr/>
      </xdr:nvSpPr>
      <xdr:spPr>
        <a:xfrm>
          <a:off x="6136640" y="1109980"/>
          <a:ext cx="5473700" cy="30226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>
              <a:solidFill>
                <a:srgbClr val="FFFFFF"/>
              </a:solidFill>
            </a:rPr>
            <a:t>Asociaza</a:t>
          </a:r>
        </a:p>
      </xdr:txBody>
    </xdr:sp>
    <xdr:clientData/>
  </xdr:twoCellAnchor>
  <xdr:twoCellAnchor>
    <xdr:from>
      <xdr:col>6</xdr:col>
      <xdr:colOff>25400</xdr:colOff>
      <xdr:row>4</xdr:row>
      <xdr:rowOff>12700</xdr:rowOff>
    </xdr:from>
    <xdr:to>
      <xdr:col>7</xdr:col>
      <xdr:colOff>1125221</xdr:colOff>
      <xdr:row>4</xdr:row>
      <xdr:rowOff>314960</xdr:rowOff>
    </xdr:to>
    <xdr:sp macro="[0]!DOC_Deschide" textlink="">
      <xdr:nvSpPr>
        <xdr:cNvPr id="75" name="DOC_DOC_Deschide">
          <a:extLst>
            <a:ext uri="{FF2B5EF4-FFF2-40B4-BE49-F238E27FC236}">
              <a16:creationId xmlns:a16="http://schemas.microsoft.com/office/drawing/2014/main" id="{E2D2A3DB-9F17-EB83-0FFA-066513291437}"/>
            </a:ext>
          </a:extLst>
        </xdr:cNvPr>
        <xdr:cNvSpPr/>
      </xdr:nvSpPr>
      <xdr:spPr>
        <a:xfrm>
          <a:off x="11661140" y="1109980"/>
          <a:ext cx="2319021" cy="30226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>
              <a:solidFill>
                <a:srgbClr val="FFFFFF"/>
              </a:solidFill>
            </a:rPr>
            <a:t>Deschide fisierul</a:t>
          </a:r>
        </a:p>
      </xdr:txBody>
    </xdr:sp>
    <xdr:clientData/>
  </xdr:twoCellAnchor>
  <xdr:twoCellAnchor>
    <xdr:from>
      <xdr:col>8</xdr:col>
      <xdr:colOff>25401</xdr:colOff>
      <xdr:row>4</xdr:row>
      <xdr:rowOff>12700</xdr:rowOff>
    </xdr:from>
    <xdr:to>
      <xdr:col>9</xdr:col>
      <xdr:colOff>1948181</xdr:colOff>
      <xdr:row>4</xdr:row>
      <xdr:rowOff>314960</xdr:rowOff>
    </xdr:to>
    <xdr:sp macro="[0]!DOC_Surse" textlink="">
      <xdr:nvSpPr>
        <xdr:cNvPr id="76" name="DOC_DOC_Surse">
          <a:extLst>
            <a:ext uri="{FF2B5EF4-FFF2-40B4-BE49-F238E27FC236}">
              <a16:creationId xmlns:a16="http://schemas.microsoft.com/office/drawing/2014/main" id="{AC6242FD-FB51-5F0D-D31B-38469137C9DA}"/>
            </a:ext>
          </a:extLst>
        </xdr:cNvPr>
        <xdr:cNvSpPr/>
      </xdr:nvSpPr>
      <xdr:spPr>
        <a:xfrm>
          <a:off x="14030961" y="1109980"/>
          <a:ext cx="3484880" cy="30226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>
              <a:solidFill>
                <a:srgbClr val="FFFFFF"/>
              </a:solidFill>
            </a:rPr>
            <a:t>Surse / operatiuni</a:t>
          </a:r>
        </a:p>
      </xdr:txBody>
    </xdr:sp>
    <xdr:clientData/>
  </xdr:twoCellAnchor>
  <xdr:twoCellAnchor>
    <xdr:from>
      <xdr:col>0</xdr:col>
      <xdr:colOff>25400</xdr:colOff>
      <xdr:row>5</xdr:row>
      <xdr:rowOff>12700</xdr:rowOff>
    </xdr:from>
    <xdr:to>
      <xdr:col>1</xdr:col>
      <xdr:colOff>1811020</xdr:colOff>
      <xdr:row>5</xdr:row>
      <xdr:rowOff>314960</xdr:rowOff>
    </xdr:to>
    <xdr:sp macro="[0]!DOC_Dosare" textlink="">
      <xdr:nvSpPr>
        <xdr:cNvPr id="77" name="DOC_DOC_Dosare">
          <a:extLst>
            <a:ext uri="{FF2B5EF4-FFF2-40B4-BE49-F238E27FC236}">
              <a16:creationId xmlns:a16="http://schemas.microsoft.com/office/drawing/2014/main" id="{F144B889-DBC6-6EE1-444F-5242561B60B4}"/>
            </a:ext>
          </a:extLst>
        </xdr:cNvPr>
        <xdr:cNvSpPr/>
      </xdr:nvSpPr>
      <xdr:spPr>
        <a:xfrm>
          <a:off x="25400" y="1437640"/>
          <a:ext cx="3210560" cy="30226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>
              <a:solidFill>
                <a:srgbClr val="FFFFFF"/>
              </a:solidFill>
            </a:rPr>
            <a:t>Dosare si lipsuri</a:t>
          </a:r>
        </a:p>
      </xdr:txBody>
    </xdr:sp>
    <xdr:clientData/>
  </xdr:twoCellAnchor>
  <xdr:twoCellAnchor>
    <xdr:from>
      <xdr:col>2</xdr:col>
      <xdr:colOff>25400</xdr:colOff>
      <xdr:row>5</xdr:row>
      <xdr:rowOff>12700</xdr:rowOff>
    </xdr:from>
    <xdr:to>
      <xdr:col>3</xdr:col>
      <xdr:colOff>1742440</xdr:colOff>
      <xdr:row>5</xdr:row>
      <xdr:rowOff>314960</xdr:rowOff>
    </xdr:to>
    <xdr:sp macro="[0]!DOC_Asocieri" textlink="">
      <xdr:nvSpPr>
        <xdr:cNvPr id="78" name="DOC_DOC_Asocieri">
          <a:extLst>
            <a:ext uri="{FF2B5EF4-FFF2-40B4-BE49-F238E27FC236}">
              <a16:creationId xmlns:a16="http://schemas.microsoft.com/office/drawing/2014/main" id="{90F99BE4-2909-D178-08D6-28B4EE22D7B9}"/>
            </a:ext>
          </a:extLst>
        </xdr:cNvPr>
        <xdr:cNvSpPr/>
      </xdr:nvSpPr>
      <xdr:spPr>
        <a:xfrm>
          <a:off x="3286760" y="1437640"/>
          <a:ext cx="2799080" cy="30226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>
              <a:solidFill>
                <a:srgbClr val="FFFFFF"/>
              </a:solidFill>
            </a:rPr>
            <a:t>Asocieri</a:t>
          </a:r>
        </a:p>
      </xdr:txBody>
    </xdr:sp>
    <xdr:clientData/>
  </xdr:twoCellAnchor>
  <xdr:twoCellAnchor>
    <xdr:from>
      <xdr:col>4</xdr:col>
      <xdr:colOff>25400</xdr:colOff>
      <xdr:row>5</xdr:row>
      <xdr:rowOff>12700</xdr:rowOff>
    </xdr:from>
    <xdr:to>
      <xdr:col>5</xdr:col>
      <xdr:colOff>2976880</xdr:colOff>
      <xdr:row>5</xdr:row>
      <xdr:rowOff>314960</xdr:rowOff>
    </xdr:to>
    <xdr:sp macro="[0]!DOC_Actualizeaza" textlink="">
      <xdr:nvSpPr>
        <xdr:cNvPr id="79" name="DOC_DOC_Actualizeaza">
          <a:extLst>
            <a:ext uri="{FF2B5EF4-FFF2-40B4-BE49-F238E27FC236}">
              <a16:creationId xmlns:a16="http://schemas.microsoft.com/office/drawing/2014/main" id="{44C4DA70-8BCB-B752-8A29-FEB0DD84F790}"/>
            </a:ext>
          </a:extLst>
        </xdr:cNvPr>
        <xdr:cNvSpPr/>
      </xdr:nvSpPr>
      <xdr:spPr>
        <a:xfrm>
          <a:off x="6136640" y="1437640"/>
          <a:ext cx="5473700" cy="30226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>
              <a:solidFill>
                <a:srgbClr val="FFFFFF"/>
              </a:solidFill>
            </a:rPr>
            <a:t>Actualizeaza</a:t>
          </a:r>
        </a:p>
      </xdr:txBody>
    </xdr:sp>
    <xdr:clientData/>
  </xdr:twoCellAnchor>
  <xdr:twoCellAnchor>
    <xdr:from>
      <xdr:col>6</xdr:col>
      <xdr:colOff>25400</xdr:colOff>
      <xdr:row>5</xdr:row>
      <xdr:rowOff>12700</xdr:rowOff>
    </xdr:from>
    <xdr:to>
      <xdr:col>7</xdr:col>
      <xdr:colOff>1125221</xdr:colOff>
      <xdr:row>5</xdr:row>
      <xdr:rowOff>314960</xdr:rowOff>
    </xdr:to>
    <xdr:sp macro="[0]!DOC_Jurnal" textlink="">
      <xdr:nvSpPr>
        <xdr:cNvPr id="80" name="DOC_DOC_Jurnal">
          <a:extLst>
            <a:ext uri="{FF2B5EF4-FFF2-40B4-BE49-F238E27FC236}">
              <a16:creationId xmlns:a16="http://schemas.microsoft.com/office/drawing/2014/main" id="{34899A1E-C70E-3FEF-4E23-F178B9EC75BF}"/>
            </a:ext>
          </a:extLst>
        </xdr:cNvPr>
        <xdr:cNvSpPr/>
      </xdr:nvSpPr>
      <xdr:spPr>
        <a:xfrm>
          <a:off x="11661140" y="1437640"/>
          <a:ext cx="2319021" cy="30226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>
              <a:solidFill>
                <a:srgbClr val="FFFFFF"/>
              </a:solidFill>
            </a:rPr>
            <a:t>Jurnal modificari</a:t>
          </a:r>
        </a:p>
      </xdr:txBody>
    </xdr:sp>
    <xdr:clientData/>
  </xdr:twoCellAnchor>
  <xdr:twoCellAnchor>
    <xdr:from>
      <xdr:col>8</xdr:col>
      <xdr:colOff>25401</xdr:colOff>
      <xdr:row>5</xdr:row>
      <xdr:rowOff>12700</xdr:rowOff>
    </xdr:from>
    <xdr:to>
      <xdr:col>9</xdr:col>
      <xdr:colOff>1948181</xdr:colOff>
      <xdr:row>5</xdr:row>
      <xdr:rowOff>314960</xdr:rowOff>
    </xdr:to>
    <xdr:sp macro="[0]!DOC_Reguli" textlink="">
      <xdr:nvSpPr>
        <xdr:cNvPr id="81" name="DOC_DOC_Reguli">
          <a:extLst>
            <a:ext uri="{FF2B5EF4-FFF2-40B4-BE49-F238E27FC236}">
              <a16:creationId xmlns:a16="http://schemas.microsoft.com/office/drawing/2014/main" id="{3311F4B1-3191-5646-D4F0-B7942F40525A}"/>
            </a:ext>
          </a:extLst>
        </xdr:cNvPr>
        <xdr:cNvSpPr/>
      </xdr:nvSpPr>
      <xdr:spPr>
        <a:xfrm>
          <a:off x="14030961" y="1437640"/>
          <a:ext cx="3484880" cy="30226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>
              <a:solidFill>
                <a:srgbClr val="FFFFFF"/>
              </a:solidFill>
            </a:rPr>
            <a:t>Reguli documente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4</xdr:row>
      <xdr:rowOff>1046</xdr:rowOff>
    </xdr:from>
    <xdr:to>
      <xdr:col>1</xdr:col>
      <xdr:colOff>1897978</xdr:colOff>
      <xdr:row>4</xdr:row>
      <xdr:rowOff>288066</xdr:rowOff>
    </xdr:to>
    <xdr:sp macro="[0]!PB_Actualizeaza" textlink="">
      <xdr:nvSpPr>
        <xdr:cNvPr id="2" name="PB_PB_Actualizeaza">
          <a:extLst>
            <a:ext uri="{FF2B5EF4-FFF2-40B4-BE49-F238E27FC236}">
              <a16:creationId xmlns:a16="http://schemas.microsoft.com/office/drawing/2014/main" id="{8DFCFEEE-AEBB-4C74-9712-3056BEB2DDCB}"/>
            </a:ext>
          </a:extLst>
        </xdr:cNvPr>
        <xdr:cNvSpPr/>
      </xdr:nvSpPr>
      <xdr:spPr>
        <a:xfrm>
          <a:off x="25400" y="1083086"/>
          <a:ext cx="3228938" cy="28702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>
              <a:solidFill>
                <a:srgbClr val="FFFFFF"/>
              </a:solidFill>
            </a:rPr>
            <a:t>Actualizeaza</a:t>
          </a:r>
        </a:p>
      </xdr:txBody>
    </xdr:sp>
    <xdr:clientData/>
  </xdr:twoCellAnchor>
  <xdr:twoCellAnchor>
    <xdr:from>
      <xdr:col>2</xdr:col>
      <xdr:colOff>30331</xdr:colOff>
      <xdr:row>4</xdr:row>
      <xdr:rowOff>1046</xdr:rowOff>
    </xdr:from>
    <xdr:to>
      <xdr:col>3</xdr:col>
      <xdr:colOff>1351131</xdr:colOff>
      <xdr:row>4</xdr:row>
      <xdr:rowOff>288066</xdr:rowOff>
    </xdr:to>
    <xdr:sp macro="[0]!PB_BugetNou" textlink="">
      <xdr:nvSpPr>
        <xdr:cNvPr id="3" name="PB_PB_BugetNou">
          <a:extLst>
            <a:ext uri="{FF2B5EF4-FFF2-40B4-BE49-F238E27FC236}">
              <a16:creationId xmlns:a16="http://schemas.microsoft.com/office/drawing/2014/main" id="{7114C4DF-C9D9-4ECE-99A2-63400FF2E052}"/>
            </a:ext>
          </a:extLst>
        </xdr:cNvPr>
        <xdr:cNvSpPr/>
      </xdr:nvSpPr>
      <xdr:spPr>
        <a:xfrm>
          <a:off x="3360271" y="1083086"/>
          <a:ext cx="2745740" cy="28702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>
              <a:solidFill>
                <a:srgbClr val="FFFFFF"/>
              </a:solidFill>
            </a:rPr>
            <a:t>Buget / revizie</a:t>
          </a:r>
        </a:p>
      </xdr:txBody>
    </xdr:sp>
    <xdr:clientData/>
  </xdr:twoCellAnchor>
  <xdr:twoCellAnchor>
    <xdr:from>
      <xdr:col>4</xdr:col>
      <xdr:colOff>30331</xdr:colOff>
      <xdr:row>4</xdr:row>
      <xdr:rowOff>1046</xdr:rowOff>
    </xdr:from>
    <xdr:to>
      <xdr:col>5</xdr:col>
      <xdr:colOff>1353372</xdr:colOff>
      <xdr:row>4</xdr:row>
      <xdr:rowOff>288066</xdr:rowOff>
    </xdr:to>
    <xdr:sp macro="[0]!PB_Aproba" textlink="">
      <xdr:nvSpPr>
        <xdr:cNvPr id="4" name="PB_PB_Aproba">
          <a:extLst>
            <a:ext uri="{FF2B5EF4-FFF2-40B4-BE49-F238E27FC236}">
              <a16:creationId xmlns:a16="http://schemas.microsoft.com/office/drawing/2014/main" id="{7B74297B-1F1E-4ED9-B1CF-9905C65B2319}"/>
            </a:ext>
          </a:extLst>
        </xdr:cNvPr>
        <xdr:cNvSpPr/>
      </xdr:nvSpPr>
      <xdr:spPr>
        <a:xfrm>
          <a:off x="6210151" y="1083086"/>
          <a:ext cx="3090881" cy="28702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>
              <a:solidFill>
                <a:srgbClr val="FFFFFF"/>
              </a:solidFill>
            </a:rPr>
            <a:t>Aproba ciorna</a:t>
          </a:r>
        </a:p>
      </xdr:txBody>
    </xdr:sp>
    <xdr:clientData/>
  </xdr:twoCellAnchor>
  <xdr:twoCellAnchor>
    <xdr:from>
      <xdr:col>6</xdr:col>
      <xdr:colOff>32572</xdr:colOff>
      <xdr:row>4</xdr:row>
      <xdr:rowOff>1046</xdr:rowOff>
    </xdr:from>
    <xdr:to>
      <xdr:col>8</xdr:col>
      <xdr:colOff>2448859</xdr:colOff>
      <xdr:row>4</xdr:row>
      <xdr:rowOff>288066</xdr:rowOff>
    </xdr:to>
    <xdr:sp macro="[0]!PB_Istoric" textlink="">
      <xdr:nvSpPr>
        <xdr:cNvPr id="5" name="PB_PB_Istoric">
          <a:extLst>
            <a:ext uri="{FF2B5EF4-FFF2-40B4-BE49-F238E27FC236}">
              <a16:creationId xmlns:a16="http://schemas.microsoft.com/office/drawing/2014/main" id="{AD84A9BC-9F35-4755-B06B-D2AC25B67D7E}"/>
            </a:ext>
          </a:extLst>
        </xdr:cNvPr>
        <xdr:cNvSpPr/>
      </xdr:nvSpPr>
      <xdr:spPr>
        <a:xfrm>
          <a:off x="9405172" y="1083086"/>
          <a:ext cx="4717527" cy="28702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>
              <a:solidFill>
                <a:srgbClr val="FFFFFF"/>
              </a:solidFill>
            </a:rPr>
            <a:t>Istoric bugete</a:t>
          </a:r>
        </a:p>
      </xdr:txBody>
    </xdr:sp>
    <xdr:clientData/>
  </xdr:twoCellAnchor>
  <xdr:twoCellAnchor>
    <xdr:from>
      <xdr:col>0</xdr:col>
      <xdr:colOff>25400</xdr:colOff>
      <xdr:row>4</xdr:row>
      <xdr:rowOff>313466</xdr:rowOff>
    </xdr:from>
    <xdr:to>
      <xdr:col>1</xdr:col>
      <xdr:colOff>1897978</xdr:colOff>
      <xdr:row>5</xdr:row>
      <xdr:rowOff>286721</xdr:rowOff>
    </xdr:to>
    <xdr:sp macro="[0]!PB_Detalii" textlink="">
      <xdr:nvSpPr>
        <xdr:cNvPr id="6" name="PB_PB_Detalii">
          <a:extLst>
            <a:ext uri="{FF2B5EF4-FFF2-40B4-BE49-F238E27FC236}">
              <a16:creationId xmlns:a16="http://schemas.microsoft.com/office/drawing/2014/main" id="{E68C74F5-5212-4005-83DC-5C5FAEA48916}"/>
            </a:ext>
          </a:extLst>
        </xdr:cNvPr>
        <xdr:cNvSpPr/>
      </xdr:nvSpPr>
      <xdr:spPr>
        <a:xfrm>
          <a:off x="25400" y="1395506"/>
          <a:ext cx="3228938" cy="285675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>
              <a:solidFill>
                <a:srgbClr val="FFFFFF"/>
              </a:solidFill>
            </a:rPr>
            <a:t>Detalii proiect</a:t>
          </a:r>
        </a:p>
      </xdr:txBody>
    </xdr:sp>
    <xdr:clientData/>
  </xdr:twoCellAnchor>
  <xdr:twoCellAnchor>
    <xdr:from>
      <xdr:col>2</xdr:col>
      <xdr:colOff>30331</xdr:colOff>
      <xdr:row>4</xdr:row>
      <xdr:rowOff>313466</xdr:rowOff>
    </xdr:from>
    <xdr:to>
      <xdr:col>3</xdr:col>
      <xdr:colOff>1351131</xdr:colOff>
      <xdr:row>5</xdr:row>
      <xdr:rowOff>286721</xdr:rowOff>
    </xdr:to>
    <xdr:sp macro="[0]!PB_Facturi" textlink="">
      <xdr:nvSpPr>
        <xdr:cNvPr id="7" name="PB_PB_Facturi">
          <a:extLst>
            <a:ext uri="{FF2B5EF4-FFF2-40B4-BE49-F238E27FC236}">
              <a16:creationId xmlns:a16="http://schemas.microsoft.com/office/drawing/2014/main" id="{C672CDB6-19AE-451C-B84B-C07627FB7F53}"/>
            </a:ext>
          </a:extLst>
        </xdr:cNvPr>
        <xdr:cNvSpPr/>
      </xdr:nvSpPr>
      <xdr:spPr>
        <a:xfrm>
          <a:off x="3360271" y="1395506"/>
          <a:ext cx="2745740" cy="285675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>
              <a:solidFill>
                <a:srgbClr val="FFFFFF"/>
              </a:solidFill>
            </a:rPr>
            <a:t>Asocieri facturi</a:t>
          </a:r>
        </a:p>
      </xdr:txBody>
    </xdr:sp>
    <xdr:clientData/>
  </xdr:twoCellAnchor>
  <xdr:twoCellAnchor>
    <xdr:from>
      <xdr:col>4</xdr:col>
      <xdr:colOff>30331</xdr:colOff>
      <xdr:row>4</xdr:row>
      <xdr:rowOff>313466</xdr:rowOff>
    </xdr:from>
    <xdr:to>
      <xdr:col>5</xdr:col>
      <xdr:colOff>1353372</xdr:colOff>
      <xdr:row>5</xdr:row>
      <xdr:rowOff>286721</xdr:rowOff>
    </xdr:to>
    <xdr:sp macro="[0]!PB_ProiecteFolosite" textlink="">
      <xdr:nvSpPr>
        <xdr:cNvPr id="8" name="PB_PB_ProiecteFolosite">
          <a:extLst>
            <a:ext uri="{FF2B5EF4-FFF2-40B4-BE49-F238E27FC236}">
              <a16:creationId xmlns:a16="http://schemas.microsoft.com/office/drawing/2014/main" id="{E2003C13-B625-496E-BC70-418B44F7BC79}"/>
            </a:ext>
          </a:extLst>
        </xdr:cNvPr>
        <xdr:cNvSpPr/>
      </xdr:nvSpPr>
      <xdr:spPr>
        <a:xfrm>
          <a:off x="6210151" y="1395506"/>
          <a:ext cx="3090881" cy="285675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>
              <a:solidFill>
                <a:srgbClr val="FFFFFF"/>
              </a:solidFill>
            </a:rPr>
            <a:t>Proiecte folosite</a:t>
          </a:r>
        </a:p>
      </xdr:txBody>
    </xdr:sp>
    <xdr:clientData/>
  </xdr:twoCellAnchor>
  <xdr:twoCellAnchor>
    <xdr:from>
      <xdr:col>6</xdr:col>
      <xdr:colOff>32572</xdr:colOff>
      <xdr:row>4</xdr:row>
      <xdr:rowOff>313466</xdr:rowOff>
    </xdr:from>
    <xdr:to>
      <xdr:col>8</xdr:col>
      <xdr:colOff>2448859</xdr:colOff>
      <xdr:row>5</xdr:row>
      <xdr:rowOff>286721</xdr:rowOff>
    </xdr:to>
    <xdr:sp macro="[0]!PB_ProiectNou" textlink="">
      <xdr:nvSpPr>
        <xdr:cNvPr id="9" name="PB_PB_ProiectNou">
          <a:extLst>
            <a:ext uri="{FF2B5EF4-FFF2-40B4-BE49-F238E27FC236}">
              <a16:creationId xmlns:a16="http://schemas.microsoft.com/office/drawing/2014/main" id="{D25F3FB5-F07C-46D3-AB57-65AA624F0E65}"/>
            </a:ext>
          </a:extLst>
        </xdr:cNvPr>
        <xdr:cNvSpPr/>
      </xdr:nvSpPr>
      <xdr:spPr>
        <a:xfrm>
          <a:off x="9405172" y="1395506"/>
          <a:ext cx="4717527" cy="285675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>
              <a:solidFill>
                <a:srgbClr val="FFFFFF"/>
              </a:solidFill>
            </a:rPr>
            <a:t>Proiect nou</a:t>
          </a:r>
        </a:p>
      </xdr:txBody>
    </xdr:sp>
    <xdr:clientData/>
  </xdr:twoCellAnchor>
</xdr:wsDr>
</file>

<file path=xl/drawings/drawing11.xml><?xml version="1.0" encoding="utf-8"?>
<xdr:wsDr xmlns:a="http://schemas.openxmlformats.org/drawingml/2006/main" xmlns:xdr="http://schemas.openxmlformats.org/drawingml/2006/spreadsheetDrawing">
  <xdr:twoCellAnchor editAs="absolute">
    <xdr:from>
      <xdr:col>0</xdr:col>
      <xdr:colOff>0</xdr:colOff>
      <xdr:row>4</xdr:row>
      <xdr:rowOff>0</xdr:rowOff>
    </xdr:from>
    <xdr:to>
      <xdr:col>2</xdr:col>
      <xdr:colOff>0</xdr:colOff>
      <xdr:row>5</xdr:row>
      <xdr:rowOff>0</xdr:rowOff>
    </xdr:to>
    <xdr:sp macro="[0]!NM_MaterialNou" textlink="">
      <xdr:nvSpPr>
        <xdr:cNvPr id="1" name="NMBTN_NM_MaterialNou" descr="Material nou"/>
        <xdr:cNvSpPr/>
      </xdr:nvSpPr>
      <xdr:spPr>
        <a:prstGeom prst="rect">
          <a:avLst/>
        </a:prstGeom>
        <a:solidFill>
          <a:srgbClr val="FFFFFF">
            <a:alpha val="0"/>
          </a:srgbClr>
        </a:solidFill>
        <a:ln>
          <a:noFill/>
        </a:ln>
      </xdr:spPr>
    </xdr:sp>
    <xdr:clientData/>
  </xdr:twoCellAnchor>
  <xdr:twoCellAnchor editAs="absolute">
    <xdr:from>
      <xdr:col>2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[0]!NM_EditeazaMaterial" textlink="">
      <xdr:nvSpPr>
        <xdr:cNvPr id="2" name="NMBTN_NM_EditeazaMaterial" descr="Editeaza material"/>
        <xdr:cNvSpPr/>
      </xdr:nvSpPr>
      <xdr:spPr>
        <a:prstGeom prst="rect">
          <a:avLst/>
        </a:prstGeom>
        <a:solidFill>
          <a:srgbClr val="FFFFFF">
            <a:alpha val="0"/>
          </a:srgbClr>
        </a:solidFill>
        <a:ln>
          <a:noFill/>
        </a:ln>
      </xdr:spPr>
    </xdr:sp>
    <xdr:clientData/>
  </xdr:twoCellAnchor>
  <xdr:twoCellAnchor editAs="absolute">
    <xdr:from>
      <xdr:col>4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[0]!NM_Varianta" textlink="">
      <xdr:nvSpPr>
        <xdr:cNvPr id="3" name="NMBTN_NM_Varianta" descr="Varianta noua"/>
        <xdr:cNvSpPr/>
      </xdr:nvSpPr>
      <xdr:spPr>
        <a:prstGeom prst="rect">
          <a:avLst/>
        </a:prstGeom>
        <a:solidFill>
          <a:srgbClr val="FFFFFF">
            <a:alpha val="0"/>
          </a:srgbClr>
        </a:solidFill>
        <a:ln>
          <a:noFill/>
        </a:ln>
      </xdr:spPr>
    </xdr:sp>
    <xdr:clientData/>
  </xdr:twoCellAnchor>
  <xdr:twoCellAnchor editAs="absolute">
    <xdr:from>
      <xdr:col>6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[0]!NM_Parteneri" textlink="">
      <xdr:nvSpPr>
        <xdr:cNvPr id="4" name="NMBTN_NM_Parteneri" descr="Parteneri"/>
        <xdr:cNvSpPr/>
      </xdr:nvSpPr>
      <xdr:spPr>
        <a:prstGeom prst="rect">
          <a:avLst/>
        </a:prstGeom>
        <a:solidFill>
          <a:srgbClr val="FFFFFF">
            <a:alpha val="0"/>
          </a:srgbClr>
        </a:solidFill>
        <a:ln>
          <a:noFill/>
        </a:ln>
      </xdr:spPr>
    </xdr:sp>
    <xdr:clientData/>
  </xdr:twoCellAnchor>
  <xdr:twoCellAnchor editAs="absolute">
    <xdr:from>
      <xdr:col>8</xdr:col>
      <xdr:colOff>0</xdr:colOff>
      <xdr:row>4</xdr:row>
      <xdr:rowOff>0</xdr:rowOff>
    </xdr:from>
    <xdr:to>
      <xdr:col>10</xdr:col>
      <xdr:colOff>0</xdr:colOff>
      <xdr:row>5</xdr:row>
      <xdr:rowOff>0</xdr:rowOff>
    </xdr:to>
    <xdr:sp macro="[0]!NM_Proiecte" textlink="">
      <xdr:nvSpPr>
        <xdr:cNvPr id="5" name="NMBTN_NM_Proiecte" descr="Proiecte"/>
        <xdr:cNvSpPr/>
      </xdr:nvSpPr>
      <xdr:spPr>
        <a:prstGeom prst="rect">
          <a:avLst/>
        </a:prstGeom>
        <a:solidFill>
          <a:srgbClr val="FFFFFF">
            <a:alpha val="0"/>
          </a:srgbClr>
        </a:solidFill>
        <a:ln>
          <a:noFill/>
        </a:ln>
      </xdr:spPr>
    </xdr:sp>
    <xdr:clientData/>
  </xdr:twoCellAnchor>
  <xdr:twoCellAnchor editAs="absolute">
    <xdr:from>
      <xdr:col>0</xdr:col>
      <xdr:colOff>0</xdr:colOff>
      <xdr:row>5</xdr:row>
      <xdr:rowOff>0</xdr:rowOff>
    </xdr:from>
    <xdr:to>
      <xdr:col>2</xdr:col>
      <xdr:colOff>0</xdr:colOff>
      <xdr:row>6</xdr:row>
      <xdr:rowOff>0</xdr:rowOff>
    </xdr:to>
    <xdr:sp macro="[0]!NM_Locatii" textlink="">
      <xdr:nvSpPr>
        <xdr:cNvPr id="6" name="NMBTN_NM_Locatii" descr="Locatii"/>
        <xdr:cNvSpPr/>
      </xdr:nvSpPr>
      <xdr:spPr>
        <a:prstGeom prst="rect">
          <a:avLst/>
        </a:prstGeom>
        <a:solidFill>
          <a:srgbClr val="FFFFFF">
            <a:alpha val="0"/>
          </a:srgbClr>
        </a:solidFill>
        <a:ln>
          <a:noFill/>
        </a:ln>
      </xdr:spPr>
    </xdr:sp>
    <xdr:clientData/>
  </xdr:twoCellAnchor>
  <xdr:twoCellAnchor editAs="absolute">
    <xdr:from>
      <xdr:col>2</xdr:col>
      <xdr:colOff>0</xdr:colOff>
      <xdr:row>5</xdr:row>
      <xdr:rowOff>0</xdr:rowOff>
    </xdr:from>
    <xdr:to>
      <xdr:col>4</xdr:col>
      <xdr:colOff>0</xdr:colOff>
      <xdr:row>6</xdr:row>
      <xdr:rowOff>0</xdr:rowOff>
    </xdr:to>
    <xdr:sp macro="[0]!NM_ImportStoc" textlink="">
      <xdr:nvSpPr>
        <xdr:cNvPr id="7" name="NMBTN_NM_ImportStoc" descr="Preia din Stoc"/>
        <xdr:cNvSpPr/>
      </xdr:nvSpPr>
      <xdr:spPr>
        <a:prstGeom prst="rect">
          <a:avLst/>
        </a:prstGeom>
        <a:solidFill>
          <a:srgbClr val="FFFFFF">
            <a:alpha val="0"/>
          </a:srgbClr>
        </a:solidFill>
        <a:ln>
          <a:noFill/>
        </a:ln>
      </xdr:spPr>
    </xdr:sp>
    <xdr:clientData/>
  </xdr:twoCellAnchor>
  <xdr:twoCellAnchor editAs="absolute">
    <xdr:from>
      <xdr:col>4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[0]!NM_Jurnal" textlink="">
      <xdr:nvSpPr>
        <xdr:cNvPr id="8" name="NMBTN_NM_Jurnal" descr="Jurnal modificari"/>
        <xdr:cNvSpPr/>
      </xdr:nvSpPr>
      <xdr:spPr>
        <a:prstGeom prst="rect">
          <a:avLst/>
        </a:prstGeom>
        <a:solidFill>
          <a:srgbClr val="FFFFFF">
            <a:alpha val="0"/>
          </a:srgbClr>
        </a:solidFill>
        <a:ln>
          <a:noFill/>
        </a:ln>
      </xdr:spPr>
    </xdr:sp>
    <xdr:clientData/>
  </xdr:twoCellAnchor>
  <xdr:twoCellAnchor editAs="absolute">
    <xdr:from>
      <xdr:col>6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[0]!NM_Actualizeaza" textlink="">
      <xdr:nvSpPr>
        <xdr:cNvPr id="9" name="NMBTN_NM_Actualizeaza" descr="Actualizeaza"/>
        <xdr:cNvSpPr/>
      </xdr:nvSpPr>
      <xdr:spPr>
        <a:prstGeom prst="rect">
          <a:avLst/>
        </a:prstGeom>
        <a:solidFill>
          <a:srgbClr val="FFFFFF">
            <a:alpha val="0"/>
          </a:srgbClr>
        </a:solidFill>
        <a:ln>
          <a:noFill/>
        </a:ln>
      </xdr:spPr>
    </xdr:sp>
    <xdr:clientData/>
  </xdr:twoCellAnchor>
  <xdr:twoCellAnchor editAs="absolute">
    <xdr:from>
      <xdr:col>8</xdr:col>
      <xdr:colOff>0</xdr:colOff>
      <xdr:row>5</xdr:row>
      <xdr:rowOff>0</xdr:rowOff>
    </xdr:from>
    <xdr:to>
      <xdr:col>10</xdr:col>
      <xdr:colOff>0</xdr:colOff>
      <xdr:row>6</xdr:row>
      <xdr:rowOff>0</xdr:rowOff>
    </xdr:to>
    <xdr:sp macro="[0]!NM_ImportCatalog" textlink="">
      <xdr:nvSpPr>
        <xdr:cNvPr id="10" name="NMBTN_NM_ImportCatalog" descr="Preia catalog"/>
        <xdr:cNvSpPr/>
      </xdr:nvSpPr>
      <xdr:spPr>
        <a:prstGeom prst="rect">
          <a:avLst/>
        </a:prstGeom>
        <a:solidFill>
          <a:srgbClr val="FFFFFF">
            <a:alpha val="0"/>
          </a:srgbClr>
        </a:solidFill>
        <a:ln>
          <a:noFill/>
        </a:ln>
      </xdr:spPr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677BA3E-6FED-4962-873B-E95D5EF6F72E}" name="tTQMCereri" displayName="tTQMCereri" ref="A23:X28" totalsRowShown="0" headerRowDxfId="362" dataDxfId="361">
  <autoFilter ref="A23:X28" xr:uid="{2677BA3E-6FED-4962-873B-E95D5EF6F72E}"/>
  <tableColumns count="24">
    <tableColumn id="1" xr3:uid="{3946B9A8-26BD-461C-9F61-C009B7C939C5}" name="ID_cerere" dataDxfId="360"/>
    <tableColumn id="2" xr3:uid="{FABD791E-C049-4597-9975-20192368B1C0}" name="Data_cerere" dataDxfId="359"/>
    <tableColumn id="3" xr3:uid="{D9E43889-3016-451C-A136-433E1ADDE89D}" name="Proiect" dataDxfId="358"/>
    <tableColumn id="4" xr3:uid="{6D28A6CA-F486-4F3F-AE00-AEBC01F1605E}" name="Material" dataDxfId="357"/>
    <tableColumn id="5" xr3:uid="{44947BD6-8741-4787-A649-04F882AF2C49}" name="UM" dataDxfId="356"/>
    <tableColumn id="6" xr3:uid="{0FFCF0DC-7AEB-4FB2-BFBF-DE7B32AA8091}" name="Cantitate" dataDxfId="355"/>
    <tableColumn id="7" xr3:uid="{4B370D47-1738-4C12-A954-C9D8E98B7C0E}" name="Data_necesara" dataDxfId="354"/>
    <tableColumn id="8" xr3:uid="{5567F64F-074C-4D96-92FA-947B6A2FBB8A}" name="Prioritate" dataDxfId="353"/>
    <tableColumn id="9" xr3:uid="{1CAD44D4-1E6C-4096-8F54-F413B4E967D9}" name="Oferte_valide" dataDxfId="352">
      <calculatedColumnFormula>IF(IF(ISBLANK(tTQMCereri[[#This Row],[ID_cerere]]),"",tTQMCereri[[#This Row],[ID_cerere]])="","",COUNTIFS(tTQMOferte[ID_cerere],IF(ISBLANK(tTQMCereri[[#This Row],[ID_cerere]]),"",tTQMCereri[[#This Row],[ID_cerere]]),tTQMOferte[Eligibila],1))</calculatedColumnFormula>
    </tableColumn>
    <tableColumn id="10" xr3:uid="{1AD25D16-2081-42DC-A5AE-4C77EDFAE3DA}" name="Cost_min" dataDxfId="351">
      <calculatedColumnFormula>IF(OR(IF(ISBLANK(tTQMCereri[[#This Row],[ID_cerere]]),"",tTQMCereri[[#This Row],[ID_cerere]])="",tTQMCereri[[#This Row],[Oferte_valide]]=0),"",INDEX(tTQMOferte[Total_RON],MATCH(IF(ISBLANK(tTQMCereri[[#This Row],[ID_cerere]]),"",tTQMCereri[[#This Row],[ID_cerere]]),tTQMOferte[Cheie_min],0)))</calculatedColumnFormula>
    </tableColumn>
    <tableColumn id="11" xr3:uid="{2D88668B-AD34-4B60-B6E6-669C18E244D1}" name="Furnizor_recom" dataDxfId="350">
      <calculatedColumnFormula>IF(OR(IF(ISBLANK(tTQMCereri[[#This Row],[ID_cerere]]),"",tTQMCereri[[#This Row],[ID_cerere]])="",tTQMCereri[[#This Row],[Oferte_valide]]=0),"",INDEX(tTQMOferte[Furnizor],MATCH(IF(ISBLANK(tTQMCereri[[#This Row],[ID_cerere]]),"",tTQMCereri[[#This Row],[ID_cerere]]),tTQMOferte[Cheie_min],0)))</calculatedColumnFormula>
    </tableColumn>
    <tableColumn id="12" xr3:uid="{113F5761-C363-4851-AE0E-310C51006911}" name="Status" dataDxfId="349">
      <calculatedColumnFormula>IF(IF(ISBLANK(tTQMCereri[[#This Row],[ID_cerere]]),"",tTQMCereri[[#This Row],[ID_cerere]])="","",IF(COUNTIFS(tTQMCereri[ID_cerere],IF(ISBLANK(tTQMCereri[[#This Row],[ID_cerere]]),"",tTQMCereri[[#This Row],[ID_cerere]]))&lt;&gt;1,"ID CERERE DUPLICAT",IF(IF(ISBLANK(tTQMCereri[[#This Row],[ID_oferta_aprobata]]),"",tTQMCereri[[#This Row],[ID_oferta_aprobata]])="",IF(tTQMCereri[[#This Row],[Oferte_valide]]=0,"DE OFERTAT","DE APROBAT"),IF(COUNTIFS(tTQMOferte[ID_oferta],IF(ISBLANK(tTQMCereri[[#This Row],[ID_oferta_aprobata]]),"",tTQMCereri[[#This Row],[ID_oferta_aprobata]]),tTQMOferte[ID_cerere],IF(ISBLANK(tTQMCereri[[#This Row],[ID_cerere]]),"",tTQMCereri[[#This Row],[ID_cerere]]))&lt;&gt;1,"RECONFIRMA APROBAREA",IF(AND(tTQMCereri[[#This Row],[Aprobat_de]]&lt;&gt;"",ISNUMBER(tTQMCereri[[#This Row],[Data_aprobarii]]),tTQMCereri[[#This Row],[Amprenta_aprobarii]]&lt;&gt;"",tTQMCereri[[#This Row],[Amprenta_aprobarii]]=INDEX(tTQMOferte[Amprenta_oferta],IF(COUNTIFS(tTQMOferte[ID_oferta],IF(ISBLANK(tTQMCereri[[#This Row],[ID_oferta_aprobata]]),"",tTQMCereri[[#This Row],[ID_oferta_aprobata]]))=1,MATCH(IF(ISBLANK(tTQMCereri[[#This Row],[ID_oferta_aprobata]]),"",tTQMCereri[[#This Row],[ID_oferta_aprobata]]),tTQMOferte[ID_oferta],0),1)),INDEX(tTQMOferte[Eligibila],IF(COUNTIFS(tTQMOferte[ID_oferta],IF(ISBLANK(tTQMCereri[[#This Row],[ID_oferta_aprobata]]),"",tTQMCereri[[#This Row],[ID_oferta_aprobata]]))=1,MATCH(IF(ISBLANK(tTQMCereri[[#This Row],[ID_oferta_aprobata]]),"",tTQMCereri[[#This Row],[ID_oferta_aprobata]]),tTQMOferte[ID_oferta],0),1))=1),"APROBATA","RECONFIRMA APROBAREA")))))</calculatedColumnFormula>
    </tableColumn>
    <tableColumn id="13" xr3:uid="{2CD2004B-0879-46C4-A624-43EB73C76BD5}" name="Specificatie" dataDxfId="348"/>
    <tableColumn id="14" xr3:uid="{82E1313C-C1A5-4489-B5CD-A0C8440888E4}" name="Solicitant" dataDxfId="347"/>
    <tableColumn id="15" xr3:uid="{1165AE24-7C45-4E45-B30B-DCD9A6B6F63D}" name="Buget_RON" dataDxfId="346"/>
    <tableColumn id="16" xr3:uid="{BF3461D0-0FCF-4779-890B-7B7FB2E17329}" name="ID_oferta_aprobata" dataDxfId="345"/>
    <tableColumn id="17" xr3:uid="{2965BA96-E40E-4BFF-8537-6D9862E87DF8}" name="Aprobat_de" dataDxfId="344"/>
    <tableColumn id="18" xr3:uid="{EA7CFFF7-BC89-40E3-8FD1-A3923F03BB29}" name="Data_aprobarii" dataDxfId="343"/>
    <tableColumn id="19" xr3:uid="{890185CB-DD15-4F8E-BB27-D6B59BB43C15}" name="Motiv_decizie" dataDxfId="342"/>
    <tableColumn id="20" xr3:uid="{92895D37-B895-4EEC-B331-86B869A78E60}" name="Observatii" dataDxfId="341"/>
    <tableColumn id="21" xr3:uid="{0AE6BE95-9F37-48C8-9395-8383F6352E6A}" name="Amprenta_aprobarii" dataDxfId="340"/>
    <tableColumn id="22" xr3:uid="{BC4E331E-4E44-4737-9DCE-1969D69D1EE3}" name="Creat_de" dataDxfId="339"/>
    <tableColumn id="23" xr3:uid="{73918DC0-AD96-40C5-8BA8-5EDD79DA6E05}" name="Actualizat_la" dataDxfId="338"/>
    <tableColumn id="24" xr3:uid="{1E423FDF-3582-48FB-971E-36C091970A66}" name="Amprenta_cerere" dataDxfId="337">
      <calculatedColumnFormula>IF(IF(ISBLANK(tTQMCereri[[#This Row],[ID_cerere]]),"",tTQMCereri[[#This Row],[ID_cerere]])="","",LEN(IF(ISBLANK(tTQMCereri[[#This Row],[ID_cerere]]),"",tTQMCereri[[#This Row],[ID_cerere]])&amp;"")&amp;":"&amp;IF(ISBLANK(tTQMCereri[[#This Row],[ID_cerere]]),"",tTQMCereri[[#This Row],[ID_cerere]])&amp;"|"&amp;LEN(IF(ISBLANK(tTQMCereri[[#This Row],[Data_cerere]]),"",tTQMCereri[[#This Row],[Data_cerere]])&amp;"")&amp;":"&amp;IF(ISBLANK(tTQMCereri[[#This Row],[Data_cerere]]),"",tTQMCereri[[#This Row],[Data_cerere]])&amp;"|"&amp;LEN(IF(ISBLANK(tTQMCereri[[#This Row],[Proiect]]),"",tTQMCereri[[#This Row],[Proiect]])&amp;"")&amp;":"&amp;IF(ISBLANK(tTQMCereri[[#This Row],[Proiect]]),"",tTQMCereri[[#This Row],[Proiect]])&amp;"|"&amp;LEN(IF(ISBLANK(tTQMCereri[[#This Row],[Material]]),"",tTQMCereri[[#This Row],[Material]])&amp;"")&amp;":"&amp;IF(ISBLANK(tTQMCereri[[#This Row],[Material]]),"",tTQMCereri[[#This Row],[Material]])&amp;"|"&amp;LEN(IF(ISBLANK(tTQMCereri[[#This Row],[UM]]),"",tTQMCereri[[#This Row],[UM]])&amp;"")&amp;":"&amp;IF(ISBLANK(tTQMCereri[[#This Row],[UM]]),"",tTQMCereri[[#This Row],[UM]])&amp;"|"&amp;LEN(IF(ISBLANK(tTQMCereri[[#This Row],[Cantitate]]),"",tTQMCereri[[#This Row],[Cantitate]])&amp;"")&amp;":"&amp;IF(ISBLANK(tTQMCereri[[#This Row],[Cantitate]]),"",tTQMCereri[[#This Row],[Cantitate]])&amp;"|"&amp;LEN(IF(ISBLANK(tTQMCereri[[#This Row],[Data_necesara]]),"",tTQMCereri[[#This Row],[Data_necesara]])&amp;"")&amp;":"&amp;IF(ISBLANK(tTQMCereri[[#This Row],[Data_necesara]]),"",tTQMCereri[[#This Row],[Data_necesara]])&amp;"|"&amp;LEN(IF(ISBLANK(tTQMCereri[[#This Row],[Prioritate]]),"",tTQMCereri[[#This Row],[Prioritate]])&amp;"")&amp;":"&amp;IF(ISBLANK(tTQMCereri[[#This Row],[Prioritate]]),"",tTQMCereri[[#This Row],[Prioritate]])&amp;"|"&amp;LEN(IF(ISBLANK(tTQMCereri[[#This Row],[Specificatie]]),"",tTQMCereri[[#This Row],[Specificatie]])&amp;"")&amp;":"&amp;IF(ISBLANK(tTQMCereri[[#This Row],[Specificatie]]),"",tTQMCereri[[#This Row],[Specificatie]])&amp;"|"&amp;LEN(IF(ISBLANK(tTQMCereri[[#This Row],[Solicitant]]),"",tTQMCereri[[#This Row],[Solicitant]])&amp;"")&amp;":"&amp;IF(ISBLANK(tTQMCereri[[#This Row],[Solicitant]]),"",tTQMCereri[[#This Row],[Solicitant]])&amp;"|"&amp;LEN(IF(ISBLANK(tTQMCereri[[#This Row],[Buget_RON]]),"",tTQMCereri[[#This Row],[Buget_RON]])&amp;"")&amp;":"&amp;IF(ISBLANK(tTQMCereri[[#This Row],[Buget_RON]]),"",tTQMCereri[[#This Row],[Buget_RON]])&amp;"|"&amp;LEN(IF(ISBLANK(tTQMCereri[[#This Row],[Observatii]]),"",tTQMCereri[[#This Row],[Observatii]])&amp;"")&amp;":"&amp;IF(ISBLANK(tTQMCereri[[#This Row],[Observatii]]),"",tTQMCereri[[#This Row],[Observatii]]))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34005E-4C30-46E9-A573-318B55472C84}" name="tTQMOferte" displayName="tTQMOferte" ref="A36:AC46" totalsRowShown="0" headerRowDxfId="336" dataDxfId="335">
  <autoFilter ref="A36:AC46" xr:uid="{3634005E-4C30-46E9-A573-318B55472C84}"/>
  <tableColumns count="29">
    <tableColumn id="1" xr3:uid="{07DDB1EA-3EE8-47FB-A112-22DF36EAD030}" name="ID_oferta" dataDxfId="334"/>
    <tableColumn id="2" xr3:uid="{6DA08DCE-0A6B-4865-9BBD-BFFF5EF280B2}" name="ID_cerere" dataDxfId="333"/>
    <tableColumn id="3" xr3:uid="{E24385A2-A82F-44E0-B63D-00E5F1B8EDDB}" name="Furnizor" dataDxfId="332"/>
    <tableColumn id="4" xr3:uid="{0314474C-DBC6-456A-BB94-DEC764C0191A}" name="Cantitate" dataDxfId="331"/>
    <tableColumn id="5" xr3:uid="{BA1E4AA7-5563-4D82-8E29-4A37FC1AF2C6}" name="UM" dataDxfId="330"/>
    <tableColumn id="6" xr3:uid="{DA539F8C-5923-4BC2-BF1F-426D5100CF34}" name="Pret_unitar" dataDxfId="329"/>
    <tableColumn id="7" xr3:uid="{C6B2C53D-7F36-4656-BA86-6E586A742673}" name="Total_RON" dataDxfId="328">
      <calculatedColumnFormula>IF(IF(ISBLANK(tTQMOferte[[#This Row],[ID_oferta]]),"",tTQMOferte[[#This Row],[ID_oferta]])="","",IF(AND(ISNUMBER(tTQMOferte[[#This Row],[Cantitate]]),N(tTQMOferte[[#This Row],[Cantitate]])&gt;0,ISNUMBER(tTQMOferte[[#This Row],[Pret_unitar]]),N(tTQMOferte[[#This Row],[Pret_unitar]])&gt;=0,ISNUMBER(tTQMOferte[[#This Row],[Discount_pct]]),N(tTQMOferte[[#This Row],[Discount_pct]])&gt;=0,N(tTQMOferte[[#This Row],[Discount_pct]])&lt;=1,ISNUMBER(tTQMOferte[[#This Row],[Transport_RON]]),N(tTQMOferte[[#This Row],[Transport_RON]])&gt;=0,ISNUMBER(tTQMOferte[[#This Row],[Alte_costuri_RON]]),N(tTQMOferte[[#This Row],[Alte_costuri_RON]])&gt;=0),ROUND(tTQMOferte[[#This Row],[Cantitate]]*tTQMOferte[[#This Row],[Pret_unitar]]*(1-tTQMOferte[[#This Row],[Discount_pct]])+tTQMOferte[[#This Row],[Transport_RON]]+tTQMOferte[[#This Row],[Alte_costuri_RON]],2),"DATE INVALIDE"))</calculatedColumnFormula>
    </tableColumn>
    <tableColumn id="8" xr3:uid="{165E05C3-8CE1-4A94-87B9-EBCC111F6A73}" name="Data_livrare" dataDxfId="327"/>
    <tableColumn id="9" xr3:uid="{950B7506-4876-403D-8F38-723644CB66F9}" name="Valabila_pana" dataDxfId="326"/>
    <tableColumn id="10" xr3:uid="{D7595D39-13F8-45C6-B660-722495EA836A}" name="Conform_tehnic" dataDxfId="325"/>
    <tableColumn id="11" xr3:uid="{E167BF5E-6CD4-4B6A-B387-9C57B0AEC135}" name="Eligibila" dataDxfId="324">
      <calculatedColumnFormula>IF(IF(ISBLANK(tTQMOferte[[#This Row],[ID_oferta]]),"",tTQMOferte[[#This Row],[ID_oferta]])="","",IF(tTQMOferte[[#This Row],[Motiv]]="OK",1,0))</calculatedColumnFormula>
    </tableColumn>
    <tableColumn id="12" xr3:uid="{998ABBF1-02EE-4D71-9AE2-DD32945E4269}" name="Motiv" dataDxfId="323">
      <calculatedColumnFormula>IF(IF(ISBLANK(tTQMOferte[[#This Row],[ID_oferta]]),"",tTQMOferte[[#This Row],[ID_oferta]])="","",IF(COUNTIFS(tTQMOferte[ID_oferta],IF(ISBLANK(tTQMOferte[[#This Row],[ID_oferta]]),"",tTQMOferte[[#This Row],[ID_oferta]]))&lt;&gt;1,"ID oferta duplicat",IF(COUNTIFS(tTQMCereri[ID_cerere],IF(ISBLANK(tTQMOferte[[#This Row],[ID_cerere]]),"",tTQMOferte[[#This Row],[ID_cerere]]))&lt;&gt;1,"Cerere inexistenta / duplicata",IF(NOT(AND(ISNUMBER(tTQMOferte[[#This Row],[Total_RON]]),LEN(IF(ISBLANK(tTQMOferte[[#This Row],[Furnizor]]),"",tTQMOferte[[#This Row],[Furnizor]])&amp;"")&gt;0,ISNUMBER(tTQMOferte[[#This Row],[Data_oferta]]),ISNUMBER(tTQMOferte[[#This Row],[Valabila_pana]]),ISNUMBER(tTQMOferte[[#This Row],[Data_livrare]]),N(tTQMOferte[[#This Row],[Data_oferta]])&lt;=TODAY(),N(tTQMOferte[[#This Row],[Valabila_pana]])&gt;=N(tTQMOferte[[#This Row],[Data_oferta]]),N(tTQMOferte[[#This Row],[Data_livrare]])&gt;=N(tTQMOferte[[#This Row],[Data_oferta]]))),"Date / costuri invalide",IF(OR(NOT(ISNUMBER(INDEX(tTQMCereri[Cantitate],MATCH(tTQMOferte[[#This Row],[ID_cerere]],tTQMCereri[ID_cerere],0)))),NOT(ISNUMBER(INDEX(tTQMCereri[Data_necesara],MATCH(tTQMOferte[[#This Row],[ID_cerere]],tTQMCereri[ID_cerere],0))))),"Cerere incompleta",IF(OR(tTQMOferte[[#This Row],[Cantitate]]&lt;&gt;INDEX(tTQMCereri[Cantitate],MATCH(tTQMOferte[[#This Row],[ID_cerere]],tTQMCereri[ID_cerere],0)),tTQMOferte[[#This Row],[UM]]&lt;&gt;INDEX(tTQMCereri[UM],MATCH(tTQMOferte[[#This Row],[ID_cerere]],tTQMCereri[ID_cerere],0))),"Cantitate / UM diferite",IF(IF(ISBLANK(tTQMOferte[[#This Row],[Conform_tehnic]]),"",tTQMOferte[[#This Row],[Conform_tehnic]])&lt;&gt;"Da",IF(IF(ISBLANK(tTQMOferte[[#This Row],[Conform_tehnic]]),"",tTQMOferte[[#This Row],[Conform_tehnic]])="Nu","Neconform tehnic","Conformitate de verificat"),IF(tTQMOferte[[#This Row],[Valabila_pana]]&lt;TODAY(),"Oferta expirata",IF(tTQMOferte[[#This Row],[Data_livrare]]&lt;TODAY(),"Livrarea a trecut",IF(tTQMOferte[[#This Row],[Data_livrare]]&gt;INDEX(tTQMCereri[Data_necesara],MATCH(tTQMOferte[[#This Row],[ID_cerere]],tTQMCereri[ID_cerere],0)),"Livrare intarziata","OK"))))))))))</calculatedColumnFormula>
    </tableColumn>
    <tableColumn id="13" xr3:uid="{F2098E11-2909-493E-845D-4DB6E326B24F}" name="Nr_oferta" dataDxfId="322"/>
    <tableColumn id="14" xr3:uid="{D7FDDD92-0FED-49D0-8001-20CF68EFD4F6}" name="Data_oferta" dataDxfId="321"/>
    <tableColumn id="15" xr3:uid="{78FAF55D-B7C8-4F9B-BDC6-7FA760C03717}" name="Discount_pct" dataDxfId="320"/>
    <tableColumn id="16" xr3:uid="{C1A39730-D11D-44D2-8BE4-1C30A98108B4}" name="Transport_RON" dataDxfId="319"/>
    <tableColumn id="17" xr3:uid="{9CA5140E-E9F8-41C2-9EAB-D5EDBD4F7088}" name="Alte_costuri_RON" dataDxfId="318"/>
    <tableColumn id="18" xr3:uid="{53B4B40D-2E18-4133-90FD-5F64650756A3}" name="Conditii_plata" dataDxfId="317"/>
    <tableColumn id="19" xr3:uid="{D3A51ED2-0189-4AE5-B779-3EF93D5E1DCE}" name="Garantie" dataDxfId="316"/>
    <tableColumn id="20" xr3:uid="{1D0670BA-8919-4FA6-886D-974FE646A26F}" name="Link_oferta" dataDxfId="315"/>
    <tableColumn id="21" xr3:uid="{1E93C196-8E2D-4759-9493-9DAEEAD041AF}" name="Observatii" dataDxfId="314"/>
    <tableColumn id="22" xr3:uid="{07660C61-18D0-45B4-84A2-5C4402139BB6}" name="Amprenta_oferta" dataDxfId="313">
      <calculatedColumnFormula>IF(OR(IF(ISBLANK(tTQMOferte[[#This Row],[ID_oferta]]),"",tTQMOferte[[#This Row],[ID_oferta]])="",COUNTIFS(tTQMCereri[ID_cerere],IF(ISBLANK(tTQMOferte[[#This Row],[ID_cerere]]),"",tTQMOferte[[#This Row],[ID_cerere]]))&lt;&gt;1),"",LEN(IF(ISBLANK(tTQMOferte[[#This Row],[ID_oferta]]),"",tTQMOferte[[#This Row],[ID_oferta]])&amp;"")&amp;":"&amp;IF(ISBLANK(tTQMOferte[[#This Row],[ID_oferta]]),"",tTQMOferte[[#This Row],[ID_oferta]])&amp;"|"&amp;LEN(IF(ISBLANK(tTQMOferte[[#This Row],[ID_cerere]]),"",tTQMOferte[[#This Row],[ID_cerere]])&amp;"")&amp;":"&amp;IF(ISBLANK(tTQMOferte[[#This Row],[ID_cerere]]),"",tTQMOferte[[#This Row],[ID_cerere]])&amp;"|"&amp;LEN(IF(ISBLANK(tTQMOferte[[#This Row],[Furnizor]]),"",tTQMOferte[[#This Row],[Furnizor]])&amp;"")&amp;":"&amp;IF(ISBLANK(tTQMOferte[[#This Row],[Furnizor]]),"",tTQMOferte[[#This Row],[Furnizor]])&amp;"|"&amp;LEN(IF(ISBLANK(tTQMOferte[[#This Row],[Cantitate]]),"",tTQMOferte[[#This Row],[Cantitate]])&amp;"")&amp;":"&amp;IF(ISBLANK(tTQMOferte[[#This Row],[Cantitate]]),"",tTQMOferte[[#This Row],[Cantitate]])&amp;"|"&amp;LEN(IF(ISBLANK(tTQMOferte[[#This Row],[UM]]),"",tTQMOferte[[#This Row],[UM]])&amp;"")&amp;":"&amp;IF(ISBLANK(tTQMOferte[[#This Row],[UM]]),"",tTQMOferte[[#This Row],[UM]])&amp;"|"&amp;LEN(IF(ISBLANK(tTQMOferte[[#This Row],[Pret_unitar]]),"",tTQMOferte[[#This Row],[Pret_unitar]])&amp;"")&amp;":"&amp;IF(ISBLANK(tTQMOferte[[#This Row],[Pret_unitar]]),"",tTQMOferte[[#This Row],[Pret_unitar]])&amp;"|"&amp;LEN(IF(ISBLANK(tTQMOferte[[#This Row],[Data_livrare]]),"",tTQMOferte[[#This Row],[Data_livrare]])&amp;"")&amp;":"&amp;IF(ISBLANK(tTQMOferte[[#This Row],[Data_livrare]]),"",tTQMOferte[[#This Row],[Data_livrare]])&amp;"|"&amp;LEN(IF(ISBLANK(tTQMOferte[[#This Row],[Valabila_pana]]),"",tTQMOferte[[#This Row],[Valabila_pana]])&amp;"")&amp;":"&amp;IF(ISBLANK(tTQMOferte[[#This Row],[Valabila_pana]]),"",tTQMOferte[[#This Row],[Valabila_pana]])&amp;"|"&amp;LEN(IF(ISBLANK(tTQMOferte[[#This Row],[Conform_tehnic]]),"",tTQMOferte[[#This Row],[Conform_tehnic]])&amp;"")&amp;":"&amp;IF(ISBLANK(tTQMOferte[[#This Row],[Conform_tehnic]]),"",tTQMOferte[[#This Row],[Conform_tehnic]])&amp;"|"&amp;LEN(IF(ISBLANK(tTQMOferte[[#This Row],[Nr_oferta]]),"",tTQMOferte[[#This Row],[Nr_oferta]])&amp;"")&amp;":"&amp;IF(ISBLANK(tTQMOferte[[#This Row],[Nr_oferta]]),"",tTQMOferte[[#This Row],[Nr_oferta]])&amp;"|"&amp;LEN(IF(ISBLANK(tTQMOferte[[#This Row],[Data_oferta]]),"",tTQMOferte[[#This Row],[Data_oferta]])&amp;"")&amp;":"&amp;IF(ISBLANK(tTQMOferte[[#This Row],[Data_oferta]]),"",tTQMOferte[[#This Row],[Data_oferta]])&amp;"|"&amp;LEN(IF(ISBLANK(tTQMOferte[[#This Row],[Discount_pct]]),"",tTQMOferte[[#This Row],[Discount_pct]])&amp;"")&amp;":"&amp;IF(ISBLANK(tTQMOferte[[#This Row],[Discount_pct]]),"",tTQMOferte[[#This Row],[Discount_pct]])&amp;"|"&amp;LEN(IF(ISBLANK(tTQMOferte[[#This Row],[Transport_RON]]),"",tTQMOferte[[#This Row],[Transport_RON]])&amp;"")&amp;":"&amp;IF(ISBLANK(tTQMOferte[[#This Row],[Transport_RON]]),"",tTQMOferte[[#This Row],[Transport_RON]])&amp;"|"&amp;LEN(IF(ISBLANK(tTQMOferte[[#This Row],[Alte_costuri_RON]]),"",tTQMOferte[[#This Row],[Alte_costuri_RON]])&amp;"")&amp;":"&amp;IF(ISBLANK(tTQMOferte[[#This Row],[Alte_costuri_RON]]),"",tTQMOferte[[#This Row],[Alte_costuri_RON]])&amp;"|"&amp;LEN(IF(ISBLANK(tTQMOferte[[#This Row],[Conditii_plata]]),"",tTQMOferte[[#This Row],[Conditii_plata]])&amp;"")&amp;":"&amp;IF(ISBLANK(tTQMOferte[[#This Row],[Conditii_plata]]),"",tTQMOferte[[#This Row],[Conditii_plata]])&amp;"|"&amp;LEN(IF(ISBLANK(tTQMOferte[[#This Row],[Garantie]]),"",tTQMOferte[[#This Row],[Garantie]])&amp;"")&amp;":"&amp;IF(ISBLANK(tTQMOferte[[#This Row],[Garantie]]),"",tTQMOferte[[#This Row],[Garantie]])&amp;"|"&amp;LEN(IF(ISBLANK(tTQMOferte[[#This Row],[Link_oferta]]),"",tTQMOferte[[#This Row],[Link_oferta]])&amp;"")&amp;":"&amp;IF(ISBLANK(tTQMOferte[[#This Row],[Link_oferta]]),"",tTQMOferte[[#This Row],[Link_oferta]])&amp;"|"&amp;LEN(IF(ISBLANK(INDEX(tTQMCereri[Proiect],MATCH(tTQMOferte[[#This Row],[ID_cerere]],tTQMCereri[ID_cerere],0))),"",INDEX(tTQMCereri[Proiect],MATCH(tTQMOferte[[#This Row],[ID_cerere]],tTQMCereri[ID_cerere],0)))&amp;"")&amp;":"&amp;IF(ISBLANK(INDEX(tTQMCereri[Proiect],MATCH(tTQMOferte[[#This Row],[ID_cerere]],tTQMCereri[ID_cerere],0))),"",INDEX(tTQMCereri[Proiect],MATCH(tTQMOferte[[#This Row],[ID_cerere]],tTQMCereri[ID_cerere],0)))&amp;"|"&amp;LEN(IF(ISBLANK(INDEX(tTQMCereri[Material],MATCH(tTQMOferte[[#This Row],[ID_cerere]],tTQMCereri[ID_cerere],0))),"",INDEX(tTQMCereri[Material],MATCH(tTQMOferte[[#This Row],[ID_cerere]],tTQMCereri[ID_cerere],0)))&amp;"")&amp;":"&amp;IF(ISBLANK(INDEX(tTQMCereri[Material],MATCH(tTQMOferte[[#This Row],[ID_cerere]],tTQMCereri[ID_cerere],0))),"",INDEX(tTQMCereri[Material],MATCH(tTQMOferte[[#This Row],[ID_cerere]],tTQMCereri[ID_cerere],0)))&amp;"|"&amp;LEN(IF(ISBLANK(INDEX(tTQMCereri[UM],MATCH(tTQMOferte[[#This Row],[ID_cerere]],tTQMCereri[ID_cerere],0))),"",INDEX(tTQMCereri[UM],MATCH(tTQMOferte[[#This Row],[ID_cerere]],tTQMCereri[ID_cerere],0)))&amp;"")&amp;":"&amp;IF(ISBLANK(INDEX(tTQMCereri[UM],MATCH(tTQMOferte[[#This Row],[ID_cerere]],tTQMCereri[ID_cerere],0))),"",INDEX(tTQMCereri[UM],MATCH(tTQMOferte[[#This Row],[ID_cerere]],tTQMCereri[ID_cerere],0)))&amp;"|"&amp;LEN(IF(ISBLANK(INDEX(tTQMCereri[Cantitate],MATCH(tTQMOferte[[#This Row],[ID_cerere]],tTQMCereri[ID_cerere],0))),"",INDEX(tTQMCereri[Cantitate],MATCH(tTQMOferte[[#This Row],[ID_cerere]],tTQMCereri[ID_cerere],0)))&amp;"")&amp;":"&amp;IF(ISBLANK(INDEX(tTQMCereri[Cantitate],MATCH(tTQMOferte[[#This Row],[ID_cerere]],tTQMCereri[ID_cerere],0))),"",INDEX(tTQMCereri[Cantitate],MATCH(tTQMOferte[[#This Row],[ID_cerere]],tTQMCereri[ID_cerere],0)))&amp;"|"&amp;LEN(IF(ISBLANK(INDEX(tTQMCereri[Data_necesara],MATCH(tTQMOferte[[#This Row],[ID_cerere]],tTQMCereri[ID_cerere],0))),"",INDEX(tTQMCereri[Data_necesara],MATCH(tTQMOferte[[#This Row],[ID_cerere]],tTQMCereri[ID_cerere],0)))&amp;"")&amp;":"&amp;IF(ISBLANK(INDEX(tTQMCereri[Data_necesara],MATCH(tTQMOferte[[#This Row],[ID_cerere]],tTQMCereri[ID_cerere],0))),"",INDEX(tTQMCereri[Data_necesara],MATCH(tTQMOferte[[#This Row],[ID_cerere]],tTQMCereri[ID_cerere],0)))&amp;"|"&amp;LEN(IF(ISBLANK(INDEX(tTQMCereri[Specificatie],MATCH(tTQMOferte[[#This Row],[ID_cerere]],tTQMCereri[ID_cerere],0))),"",INDEX(tTQMCereri[Specificatie],MATCH(tTQMOferte[[#This Row],[ID_cerere]],tTQMCereri[ID_cerere],0)))&amp;"")&amp;":"&amp;IF(ISBLANK(INDEX(tTQMCereri[Specificatie],MATCH(tTQMOferte[[#This Row],[ID_cerere]],tTQMCereri[ID_cerere],0))),"",INDEX(tTQMCereri[Specificatie],MATCH(tTQMOferte[[#This Row],[ID_cerere]],tTQMCereri[ID_cerere],0)))&amp;"|"&amp;LEN(IF(ISBLANK(INDEX(tTQMCereri[Buget_RON],MATCH(tTQMOferte[[#This Row],[ID_cerere]],tTQMCereri[ID_cerere],0))),"",INDEX(tTQMCereri[Buget_RON],MATCH(tTQMOferte[[#This Row],[ID_cerere]],tTQMCereri[ID_cerere],0)))&amp;"")&amp;":"&amp;IF(ISBLANK(INDEX(tTQMCereri[Buget_RON],MATCH(tTQMOferte[[#This Row],[ID_cerere]],tTQMCereri[ID_cerere],0))),"",INDEX(tTQMCereri[Buget_RON],MATCH(tTQMOferte[[#This Row],[ID_cerere]],tTQMCereri[ID_cerere],0))))</calculatedColumnFormula>
    </tableColumn>
    <tableColumn id="23" xr3:uid="{EDD6054C-6253-46B5-839C-9E44444490E3}" name="Creat_de" dataDxfId="312"/>
    <tableColumn id="24" xr3:uid="{9902D85B-7C27-4C54-BC31-580A8C7A7A7B}" name="Actualizat_la" dataDxfId="311"/>
    <tableColumn id="25" xr3:uid="{98E56817-22E1-4AF3-8882-0DE6C777B0EA}" name="Rang_cost" dataDxfId="310">
      <calculatedColumnFormula>IF(IF(ISBLANK(tTQMOferte[[#This Row],[ID_oferta]]),"",tTQMOferte[[#This Row],[ID_oferta]])="",0,COUNTIFS(tTQMOferte[ID_cerere],IF(ISBLANK(tTQMOferte[[#This Row],[ID_cerere]]),"",tTQMOferte[[#This Row],[ID_cerere]]),tTQMOferte[Cost_sortare],"&lt;"&amp;tTQMOferte[[#This Row],[Cost_sortare]])+COUNTIFS($B$37:B37,IF(ISBLANK(tTQMOferte[[#This Row],[ID_cerere]]),"",tTQMOferte[[#This Row],[ID_cerere]]),$AC$37:AC37,tTQMOferte[[#This Row],[Cost_sortare]]))</calculatedColumnFormula>
    </tableColumn>
    <tableColumn id="26" xr3:uid="{7FEFA96E-BE77-4E9B-AE95-C7D2F6A405D4}" name="Cheie_cost" dataDxfId="309">
      <calculatedColumnFormula>IF(IF(ISBLANK(tTQMOferte[[#This Row],[ID_oferta]]),"",tTQMOferte[[#This Row],[ID_oferta]])="","",tTQMOferte[[#This Row],[ID_cerere]]&amp;"#"&amp;tTQMOferte[[#This Row],[Rang_cost]])</calculatedColumnFormula>
    </tableColumn>
    <tableColumn id="27" xr3:uid="{E25F5F55-0DBE-4305-BA55-A16B9A6B8E6A}" name="Rang_eligibil" dataDxfId="308">
      <calculatedColumnFormula>IF(tTQMOferte[[#This Row],[Eligibila]]&lt;&gt;1,0,COUNTIFS(tTQMOferte[ID_cerere],IF(ISBLANK(tTQMOferte[[#This Row],[ID_cerere]]),"",tTQMOferte[[#This Row],[ID_cerere]]),tTQMOferte[Eligibila],1,tTQMOferte[Total_RON],"&lt;"&amp;tTQMOferte[[#This Row],[Total_RON]])+COUNTIFS($B$37:B37,IF(ISBLANK(tTQMOferte[[#This Row],[ID_cerere]]),"",tTQMOferte[[#This Row],[ID_cerere]]),$K$37:K37,1,$G$37:G37,tTQMOferte[[#This Row],[Total_RON]]))</calculatedColumnFormula>
    </tableColumn>
    <tableColumn id="28" xr3:uid="{574F2BF8-11F2-4238-97F1-BA466565AE9A}" name="Cheie_min" dataDxfId="307">
      <calculatedColumnFormula>IF(tTQMOferte[[#This Row],[Rang_eligibil]]=1,tTQMOferte[[#This Row],[ID_cerere]],"")</calculatedColumnFormula>
    </tableColumn>
    <tableColumn id="29" xr3:uid="{CC8BDE75-0AF9-4817-AB53-E367C25BD16E}" name="Cost_sortare" dataDxfId="306">
      <calculatedColumnFormula>IF(ISNUMBER(tTQMOferte[[#This Row],[Total_RON]]),tTQMOferte[[#This Row],[Total_RON]],1E+99)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TQMComenzi" displayName="tTQMComenzi" ref="A12:V13" totalsRowShown="0" headerRowDxfId="302">
  <tableColumns count="22">
    <tableColumn id="1" xr3:uid="{00000000-0010-0000-0000-000001000000}" name="ID_comanda"/>
    <tableColumn id="2" xr3:uid="{00000000-0010-0000-0000-000002000000}" name="Nr_comanda"/>
    <tableColumn id="3" xr3:uid="{00000000-0010-0000-0000-000003000000}" name="Data_comanda" dataDxfId="301"/>
    <tableColumn id="4" xr3:uid="{00000000-0010-0000-0000-000004000000}" name="Furnizor"/>
    <tableColumn id="5" xr3:uid="{00000000-0010-0000-0000-000005000000}" name="Proiect"/>
    <tableColumn id="6" xr3:uid="{00000000-0010-0000-0000-000006000000}" name="Canal"/>
    <tableColumn id="7" xr3:uid="{00000000-0010-0000-0000-000007000000}" name="Responsabil"/>
    <tableColumn id="8" xr3:uid="{00000000-0010-0000-0000-000008000000}" name="Termen" dataDxfId="300"/>
    <tableColumn id="9" xr3:uid="{00000000-0010-0000-0000-000009000000}" name="Stare"/>
    <tableColumn id="10" xr3:uid="{00000000-0010-0000-0000-00000A000000}" name="Nr_pozitii">
      <calculatedColumnFormula>IF($A13="","",COUNTIFS(_TQM_CF_POZ!$B$2:$B$3,$A13))</calculatedColumnFormula>
    </tableColumn>
    <tableColumn id="11" xr3:uid="{00000000-0010-0000-0000-00000B000000}" name="Valoare_net_RON" dataDxfId="299">
      <calculatedColumnFormula>IF($A13="","",SUMIFS(_TQM_CF_POZ!$M$2:$M$3,_TQM_CF_POZ!$B$2:$B$3,$A13)+$O13+$P13)</calculatedColumnFormula>
    </tableColumn>
    <tableColumn id="12" xr3:uid="{00000000-0010-0000-0000-00000C000000}" name="De_primit_RON" dataDxfId="298">
      <calculatedColumnFormula>IF($A13="","",SUMIFS(_TQM_CF_POZ!$N$2:$N$3,_TQM_CF_POZ!$B$2:$B$3,$A13))</calculatedColumnFormula>
    </tableColumn>
    <tableColumn id="13" xr3:uid="{00000000-0010-0000-0000-00000D000000}" name="Livrare">
      <calculatedColumnFormula>IF($A13="","",IF($J13=0,"FARA POZITII",IF($I13="Ciorna","CIORNA",IF(COUNTIFS(_TQM_CF_POZ!$B$2:$B$3,$A13,_TQM_CF_POZ!$L$2:$L$3,"&gt;0")=0,IF(SUMIFS(_TQM_CF_POZ!$K$2:$K$3,_TQM_CF_POZ!$B$2:$B$3,$A13)&gt;0,IF(SUMIFS(_TQM_CF_POZ!$J$2:$J$3,_TQM_CF_POZ!$B$2:$B$3,$A13)&gt;0,"INCHISA PARTIAL","ANULATA"),"PRIMITA INTEGRAL"),IF(SUMIFS(_TQM_CF_POZ!$J$2:$J$3,_TQM_CF_POZ!$B$2:$B$3,$A13)&gt;0,"LIVRARE PARTIALA","DE PRIMIT")))))</calculatedColumnFormula>
    </tableColumn>
    <tableColumn id="14" xr3:uid="{00000000-0010-0000-0000-00000E000000}" name="Pozitii_intarziate">
      <calculatedColumnFormula>IF($A13="","",IF(OR($I13="Trimisa",$I13="Confirmata"),COUNTIFS(_TQM_CF_POZ!$B$2:$B$3,$A13,_TQM_CF_POZ!$O$2:$O$3,"&lt;"&amp;TODAY(),_TQM_CF_POZ!$L$2:$L$3,"&gt;0"),0))</calculatedColumnFormula>
    </tableColumn>
    <tableColumn id="15" xr3:uid="{00000000-0010-0000-0000-00000F000000}" name="Transport_RON" dataDxfId="297"/>
    <tableColumn id="16" xr3:uid="{00000000-0010-0000-0000-000010000000}" name="Alte_costuri_RON" dataDxfId="296"/>
    <tableColumn id="17" xr3:uid="{00000000-0010-0000-0000-000011000000}" name="Referinta"/>
    <tableColumn id="18" xr3:uid="{00000000-0010-0000-0000-000012000000}" name="Link_document"/>
    <tableColumn id="19" xr3:uid="{00000000-0010-0000-0000-000013000000}" name="Observatii"/>
    <tableColumn id="20" xr3:uid="{00000000-0010-0000-0000-000014000000}" name="Revizie"/>
    <tableColumn id="21" xr3:uid="{00000000-0010-0000-0000-000015000000}" name="Actualizat_de"/>
    <tableColumn id="22" xr3:uid="{00000000-0010-0000-0000-000016000000}" name="Actualizat_la" dataDxfId="29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tTQMCFPoz" displayName="tTQMCFPoz" ref="A1:S3" totalsRowShown="0">
  <tableColumns count="19">
    <tableColumn id="1" xr3:uid="{00000000-0010-0000-0100-000001000000}" name="ID_pozitie"/>
    <tableColumn id="2" xr3:uid="{00000000-0010-0000-0100-000002000000}" name="ID_comanda"/>
    <tableColumn id="3" xr3:uid="{00000000-0010-0000-0100-000003000000}" name="Cod_material"/>
    <tableColumn id="4" xr3:uid="{00000000-0010-0000-0100-000004000000}" name="Material"/>
    <tableColumn id="5" xr3:uid="{00000000-0010-0000-0100-000005000000}" name="Specificatie"/>
    <tableColumn id="6" xr3:uid="{00000000-0010-0000-0100-000006000000}" name="UM"/>
    <tableColumn id="7" xr3:uid="{00000000-0010-0000-0100-000007000000}" name="Cant_comandata"/>
    <tableColumn id="8" xr3:uid="{00000000-0010-0000-0100-000008000000}" name="Pret_unitar"/>
    <tableColumn id="9" xr3:uid="{00000000-0010-0000-0100-000009000000}" name="Discount_pct"/>
    <tableColumn id="10" xr3:uid="{00000000-0010-0000-0100-00000A000000}" name="Cant_primita">
      <calculatedColumnFormula>IF($A2="","",SUMIFS(_TQM_CF_REC!$F$2:$F$3,_TQM_CF_REC!$B$2:$B$3,$A2,_TQM_CF_REC!$G$2:$G$3,"Valida"))</calculatedColumnFormula>
    </tableColumn>
    <tableColumn id="11" xr3:uid="{00000000-0010-0000-0100-00000B000000}" name="Cant_anulata"/>
    <tableColumn id="12" xr3:uid="{00000000-0010-0000-0100-00000C000000}" name="Cant_ramasa">
      <calculatedColumnFormula>IF($A2="","",MAX(0,ROUND($G2-$J2-$K2,6)))</calculatedColumnFormula>
    </tableColumn>
    <tableColumn id="13" xr3:uid="{00000000-0010-0000-0100-00000D000000}" name="Val_initiala">
      <calculatedColumnFormula>IF($A2="","",ROUND($G2*$H2*(1-$I2/100),2))</calculatedColumnFormula>
    </tableColumn>
    <tableColumn id="14" xr3:uid="{00000000-0010-0000-0100-00000E000000}" name="Val_de_primit">
      <calculatedColumnFormula>IF($A2="","",ROUND($L2*$H2*(1-$I2/100),2))</calculatedColumnFormula>
    </tableColumn>
    <tableColumn id="15" xr3:uid="{00000000-0010-0000-0100-00000F000000}" name="Termen_livrare" dataDxfId="294"/>
    <tableColumn id="16" xr3:uid="{00000000-0010-0000-0100-000010000000}" name="Proiect"/>
    <tableColumn id="17" xr3:uid="{00000000-0010-0000-0100-000011000000}" name="ID_cerere"/>
    <tableColumn id="18" xr3:uid="{00000000-0010-0000-0100-000012000000}" name="ID_oferta"/>
    <tableColumn id="19" xr3:uid="{00000000-0010-0000-0100-000013000000}" name="Observatii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2000000}" name="tTQMCFRec" displayName="tTQMCFRec" ref="A1:K3" totalsRowShown="0">
  <tableColumns count="11">
    <tableColumn id="1" xr3:uid="{00000000-0010-0000-0200-000001000000}" name="ID_receptie"/>
    <tableColumn id="2" xr3:uid="{00000000-0010-0000-0200-000002000000}" name="ID_pozitie"/>
    <tableColumn id="3" xr3:uid="{00000000-0010-0000-0200-000003000000}" name="ID_comanda"/>
    <tableColumn id="4" xr3:uid="{00000000-0010-0000-0200-000004000000}" name="Data"/>
    <tableColumn id="5" xr3:uid="{00000000-0010-0000-0200-000005000000}" name="Document"/>
    <tableColumn id="6" xr3:uid="{00000000-0010-0000-0200-000006000000}" name="Cantitate"/>
    <tableColumn id="7" xr3:uid="{00000000-0010-0000-0200-000007000000}" name="Stare"/>
    <tableColumn id="8" xr3:uid="{00000000-0010-0000-0200-000008000000}" name="Link"/>
    <tableColumn id="9" xr3:uid="{00000000-0010-0000-0200-000009000000}" name="Creat_de"/>
    <tableColumn id="10" xr3:uid="{00000000-0010-0000-0200-00000A000000}" name="Creat_la"/>
    <tableColumn id="11" xr3:uid="{00000000-0010-0000-0200-00000B000000}" name="Motiv_anular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3000000}" name="tTQMStoc" displayName="tTQMStoc" ref="A12:M14" totalsRowShown="0" headerRowDxfId="290" dataDxfId="289">
  <tableColumns count="13">
    <tableColumn id="1" xr3:uid="{00000000-0010-0000-0300-000001000000}" name="Material" dataDxfId="288"/>
    <tableColumn id="2" xr3:uid="{00000000-0010-0000-0300-000002000000}" name="Specificatie" dataDxfId="287"/>
    <tableColumn id="3" xr3:uid="{00000000-0010-0000-0300-000003000000}" name="UM" dataDxfId="286"/>
    <tableColumn id="4" xr3:uid="{00000000-0010-0000-0300-000004000000}" name="Locatie" dataDxfId="285"/>
    <tableColumn id="5" xr3:uid="{00000000-0010-0000-0300-000005000000}" name="Intrari" dataDxfId="284">
      <calculatedColumnFormula>IF($J13="","",SUMIFS(_TQM_ST_MISC!$G$2:$G$8,_TQM_ST_MISC!$E$2:$E$8,$J13,_TQM_ST_MISC!$F$2:$F$8,$K13,_TQM_ST_MISC!$N$2:$N$8,"Valida",_TQM_ST_MISC!$G$2:$G$8,"&gt;0"))</calculatedColumnFormula>
    </tableColumn>
    <tableColumn id="6" xr3:uid="{00000000-0010-0000-0300-000006000000}" name="Iesiri" dataDxfId="283">
      <calculatedColumnFormula>IF($J13="","",-SUMIFS(_TQM_ST_MISC!$G$2:$G$8,_TQM_ST_MISC!$E$2:$E$8,$J13,_TQM_ST_MISC!$F$2:$F$8,$K13,_TQM_ST_MISC!$N$2:$N$8,"Valida",_TQM_ST_MISC!$G$2:$G$8,"&lt;0"))</calculatedColumnFormula>
    </tableColumn>
    <tableColumn id="7" xr3:uid="{00000000-0010-0000-0300-000007000000}" name="Stoc_curent" dataDxfId="282">
      <calculatedColumnFormula>IF($J13="","",ROUND($E13-$F13,6))</calculatedColumnFormula>
    </tableColumn>
    <tableColumn id="8" xr3:uid="{00000000-0010-0000-0300-000008000000}" name="Stoc_minim" dataDxfId="281"/>
    <tableColumn id="9" xr3:uid="{00000000-0010-0000-0300-000009000000}" name="Alerta" dataDxfId="280">
      <calculatedColumnFormula>IF($J13="","",IF($G13&lt;0,"STOC NEGATIV",IF($G13&lt;$H13,"SUB MINIM",IF($G13=0,"STOC ZERO","OK"))))</calculatedColumnFormula>
    </tableColumn>
    <tableColumn id="10" xr3:uid="{00000000-0010-0000-0300-00000A000000}" name="ID_material" dataDxfId="279"/>
    <tableColumn id="11" xr3:uid="{00000000-0010-0000-0300-00000B000000}" name="ID_locatie" dataDxfId="278"/>
    <tableColumn id="12" xr3:uid="{00000000-0010-0000-0300-00000C000000}" name="ID_stoc" dataDxfId="277"/>
    <tableColumn id="13" xr3:uid="{00000000-0010-0000-0300-00000D000000}" name="Actualizat_la" dataDxfId="276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4000000}" name="tTQMSTMateriale" displayName="tTQMSTMateriale" ref="A1:F3" totalsRowShown="0">
  <tableColumns count="6">
    <tableColumn id="1" xr3:uid="{00000000-0010-0000-0400-000001000000}" name="ID_material"/>
    <tableColumn id="2" xr3:uid="{00000000-0010-0000-0400-000002000000}" name="Cod_material"/>
    <tableColumn id="3" xr3:uid="{00000000-0010-0000-0400-000003000000}" name="Denumire"/>
    <tableColumn id="4" xr3:uid="{00000000-0010-0000-0400-000004000000}" name="Specificatie"/>
    <tableColumn id="5" xr3:uid="{00000000-0010-0000-0400-000005000000}" name="UM"/>
    <tableColumn id="6" xr3:uid="{00000000-0010-0000-0400-000006000000}" name="Creat_la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5000000}" name="tTQMSTLocatii" displayName="tTQMSTLocatii" ref="A1:C3" totalsRowShown="0">
  <tableColumns count="3">
    <tableColumn id="1" xr3:uid="{00000000-0010-0000-0500-000001000000}" name="ID_locatie"/>
    <tableColumn id="2" xr3:uid="{00000000-0010-0000-0500-000002000000}" name="Denumire"/>
    <tableColumn id="3" xr3:uid="{00000000-0010-0000-0500-000003000000}" name="Creat_la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6000000}" name="tTQMSTMiscari" displayName="tTQMSTMiscari" ref="A1:U8" totalsRowShown="0">
  <tableColumns count="21">
    <tableColumn id="1" xr3:uid="{00000000-0010-0000-0600-000001000000}" name="ID_miscare"/>
    <tableColumn id="2" xr3:uid="{00000000-0010-0000-0600-000002000000}" name="ID_operatie"/>
    <tableColumn id="3" xr3:uid="{00000000-0010-0000-0600-000003000000}" name="Data" dataDxfId="275"/>
    <tableColumn id="4" xr3:uid="{00000000-0010-0000-0600-000004000000}" name="Tip"/>
    <tableColumn id="5" xr3:uid="{00000000-0010-0000-0600-000005000000}" name="ID_material"/>
    <tableColumn id="6" xr3:uid="{00000000-0010-0000-0600-000006000000}" name="ID_locatie"/>
    <tableColumn id="7" xr3:uid="{00000000-0010-0000-0600-000007000000}" name="Cantitate"/>
    <tableColumn id="8" xr3:uid="{00000000-0010-0000-0600-000008000000}" name="Document"/>
    <tableColumn id="9" xr3:uid="{00000000-0010-0000-0600-000009000000}" name="Responsabil"/>
    <tableColumn id="10" xr3:uid="{00000000-0010-0000-0600-00000A000000}" name="Observatii"/>
    <tableColumn id="11" xr3:uid="{00000000-0010-0000-0600-00000B000000}" name="ID_receptie"/>
    <tableColumn id="12" xr3:uid="{00000000-0010-0000-0600-00000C000000}" name="ID_pozitie"/>
    <tableColumn id="13" xr3:uid="{00000000-0010-0000-0600-00000D000000}" name="ID_comanda"/>
    <tableColumn id="14" xr3:uid="{00000000-0010-0000-0600-00000E000000}" name="Stare"/>
    <tableColumn id="15" xr3:uid="{00000000-0010-0000-0600-00000F000000}" name="Creat_la"/>
    <tableColumn id="16" xr3:uid="{00000000-0010-0000-0600-000010000000}" name="Anulat_la"/>
    <tableColumn id="17" xr3:uid="{00000000-0010-0000-0600-000011000000}" name="Anulat_de"/>
    <tableColumn id="18" xr3:uid="{00000000-0010-0000-0600-000012000000}" name="Motiv_anulare"/>
    <tableColumn id="19" xr3:uid="{00000000-0010-0000-0600-000013000000}" name="Proiect"/>
    <tableColumn id="20" xr3:uid="{00000000-0010-0000-0600-000014000000}" name="Partener"/>
    <tableColumn id="21" xr3:uid="{00000000-0010-0000-0600-000015000000}" name="Link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7000000}" name="tTQMFacturi" displayName="tTQMFacturi" ref="A12:X15" totalsRowShown="0" headerRowDxfId="270">
  <tableColumns count="24">
    <tableColumn id="1" xr3:uid="{00000000-0010-0000-0700-000001000000}" name="Nr_factura"/>
    <tableColumn id="2" xr3:uid="{00000000-0010-0000-0700-000002000000}" name="Data_factura" dataDxfId="269"/>
    <tableColumn id="3" xr3:uid="{00000000-0010-0000-0700-000003000000}" name="Partener"/>
    <tableColumn id="4" xr3:uid="{00000000-0010-0000-0700-000004000000}" name="CIF_partener"/>
    <tableColumn id="5" xr3:uid="{00000000-0010-0000-0700-000005000000}" name="Tip_factura"/>
    <tableColumn id="6" xr3:uid="{00000000-0010-0000-0700-000006000000}" name="Scadenta" dataDxfId="268"/>
    <tableColumn id="7" xr3:uid="{00000000-0010-0000-0700-000007000000}" name="Net_RON" dataDxfId="267"/>
    <tableColumn id="8" xr3:uid="{00000000-0010-0000-0700-000008000000}" name="TVA_RON" dataDxfId="266"/>
    <tableColumn id="9" xr3:uid="{00000000-0010-0000-0700-000009000000}" name="Total_RON" dataDxfId="265">
      <calculatedColumnFormula>IF($P13="","",ROUND($G13+$H13,2))</calculatedColumnFormula>
    </tableColumn>
    <tableColumn id="10" xr3:uid="{00000000-0010-0000-0700-00000A000000}" name="Achitat_RON" dataDxfId="264">
      <calculatedColumnFormula>IF($P13="","",ROUND(SUMIFS(_TQM_FP_PLATI!$G$2:$G$10,_TQM_FP_PLATI!$C$2:$C$10,$P13,_TQM_FP_PLATI!$N$2:$N$10,"Valida"),2))</calculatedColumnFormula>
    </tableColumn>
    <tableColumn id="11" xr3:uid="{00000000-0010-0000-0700-00000B000000}" name="Sold_RON" dataDxfId="263">
      <calculatedColumnFormula>IF($P13="","",IF($S13="Anulata",0,ROUND($I13-$J13,2)))</calculatedColumnFormula>
    </tableColumn>
    <tableColumn id="12" xr3:uid="{00000000-0010-0000-0700-00000C000000}" name="Status_plata" dataDxfId="262">
      <calculatedColumnFormula>IF($P13="","",IF($S13="Anulata","ANULATA",IF($I13*$K13&lt;0,"NECONCORDANTA",IF($K13=0,IF($I13&lt;0,"REGULARIZATA","ACHITATA"),IF($I13&lt;0,"CREDIT FURNIZOR",IF($F13&lt;TODAY(),"RESTANTA",IF($F13=TODAY(),"SCADENTA AZI",IF($J13&gt;0,"PARTIALA","NEACHITATA"))))))))</calculatedColumnFormula>
    </tableColumn>
    <tableColumn id="13" xr3:uid="{00000000-0010-0000-0700-00000D000000}" name="Proiecte"/>
    <tableColumn id="14" xr3:uid="{00000000-0010-0000-0700-00000E000000}" name="Link_factura"/>
    <tableColumn id="15" xr3:uid="{00000000-0010-0000-0700-00000F000000}" name="Observatii"/>
    <tableColumn id="16" xr3:uid="{00000000-0010-0000-0700-000010000000}" name="ID_factura"/>
    <tableColumn id="17" xr3:uid="{00000000-0010-0000-0700-000011000000}" name="ID_factura_originala"/>
    <tableColumn id="18" xr3:uid="{00000000-0010-0000-0700-000012000000}" name="Responsabil"/>
    <tableColumn id="19" xr3:uid="{00000000-0010-0000-0700-000013000000}" name="Stare"/>
    <tableColumn id="20" xr3:uid="{00000000-0010-0000-0700-000014000000}" name="Creat_la"/>
    <tableColumn id="21" xr3:uid="{00000000-0010-0000-0700-000015000000}" name="Actualizat_la"/>
    <tableColumn id="22" xr3:uid="{00000000-0010-0000-0700-000016000000}" name="Anulat_la"/>
    <tableColumn id="23" xr3:uid="{00000000-0010-0000-0700-000017000000}" name="Anulat_de"/>
    <tableColumn id="24" xr3:uid="{00000000-0010-0000-0700-000018000000}" name="Motiv_anular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8000000}" name="tTQMFPRepartizari" displayName="tTQMFPRepartizari" ref="A1:P5" totalsRowShown="0">
  <tableColumns count="16">
    <tableColumn id="1" xr3:uid="{00000000-0010-0000-0800-000001000000}" name="ID_repartizare"/>
    <tableColumn id="2" xr3:uid="{00000000-0010-0000-0800-000002000000}" name="ID_factura"/>
    <tableColumn id="3" xr3:uid="{00000000-0010-0000-0800-000003000000}" name="Proiect"/>
    <tableColumn id="4" xr3:uid="{00000000-0010-0000-0800-000004000000}" name="Net_RON" dataDxfId="261"/>
    <tableColumn id="5" xr3:uid="{00000000-0010-0000-0800-000005000000}" name="TVA_RON" dataDxfId="260"/>
    <tableColumn id="6" xr3:uid="{00000000-0010-0000-0800-000006000000}" name="Total_RON" dataDxfId="259">
      <calculatedColumnFormula>IF($A2="","",ROUND($D2+$E2,2))</calculatedColumnFormula>
    </tableColumn>
    <tableColumn id="7" xr3:uid="{00000000-0010-0000-0800-000007000000}" name="Achitat_RON" dataDxfId="258">
      <calculatedColumnFormula>IF($A2="","",ROUND(SUMIFS(_TQM_FP_PLATI!$G$2:$G$10,_TQM_FP_PLATI!$D$2:$D$10,$A2,_TQM_FP_PLATI!$N$2:$N$10,"Valida"),2))</calculatedColumnFormula>
    </tableColumn>
    <tableColumn id="8" xr3:uid="{00000000-0010-0000-0800-000008000000}" name="Sold_RON" dataDxfId="257">
      <calculatedColumnFormula>IF($A2="","",IF($M2="Anulata",0,ROUND($F2-$G2,2)))</calculatedColumnFormula>
    </tableColumn>
    <tableColumn id="9" xr3:uid="{00000000-0010-0000-0800-000009000000}" name="ID_comanda"/>
    <tableColumn id="10" xr3:uid="{00000000-0010-0000-0800-00000A000000}" name="ID_pozitie"/>
    <tableColumn id="11" xr3:uid="{00000000-0010-0000-0800-00000B000000}" name="ID_receptie"/>
    <tableColumn id="12" xr3:uid="{00000000-0010-0000-0800-00000C000000}" name="Descriere"/>
    <tableColumn id="13" xr3:uid="{00000000-0010-0000-0800-00000D000000}" name="Stare"/>
    <tableColumn id="14" xr3:uid="{00000000-0010-0000-0800-00000E000000}" name="Creat_la"/>
    <tableColumn id="15" xr3:uid="{00000000-0010-0000-0800-00000F000000}" name="Ordine"/>
    <tableColumn id="16" xr3:uid="{00000000-0010-0000-0800-000010000000}" name="ID_repartizare_originala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9000000}" name="tTQMFPPlati" displayName="tTQMFPPlati" ref="A1:S10" totalsRowShown="0">
  <tableColumns count="19">
    <tableColumn id="1" xr3:uid="{00000000-0010-0000-0900-000001000000}" name="ID_miscare"/>
    <tableColumn id="2" xr3:uid="{00000000-0010-0000-0900-000002000000}" name="ID_operatie"/>
    <tableColumn id="3" xr3:uid="{00000000-0010-0000-0900-000003000000}" name="ID_factura"/>
    <tableColumn id="4" xr3:uid="{00000000-0010-0000-0900-000004000000}" name="ID_repartizare"/>
    <tableColumn id="5" xr3:uid="{00000000-0010-0000-0900-000005000000}" name="Proiect"/>
    <tableColumn id="6" xr3:uid="{00000000-0010-0000-0900-000006000000}" name="Data" dataDxfId="256"/>
    <tableColumn id="7" xr3:uid="{00000000-0010-0000-0900-000007000000}" name="Suma_RON" dataDxfId="255"/>
    <tableColumn id="8" xr3:uid="{00000000-0010-0000-0900-000008000000}" name="Tip"/>
    <tableColumn id="9" xr3:uid="{00000000-0010-0000-0900-000009000000}" name="Metoda"/>
    <tableColumn id="10" xr3:uid="{00000000-0010-0000-0900-00000A000000}" name="Document"/>
    <tableColumn id="11" xr3:uid="{00000000-0010-0000-0900-00000B000000}" name="Responsabil"/>
    <tableColumn id="12" xr3:uid="{00000000-0010-0000-0900-00000C000000}" name="Observatii"/>
    <tableColumn id="13" xr3:uid="{00000000-0010-0000-0900-00000D000000}" name="Link"/>
    <tableColumn id="14" xr3:uid="{00000000-0010-0000-0900-00000E000000}" name="Stare"/>
    <tableColumn id="15" xr3:uid="{00000000-0010-0000-0900-00000F000000}" name="Creat_la"/>
    <tableColumn id="16" xr3:uid="{00000000-0010-0000-0900-000010000000}" name="Anulat_la"/>
    <tableColumn id="17" xr3:uid="{00000000-0010-0000-0900-000011000000}" name="Anulat_de"/>
    <tableColumn id="18" xr3:uid="{00000000-0010-0000-0900-000012000000}" name="Motiv_anulare"/>
    <tableColumn id="19" xr3:uid="{00000000-0010-0000-0900-000013000000}" name="ID_factura_pereche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A000000}" name="tTQMNMMateriale" displayName="tTQMNMMateriale" ref="A12:P63" totalsRowShown="0" headerRowDxfId="251" dataDxfId="250">
  <tableColumns count="16">
    <tableColumn id="1" xr3:uid="{00000000-0010-0000-0A00-000001000000}" name="Cod_material" dataDxfId="249"/>
    <tableColumn id="2" xr3:uid="{00000000-0010-0000-0A00-000002000000}" name="Denumire" dataDxfId="248"/>
    <tableColumn id="3" xr3:uid="{00000000-0010-0000-0A00-000003000000}" name="Categorie" dataDxfId="247"/>
    <tableColumn id="4" xr3:uid="{00000000-0010-0000-0A00-000004000000}" name="Subcategorie" dataDxfId="246"/>
    <tableColumn id="5" xr3:uid="{00000000-0010-0000-0A00-000005000000}" name="Specificatie" dataDxfId="245"/>
    <tableColumn id="6" xr3:uid="{00000000-0010-0000-0A00-000006000000}" name="UM" dataDxfId="244"/>
    <tableColumn id="7" xr3:uid="{00000000-0010-0000-0A00-000007000000}" name="Producator" dataDxfId="243"/>
    <tableColumn id="8" xr3:uid="{00000000-0010-0000-0A00-000008000000}" name="Model" dataDxfId="242"/>
    <tableColumn id="9" xr3:uid="{00000000-0010-0000-0A00-000009000000}" name="Stare" dataDxfId="241"/>
    <tableColumn id="10" xr3:uid="{00000000-0010-0000-0A00-00000A000000}" name="Observatii" dataDxfId="240"/>
    <tableColumn id="11" xr3:uid="{00000000-0010-0000-0A00-00000B000000}" name="ID_material" dataDxfId="239"/>
    <tableColumn id="12" xr3:uid="{00000000-0010-0000-0A00-00000C000000}" name="Revizie" dataDxfId="238"/>
    <tableColumn id="13" xr3:uid="{00000000-0010-0000-0A00-00000D000000}" name="Creat_la" dataDxfId="237"/>
    <tableColumn id="14" xr3:uid="{00000000-0010-0000-0A00-00000E000000}" name="Actualizat_la" dataDxfId="236"/>
    <tableColumn id="15" xr3:uid="{00000000-0010-0000-0A00-00000F000000}" name="Actualizat_de" dataDxfId="235"/>
    <tableColumn id="16" xr3:uid="{00000000-0010-0000-0A00-000010000000}" name="Sursa" dataDxfId="234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B000000}" name="tTQMNMParteneri" displayName="tTQMNMParteneri" ref="A1:Q3" totalsRowShown="0">
  <tableColumns count="17">
    <tableColumn id="1" xr3:uid="{00000000-0010-0000-0B00-000001000000}" name="ID_partener"/>
    <tableColumn id="2" xr3:uid="{00000000-0010-0000-0B00-000002000000}" name="Cod_partener"/>
    <tableColumn id="3" xr3:uid="{00000000-0010-0000-0B00-000003000000}" name="Denumire"/>
    <tableColumn id="4" xr3:uid="{00000000-0010-0000-0B00-000004000000}" name="CIF"/>
    <tableColumn id="5" xr3:uid="{00000000-0010-0000-0B00-000005000000}" name="Tip"/>
    <tableColumn id="6" xr3:uid="{00000000-0010-0000-0B00-000006000000}" name="Contact"/>
    <tableColumn id="7" xr3:uid="{00000000-0010-0000-0B00-000007000000}" name="Email"/>
    <tableColumn id="8" xr3:uid="{00000000-0010-0000-0B00-000008000000}" name="Telefon"/>
    <tableColumn id="9" xr3:uid="{00000000-0010-0000-0B00-000009000000}" name="IBAN"/>
    <tableColumn id="10" xr3:uid="{00000000-0010-0000-0B00-00000A000000}" name="Banca"/>
    <tableColumn id="11" xr3:uid="{00000000-0010-0000-0B00-00000B000000}" name="Termen_plata_zile"/>
    <tableColumn id="12" xr3:uid="{00000000-0010-0000-0B00-00000C000000}" name="Adresa"/>
    <tableColumn id="13" xr3:uid="{00000000-0010-0000-0B00-00000D000000}" name="Stare"/>
    <tableColumn id="14" xr3:uid="{00000000-0010-0000-0B00-00000E000000}" name="Observatii"/>
    <tableColumn id="15" xr3:uid="{00000000-0010-0000-0B00-00000F000000}" name="Revizie"/>
    <tableColumn id="16" xr3:uid="{00000000-0010-0000-0B00-000010000000}" name="Actualizat_la"/>
    <tableColumn id="17" xr3:uid="{00000000-0010-0000-0B00-000011000000}" name="Actualizat_de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C000000}" name="tTQMNMProiecte" displayName="tTQMNMProiecte" ref="A1:L3" totalsRowShown="0">
  <tableColumns count="12">
    <tableColumn id="1" xr3:uid="{00000000-0010-0000-0C00-000001000000}" name="ID_proiect"/>
    <tableColumn id="2" xr3:uid="{00000000-0010-0000-0C00-000002000000}" name="Cod_proiect"/>
    <tableColumn id="3" xr3:uid="{00000000-0010-0000-0C00-000003000000}" name="Denumire"/>
    <tableColumn id="4" xr3:uid="{00000000-0010-0000-0C00-000004000000}" name="Client"/>
    <tableColumn id="5" xr3:uid="{00000000-0010-0000-0C00-000005000000}" name="Adresa"/>
    <tableColumn id="6" xr3:uid="{00000000-0010-0000-0C00-000006000000}" name="Manager"/>
    <tableColumn id="7" xr3:uid="{00000000-0010-0000-0C00-000007000000}" name="Responsabil"/>
    <tableColumn id="8" xr3:uid="{00000000-0010-0000-0C00-000008000000}" name="Stare"/>
    <tableColumn id="9" xr3:uid="{00000000-0010-0000-0C00-000009000000}" name="Observatii"/>
    <tableColumn id="10" xr3:uid="{00000000-0010-0000-0C00-00000A000000}" name="Revizie"/>
    <tableColumn id="11" xr3:uid="{00000000-0010-0000-0C00-00000B000000}" name="Actualizat_la"/>
    <tableColumn id="12" xr3:uid="{00000000-0010-0000-0C00-00000C000000}" name="Actualizat_de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D000000}" name="tTQMNMLocatii" displayName="tTQMNMLocatii" ref="A1:L3" totalsRowShown="0">
  <tableColumns count="12">
    <tableColumn id="1" xr3:uid="{00000000-0010-0000-0D00-000001000000}" name="ID_locatie"/>
    <tableColumn id="2" xr3:uid="{00000000-0010-0000-0D00-000002000000}" name="Cod_locatie"/>
    <tableColumn id="3" xr3:uid="{00000000-0010-0000-0D00-000003000000}" name="Denumire"/>
    <tableColumn id="4" xr3:uid="{00000000-0010-0000-0D00-000004000000}" name="Tip"/>
    <tableColumn id="5" xr3:uid="{00000000-0010-0000-0D00-000005000000}" name="ID_proiect"/>
    <tableColumn id="6" xr3:uid="{00000000-0010-0000-0D00-000006000000}" name="Adresa"/>
    <tableColumn id="7" xr3:uid="{00000000-0010-0000-0D00-000007000000}" name="Responsabil"/>
    <tableColumn id="8" xr3:uid="{00000000-0010-0000-0D00-000008000000}" name="Stare"/>
    <tableColumn id="9" xr3:uid="{00000000-0010-0000-0D00-000009000000}" name="Observatii"/>
    <tableColumn id="10" xr3:uid="{00000000-0010-0000-0D00-00000A000000}" name="Revizie"/>
    <tableColumn id="11" xr3:uid="{00000000-0010-0000-0D00-00000B000000}" name="Actualizat_la"/>
    <tableColumn id="12" xr3:uid="{00000000-0010-0000-0D00-00000C000000}" name="Actualizat_de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E000000}" name="tTQMNMAtribute" displayName="tTQMNMAtribute" ref="A1:F321" totalsRowShown="0">
  <tableColumns count="6">
    <tableColumn id="1" xr3:uid="{00000000-0010-0000-0E00-000001000000}" name="ID_atribut"/>
    <tableColumn id="2" xr3:uid="{00000000-0010-0000-0E00-000002000000}" name="ID_material"/>
    <tableColumn id="3" xr3:uid="{00000000-0010-0000-0E00-000003000000}" name="Atribut"/>
    <tableColumn id="4" xr3:uid="{00000000-0010-0000-0E00-000004000000}" name="Valoare"/>
    <tableColumn id="5" xr3:uid="{00000000-0010-0000-0E00-000005000000}" name="UM"/>
    <tableColumn id="6" xr3:uid="{00000000-0010-0000-0E00-000006000000}" name="Sursa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F000000}" name="tTQMNMJurnal" displayName="tTQMNMJurnal" ref="A1:J3" totalsRowShown="0">
  <tableColumns count="10">
    <tableColumn id="1" xr3:uid="{00000000-0010-0000-0F00-000001000000}" name="ID_eveniment"/>
    <tableColumn id="2" xr3:uid="{00000000-0010-0000-0F00-000002000000}" name="Data"/>
    <tableColumn id="3" xr3:uid="{00000000-0010-0000-0F00-000003000000}" name="Utilizator"/>
    <tableColumn id="4" xr3:uid="{00000000-0010-0000-0F00-000004000000}" name="Tip_entitate"/>
    <tableColumn id="5" xr3:uid="{00000000-0010-0000-0F00-000005000000}" name="ID_entitate"/>
    <tableColumn id="6" xr3:uid="{00000000-0010-0000-0F00-000006000000}" name="Actiune"/>
    <tableColumn id="7" xr3:uid="{00000000-0010-0000-0F00-000007000000}" name="Revizie"/>
    <tableColumn id="8" xr3:uid="{00000000-0010-0000-0F00-000008000000}" name="Camp"/>
    <tableColumn id="9" xr3:uid="{00000000-0010-0000-0F00-000009000000}" name="Valoare_veche"/>
    <tableColumn id="10" xr3:uid="{00000000-0010-0000-0F00-00000A000000}" name="Valoare_noua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0000000}" name="tTQMSetari" displayName="tTQMSetari" ref="A12:J19" totalsRowShown="0">
  <tableColumns count="10">
    <tableColumn id="1" xr3:uid="{00000000-0010-0000-1000-000001000000}" name="Cod_setare"/>
    <tableColumn id="2" xr3:uid="{00000000-0010-0000-1000-000002000000}" name="Denumire"/>
    <tableColumn id="3" xr3:uid="{00000000-0010-0000-1000-000003000000}" name="Valoare"/>
    <tableColumn id="4" xr3:uid="{00000000-0010-0000-1000-000004000000}" name="Tip"/>
    <tableColumn id="5" xr3:uid="{00000000-0010-0000-1000-000005000000}" name="UM"/>
    <tableColumn id="6" xr3:uid="{00000000-0010-0000-1000-000006000000}" name="Utilizare"/>
    <tableColumn id="7" xr3:uid="{00000000-0010-0000-1000-000007000000}" name="Revizie"/>
    <tableColumn id="8" xr3:uid="{00000000-0010-0000-1000-000008000000}" name="Actualizat_la"/>
    <tableColumn id="9" xr3:uid="{00000000-0010-0000-1000-000009000000}" name="Actualizat_de"/>
    <tableColumn id="10" xr3:uid="{00000000-0010-0000-1000-00000A000000}" name="ID_setare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11000000}" name="tTQMListe" displayName="tTQMListe" ref="A1:J55" totalsRowShown="0">
  <tableColumns count="10">
    <tableColumn id="1" xr3:uid="{00000000-0010-0000-1100-000001000000}" name="ID_lista"/>
    <tableColumn id="2" xr3:uid="{00000000-0010-0000-1100-000002000000}" name="Grupa"/>
    <tableColumn id="3" xr3:uid="{00000000-0010-0000-1100-000003000000}" name="Valoare"/>
    <tableColumn id="4" xr3:uid="{00000000-0010-0000-1100-000004000000}" name="Activ"/>
    <tableColumn id="5" xr3:uid="{00000000-0010-0000-1100-000005000000}" name="Ordine"/>
    <tableColumn id="6" xr3:uid="{00000000-0010-0000-1100-000006000000}" name="Sistem"/>
    <tableColumn id="7" xr3:uid="{00000000-0010-0000-1100-000007000000}" name="Observatii"/>
    <tableColumn id="8" xr3:uid="{00000000-0010-0000-1100-000008000000}" name="Revizie"/>
    <tableColumn id="9" xr3:uid="{00000000-0010-0000-1100-000009000000}" name="Actualizat_la"/>
    <tableColumn id="10" xr3:uid="{00000000-0010-0000-1100-00000A000000}" name="Actualizat_de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12000000}" name="tTQMReguliDoc" displayName="tTQMReguliDoc" ref="A1:M9" totalsRowShown="0">
  <tableColumns count="13">
    <tableColumn id="1" xr3:uid="{00000000-0010-0000-1200-000001000000}" name="Cheie_regula"/>
    <tableColumn id="2" xr3:uid="{00000000-0010-0000-1200-000002000000}" name="Tip_partener"/>
    <tableColumn id="3" xr3:uid="{00000000-0010-0000-1200-000003000000}" name="Tip_intrare"/>
    <tableColumn id="4" xr3:uid="{00000000-0010-0000-1200-000004000000}" name="Aviz"/>
    <tableColumn id="5" xr3:uid="{00000000-0010-0000-1200-000005000000}" name="Decl_conformitate"/>
    <tableColumn id="6" xr3:uid="{00000000-0010-0000-1200-000006000000}" name="Decl_producator"/>
    <tableColumn id="7" xr3:uid="{00000000-0010-0000-1200-000007000000}" name="Fise_tehnice"/>
    <tableColumn id="8" xr3:uid="{00000000-0010-0000-1200-000008000000}" name="Stare"/>
    <tableColumn id="9" xr3:uid="{00000000-0010-0000-1200-000009000000}" name="Observatii"/>
    <tableColumn id="10" xr3:uid="{00000000-0010-0000-1200-00000A000000}" name="Revizie"/>
    <tableColumn id="11" xr3:uid="{00000000-0010-0000-1200-00000B000000}" name="Actualizat_la"/>
    <tableColumn id="12" xr3:uid="{00000000-0010-0000-1200-00000C000000}" name="Actualizat_de"/>
    <tableColumn id="13" xr3:uid="{00000000-0010-0000-1200-00000D000000}" name="ID_regula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3000000}" name="tTQMSLJurnal" displayName="tTQMSLJurnal" ref="A1:J2" totalsRowShown="0">
  <tableColumns count="10">
    <tableColumn id="1" xr3:uid="{00000000-0010-0000-1300-000001000000}" name="ID_eveniment"/>
    <tableColumn id="2" xr3:uid="{00000000-0010-0000-1300-000002000000}" name="Data"/>
    <tableColumn id="3" xr3:uid="{00000000-0010-0000-1300-000003000000}" name="Utilizator"/>
    <tableColumn id="4" xr3:uid="{00000000-0010-0000-1300-000004000000}" name="Entitate"/>
    <tableColumn id="5" xr3:uid="{00000000-0010-0000-1300-000005000000}" name="ID_inregistrare"/>
    <tableColumn id="6" xr3:uid="{00000000-0010-0000-1300-000006000000}" name="Actiune"/>
    <tableColumn id="7" xr3:uid="{00000000-0010-0000-1300-000007000000}" name="Revizie"/>
    <tableColumn id="8" xr3:uid="{00000000-0010-0000-1300-000008000000}" name="Camp"/>
    <tableColumn id="9" xr3:uid="{00000000-0010-0000-1300-000009000000}" name="Valoare_veche"/>
    <tableColumn id="10" xr3:uid="{00000000-0010-0000-1300-00000A000000}" name="Valoare_noua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4000000}" name="tTQMProiecteBugete" displayName="tTQMProiecteBugete" ref="A12:X14" totalsRowShown="0" headerRowDxfId="229" dataDxfId="228">
  <tableColumns count="24">
    <tableColumn id="1" xr3:uid="{00000000-0010-0000-1400-000001000000}" name="Cod_proiect" dataDxfId="227"/>
    <tableColumn id="2" xr3:uid="{00000000-0010-0000-1400-000002000000}" name="Proiect" dataDxfId="226"/>
    <tableColumn id="3" xr3:uid="{00000000-0010-0000-1400-000003000000}" name="Buget_aprobat_net_RON" dataDxfId="225">
      <calculatedColumnFormula>IF(LEN($V13)=0,"",IF(COUNTIFS(_TQM_PB_BU!$B$13,$V13,_TQM_PB_BU!$E$13,"Aprobat")=1,SUMIFS(_TQM_PB_BU!$D$13,_TQM_PB_BU!$B$13,$V13,_TQM_PB_BU!$E$13,"Aprobat"),"n.a."))</calculatedColumnFormula>
    </tableColumn>
    <tableColumn id="4" xr3:uid="{00000000-0010-0000-1400-000004000000}" name="Facturat_net_RON" dataDxfId="224">
      <calculatedColumnFormula>IF(LEN($V13)=0,"",SUMIFS(_TQM_PB_FACT!$H$13:$H$14,_TQM_PB_FACT!$C$13:$C$14,$V13))</calculatedColumnFormula>
    </tableColumn>
    <tableColumn id="5" xr3:uid="{00000000-0010-0000-1400-000005000000}" name="Comenzi_nefacturate_net_RON" dataDxfId="223">
      <calculatedColumnFormula>IF(LEN($V13)=0,"",IF($R13&gt;0,"n.a.",SUMIFS(_TQM_PB_COM!$K$13:$K$14,_TQM_PB_COM!$C$13:$C$14,$V13)))</calculatedColumnFormula>
    </tableColumn>
    <tableColumn id="6" xr3:uid="{00000000-0010-0000-1400-000006000000}" name="Expunere_net_RON" dataDxfId="222">
      <calculatedColumnFormula>IF(LEN($V13)=0,"",IF(ISNUMBER($E13),ROUND($D13+$E13,2),"n.a."))</calculatedColumnFormula>
    </tableColumn>
    <tableColumn id="7" xr3:uid="{00000000-0010-0000-1400-000007000000}" name="Disponibil_net_RON" dataDxfId="221">
      <calculatedColumnFormula>IF(LEN($V13)=0,"",IF(AND(ISNUMBER($C13),ISNUMBER($F13)),ROUND($C13-$F13,2),"n.a."))</calculatedColumnFormula>
    </tableColumn>
    <tableColumn id="8" xr3:uid="{00000000-0010-0000-1400-000008000000}" name="Utilizare_pct" dataDxfId="220">
      <calculatedColumnFormula>IF(LEN($V13)=0,"",IF(AND(ISNUMBER($C13),ISNUMBER($F13),$C13&gt;0),$F13/$C13,"n.a."))</calculatedColumnFormula>
    </tableColumn>
    <tableColumn id="9" xr3:uid="{00000000-0010-0000-1400-000009000000}" name="Actiune" dataDxfId="219">
      <calculatedColumnFormula>IF(LEN($V13)=0,"",IF($V13="NEALOCAT","INREGISTRATI PROIECTELE",IF($R13&gt;0,"CLARIFICATI FACTURILE",IF(NOT(ISNUMBER($C13)),"STABILITI / APROBATI BUGETUL",IF($G13&lt;0,"BUGET DEPASIT",IF($M13&gt;0,"PLATI RESTANTE",IF($U13&lt;&gt;"Activ","PROIECT INACTIV / DE VERIFICAT",IF($S13&gt;0,"VERIFICATI ALOCAREA PE POZITII","IN BUGET"))))))))</calculatedColumnFormula>
    </tableColumn>
    <tableColumn id="10" xr3:uid="{00000000-0010-0000-1400-00000A000000}" name="De_primit_net_RON" dataDxfId="218">
      <calculatedColumnFormula>IF(LEN($V13)=0,"",SUMIFS(_TQM_PB_COM!$L$13:$L$14,_TQM_PB_COM!$C$13:$C$14,$V13))</calculatedColumnFormula>
    </tableColumn>
    <tableColumn id="11" xr3:uid="{00000000-0010-0000-1400-00000B000000}" name="Plati_efective_cu_TVA_RON" dataDxfId="217">
      <calculatedColumnFormula>IF(LEN($V13)=0,"",SUMIFS(_TQM_PB_FACT!$V$13:$V$14,_TQM_PB_FACT!$C$13:$C$14,$V13))</calculatedColumnFormula>
    </tableColumn>
    <tableColumn id="12" xr3:uid="{00000000-0010-0000-1400-00000C000000}" name="Sold_cu_TVA_RON" dataDxfId="216">
      <calculatedColumnFormula>IF(LEN($V13)=0,"",SUMIFS(_TQM_PB_FACT!$L$13:$L$14,_TQM_PB_FACT!$C$13:$C$14,$V13))</calculatedColumnFormula>
    </tableColumn>
    <tableColumn id="13" xr3:uid="{00000000-0010-0000-1400-00000D000000}" name="Restante_cu_TVA_RON" dataDxfId="215">
      <calculatedColumnFormula>IF(LEN($V13)=0,"",SUMIFS(_TQM_PB_FACT!$X$13:$X$14,_TQM_PB_FACT!$C$13:$C$14,$V13))</calculatedColumnFormula>
    </tableColumn>
    <tableColumn id="14" xr3:uid="{00000000-0010-0000-1400-00000E000000}" name="TVA_facturat_RON" dataDxfId="214">
      <calculatedColumnFormula>IF(LEN($V13)=0,"",SUMIFS(_TQM_PB_FACT!$I$13:$I$14,_TQM_PB_FACT!$C$13:$C$14,$V13))</calculatedColumnFormula>
    </tableColumn>
    <tableColumn id="15" xr3:uid="{00000000-0010-0000-1400-00000F000000}" name="Facturat_cu_TVA_RON" dataDxfId="213">
      <calculatedColumnFormula>IF(LEN($V13)=0,"",SUMIFS(_TQM_PB_FACT!$J$13:$J$14,_TQM_PB_FACT!$C$13:$C$14,$V13))</calculatedColumnFormula>
    </tableColumn>
    <tableColumn id="16" xr3:uid="{00000000-0010-0000-1400-000010000000}" name="Compensari_cu_TVA_RON" dataDxfId="212">
      <calculatedColumnFormula>IF(LEN($V13)=0,"",SUMIFS(_TQM_PB_FACT!$W$13:$W$14,_TQM_PB_FACT!$C$13:$C$14,$V13))</calculatedColumnFormula>
    </tableColumn>
    <tableColumn id="17" xr3:uid="{00000000-0010-0000-1400-000011000000}" name="Credit_cu_TVA_RON" dataDxfId="211">
      <calculatedColumnFormula>IF(LEN($V13)=0,"",SUMIFS(_TQM_PB_FACT!$Y$13:$Y$14,_TQM_PB_FACT!$C$13:$C$14,$V13))</calculatedColumnFormula>
    </tableColumn>
    <tableColumn id="18" xr3:uid="{00000000-0010-0000-1400-000012000000}" name="Nr_semnale_de_clarificat" dataDxfId="210">
      <calculatedColumnFormula>IF(LEN($V13)=0,"",COUNTIFS(_TQM_PB_FACT!$C$13:$C$14,$V13,_TQM_PB_FACT!$R$13:$R$14,1)+SUMIFS(_TQM_PB_COM!$M$13:$M$14,_TQM_PB_COM!$C$13:$C$14,$V13))</calculatedColumnFormula>
    </tableColumn>
    <tableColumn id="19" xr3:uid="{00000000-0010-0000-1400-000013000000}" name="Nr_legaturi_doar_comanda" dataDxfId="209">
      <calculatedColumnFormula>IF(LEN($V13)=0,"",COUNTIFS(_TQM_PB_FACT!$O$13:$O$14,$V13,_TQM_PB_FACT!$S$13:$S$14,1,_TQM_PB_FACT!$Q$13:$Q$14,"Comanda"))</calculatedColumnFormula>
    </tableColumn>
    <tableColumn id="20" xr3:uid="{00000000-0010-0000-1400-000014000000}" name="Buget_propus_net_RON" dataDxfId="208">
      <calculatedColumnFormula>IF(LEN($V13)=0,"",IF(COUNTIFS(_TQM_PB_BU!$B$13,$V13,_TQM_PB_BU!$E$13,"Ciorna")=1,SUMIFS(_TQM_PB_BU!$D$13,_TQM_PB_BU!$B$13,$V13,_TQM_PB_BU!$E$13,"Ciorna"),""))</calculatedColumnFormula>
    </tableColumn>
    <tableColumn id="21" xr3:uid="{00000000-0010-0000-1400-000015000000}" name="Stare_proiect" dataDxfId="207"/>
    <tableColumn id="22" xr3:uid="{00000000-0010-0000-1400-000016000000}" name="ID_proiect" dataDxfId="206"/>
    <tableColumn id="23" xr3:uid="{00000000-0010-0000-1400-000017000000}" name="Responsabil" dataDxfId="205"/>
    <tableColumn id="24" xr3:uid="{00000000-0010-0000-1400-000018000000}" name="Actualizat_la" dataDxfId="204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15000000}" name="tTQMPBBugete" displayName="tTQMPBBugete" ref="A12:K13" totalsRowShown="0" headerRowDxfId="203" dataDxfId="202">
  <tableColumns count="11">
    <tableColumn id="1" xr3:uid="{00000000-0010-0000-1500-000001000000}" name="ID_buget" dataDxfId="201"/>
    <tableColumn id="2" xr3:uid="{00000000-0010-0000-1500-000002000000}" name="ID_proiect" dataDxfId="200"/>
    <tableColumn id="3" xr3:uid="{00000000-0010-0000-1500-000003000000}" name="Revizie" dataDxfId="199"/>
    <tableColumn id="4" xr3:uid="{00000000-0010-0000-1500-000004000000}" name="Buget_net_RON" dataDxfId="198"/>
    <tableColumn id="5" xr3:uid="{00000000-0010-0000-1500-000005000000}" name="Stare" dataDxfId="197"/>
    <tableColumn id="6" xr3:uid="{00000000-0010-0000-1500-000006000000}" name="Data" dataDxfId="196"/>
    <tableColumn id="7" xr3:uid="{00000000-0010-0000-1500-000007000000}" name="Aprobat_de" dataDxfId="195"/>
    <tableColumn id="8" xr3:uid="{00000000-0010-0000-1500-000008000000}" name="Motiv" dataDxfId="194"/>
    <tableColumn id="9" xr3:uid="{00000000-0010-0000-1500-000009000000}" name="Creat_la" dataDxfId="193"/>
    <tableColumn id="10" xr3:uid="{00000000-0010-0000-1500-00000A000000}" name="Actualizat_de" dataDxfId="192"/>
    <tableColumn id="11" xr3:uid="{00000000-0010-0000-1500-00000B000000}" name="ID_buget_precedent" dataDxfId="191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0000000-000C-0000-FFFF-FFFF16000000}" name="tTQMPBPozitii" displayName="tTQMPBPozitii" ref="A12:Q14" totalsRowShown="0" headerRowDxfId="190" dataDxfId="189">
  <tableColumns count="17">
    <tableColumn id="1" xr3:uid="{00000000-0010-0000-1600-000001000000}" name="ID_pozitie" dataDxfId="188"/>
    <tableColumn id="2" xr3:uid="{00000000-0010-0000-1600-000002000000}" name="ID_comanda" dataDxfId="187"/>
    <tableColumn id="3" xr3:uid="{00000000-0010-0000-1600-000003000000}" name="ID_proiect" dataDxfId="186"/>
    <tableColumn id="4" xr3:uid="{00000000-0010-0000-1600-000004000000}" name="Proiect" dataDxfId="185"/>
    <tableColumn id="5" xr3:uid="{00000000-0010-0000-1600-000005000000}" name="Material" dataDxfId="184"/>
    <tableColumn id="6" xr3:uid="{00000000-0010-0000-1600-000006000000}" name="Cant_comandata" dataDxfId="183"/>
    <tableColumn id="7" xr3:uid="{00000000-0010-0000-1600-000007000000}" name="Cant_anulata" dataDxfId="182"/>
    <tableColumn id="8" xr3:uid="{00000000-0010-0000-1600-000008000000}" name="Cant_primita" dataDxfId="181"/>
    <tableColumn id="9" xr3:uid="{00000000-0010-0000-1600-000009000000}" name="Pret_unitar" dataDxfId="180"/>
    <tableColumn id="10" xr3:uid="{00000000-0010-0000-1600-00000A000000}" name="Discount_pct" dataDxfId="179"/>
    <tableColumn id="11" xr3:uid="{00000000-0010-0000-1600-00000B000000}" name="Activa" dataDxfId="178"/>
    <tableColumn id="12" xr3:uid="{00000000-0010-0000-1600-00000C000000}" name="Angajat_net_RON" dataDxfId="177">
      <calculatedColumnFormula>IF(LEN($A13)=0,"",IF($K13=1,ROUND(MAX(0,$F13-$G13)*$I13*(1-$J13/100),2),0))</calculatedColumnFormula>
    </tableColumn>
    <tableColumn id="13" xr3:uid="{00000000-0010-0000-1600-00000D000000}" name="Nefacturat_direct_RON" dataDxfId="176">
      <calculatedColumnFormula>IF(LEN($A13)=0,"",IF($K13=1,MAX(0,ROUND($L13-$O13,2)),0))</calculatedColumnFormula>
    </tableColumn>
    <tableColumn id="14" xr3:uid="{00000000-0010-0000-1600-00000E000000}" name="De_primit_net_RON" dataDxfId="175">
      <calculatedColumnFormula>IF(LEN($A13)=0,"",IF($K13=1,ROUND(MAX(0,$F13-$G13-$H13)*$I13*(1-$J13/100),2),0))</calculatedColumnFormula>
    </tableColumn>
    <tableColumn id="15" xr3:uid="{00000000-0010-0000-1600-00000F000000}" name="Facturat_direct_RON" dataDxfId="174">
      <calculatedColumnFormula>IF(LEN($A13)=0,"",SUMIFS(_TQM_PB_FACT!$H$13:$H$14,_TQM_PB_FACT!$N$13:$N$14,$A13,_TQM_PB_FACT!$Q$13:$Q$14,"Comanda"))</calculatedColumnFormula>
    </tableColumn>
    <tableColumn id="16" xr3:uid="{00000000-0010-0000-1600-000010000000}" name="Cheie_comanda_proiect" dataDxfId="173"/>
    <tableColumn id="17" xr3:uid="{00000000-0010-0000-1600-000011000000}" name="Nr_comanda" dataDxfId="172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000000-000C-0000-FFFF-FFFF17000000}" name="tTQMPBComenzi" displayName="tTQMPBComenzi" ref="A12:M14" totalsRowShown="0" headerRowDxfId="171" dataDxfId="170">
  <tableColumns count="13">
    <tableColumn id="1" xr3:uid="{00000000-0010-0000-1700-000001000000}" name="Cheie_comanda_proiect" dataDxfId="169"/>
    <tableColumn id="2" xr3:uid="{00000000-0010-0000-1700-000002000000}" name="ID_comanda" dataDxfId="168"/>
    <tableColumn id="3" xr3:uid="{00000000-0010-0000-1700-000003000000}" name="ID_proiect" dataDxfId="167"/>
    <tableColumn id="4" xr3:uid="{00000000-0010-0000-1700-000004000000}" name="Proiect" dataDxfId="166"/>
    <tableColumn id="5" xr3:uid="{00000000-0010-0000-1700-000005000000}" name="Nr_comanda" dataDxfId="165"/>
    <tableColumn id="6" xr3:uid="{00000000-0010-0000-1700-000006000000}" name="Activa" dataDxfId="164"/>
    <tableColumn id="7" xr3:uid="{00000000-0010-0000-1700-000007000000}" name="Costuri_suplimentare_RON" dataDxfId="163"/>
    <tableColumn id="8" xr3:uid="{00000000-0010-0000-1700-000008000000}" name="Materiale_angajate_RON" dataDxfId="162">
      <calculatedColumnFormula>IF(LEN($A13)=0,"",SUMIFS(_TQM_PB_POS!$L$13:$L$14,_TQM_PB_POS!$P$13:$P$14,$A13))</calculatedColumnFormula>
    </tableColumn>
    <tableColumn id="9" xr3:uid="{00000000-0010-0000-1700-000009000000}" name="Materiale_nefacturate_RON" dataDxfId="161">
      <calculatedColumnFormula>IF(LEN($A13)=0,"",SUMIFS(_TQM_PB_POS!$M$13:$M$14,_TQM_PB_POS!$P$13:$P$14,$A13))</calculatedColumnFormula>
    </tableColumn>
    <tableColumn id="10" xr3:uid="{00000000-0010-0000-1700-00000A000000}" name="Facturat_fara_pozitie_RON" dataDxfId="160">
      <calculatedColumnFormula>IF(LEN($A13)=0,"",SUMIFS(_TQM_PB_FACT!$H$13:$H$14,_TQM_PB_FACT!$P$13:$P$14,$A13,_TQM_PB_FACT!$S$13:$S$14,1,_TQM_PB_FACT!$Q$13:$Q$14,"Comanda"))</calculatedColumnFormula>
    </tableColumn>
    <tableColumn id="11" xr3:uid="{00000000-0010-0000-1700-00000B000000}" name="Nefacturat_RON" dataDxfId="159">
      <calculatedColumnFormula>IF(LEN($A13)=0,"",IF($F13=1,MAX(0,ROUND($I13+$G13-$J13,2)),0))</calculatedColumnFormula>
    </tableColumn>
    <tableColumn id="12" xr3:uid="{00000000-0010-0000-1700-00000C000000}" name="De_primit_RON" dataDxfId="158">
      <calculatedColumnFormula>IF(LEN($A13)=0,"",SUMIFS(_TQM_PB_POS!$N$13:$N$14,_TQM_PB_POS!$P$13:$P$14,$A13))</calculatedColumnFormula>
    </tableColumn>
    <tableColumn id="13" xr3:uid="{00000000-0010-0000-1700-00000D000000}" name="Nr_clarificari" dataDxfId="157">
      <calculatedColumnFormula>IF(LEN($A13)=0,"",COUNTIFS(_TQM_PB_FACT!$M$13:$M$14,$B13,_TQM_PB_FACT!$R$13:$R$14,1))</calculatedColumnFormula>
    </tableColumn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00000000-000C-0000-FFFF-FFFF18000000}" name="tTQMPBFacturi" displayName="tTQMPBFacturi" ref="A12:Y14" totalsRowShown="0" headerRowDxfId="156" dataDxfId="155">
  <tableColumns count="25">
    <tableColumn id="1" xr3:uid="{00000000-0010-0000-1800-000001000000}" name="ID_repartizare" dataDxfId="154"/>
    <tableColumn id="2" xr3:uid="{00000000-0010-0000-1800-000002000000}" name="ID_factura" dataDxfId="153"/>
    <tableColumn id="3" xr3:uid="{00000000-0010-0000-1800-000003000000}" name="ID_proiect" dataDxfId="152"/>
    <tableColumn id="4" xr3:uid="{00000000-0010-0000-1800-000004000000}" name="Proiect" dataDxfId="151"/>
    <tableColumn id="5" xr3:uid="{00000000-0010-0000-1800-000005000000}" name="Nr_factura" dataDxfId="150"/>
    <tableColumn id="6" xr3:uid="{00000000-0010-0000-1800-000006000000}" name="Data_factura" dataDxfId="149"/>
    <tableColumn id="7" xr3:uid="{00000000-0010-0000-1800-000007000000}" name="Scadenta" dataDxfId="148"/>
    <tableColumn id="8" xr3:uid="{00000000-0010-0000-1800-000008000000}" name="Net_RON" dataDxfId="147"/>
    <tableColumn id="9" xr3:uid="{00000000-0010-0000-1800-000009000000}" name="TVA_RON" dataDxfId="146"/>
    <tableColumn id="10" xr3:uid="{00000000-0010-0000-1800-00000A000000}" name="Total_RON" dataDxfId="145">
      <calculatedColumnFormula>IF(LEN($A13)=0,"",ROUND($H13+$I13,2))</calculatedColumnFormula>
    </tableColumn>
    <tableColumn id="11" xr3:uid="{00000000-0010-0000-1800-00000B000000}" name="Achitat_RON" dataDxfId="144">
      <calculatedColumnFormula>IF(LEN($A13)=0,"",ROUND(SUMIFS(_TQM_FP_PLATI!$G$2:$G$10,_TQM_FP_PLATI!$D$2:$D$10,$A13,_TQM_FP_PLATI!$N$2:$N$10,"Valida"),2))</calculatedColumnFormula>
    </tableColumn>
    <tableColumn id="12" xr3:uid="{00000000-0010-0000-1800-00000C000000}" name="Sold_RON" dataDxfId="143">
      <calculatedColumnFormula>IF(LEN($A13)=0,"",ROUND($J13-$K13,2))</calculatedColumnFormula>
    </tableColumn>
    <tableColumn id="13" xr3:uid="{00000000-0010-0000-1800-00000D000000}" name="ID_comanda_legatura" dataDxfId="142"/>
    <tableColumn id="14" xr3:uid="{00000000-0010-0000-1800-00000E000000}" name="ID_pozitie_legatura" dataDxfId="141"/>
    <tableColumn id="15" xr3:uid="{00000000-0010-0000-1800-00000F000000}" name="ID_proiect_angajament" dataDxfId="140"/>
    <tableColumn id="16" xr3:uid="{00000000-0010-0000-1800-000010000000}" name="Cheie_comanda_proiect" dataDxfId="139"/>
    <tableColumn id="17" xr3:uid="{00000000-0010-0000-1800-000011000000}" name="Clasificare" dataDxfId="138"/>
    <tableColumn id="18" xr3:uid="{00000000-0010-0000-1800-000012000000}" name="Clarificare" dataDxfId="137"/>
    <tableColumn id="19" xr3:uid="{00000000-0010-0000-1800-000013000000}" name="Doar_comanda" dataDxfId="136"/>
    <tableColumn id="20" xr3:uid="{00000000-0010-0000-1800-000014000000}" name="Descriere" dataDxfId="135"/>
    <tableColumn id="21" xr3:uid="{00000000-0010-0000-1800-000015000000}" name="ID_repartizare_originala" dataDxfId="134"/>
    <tableColumn id="22" xr3:uid="{00000000-0010-0000-1800-000016000000}" name="Plati_efective_RON" dataDxfId="133">
      <calculatedColumnFormula>IF(LEN($A13)=0,"",ROUND(SUMIFS(_TQM_FP_PLATI!$G$2:$G$10,_TQM_FP_PLATI!$D$2:$D$10,$A13,_TQM_FP_PLATI!$N$2:$N$10,"Valida",_TQM_FP_PLATI!$H$2:$H$10,"Plata")+SUMIFS(_TQM_FP_PLATI!$G$2:$G$10,_TQM_FP_PLATI!$D$2:$D$10,$A13,_TQM_FP_PLATI!$N$2:$N$10,"Valida",_TQM_FP_PLATI!$H$2:$H$10,"Restituire"),2))</calculatedColumnFormula>
    </tableColumn>
    <tableColumn id="23" xr3:uid="{00000000-0010-0000-1800-000017000000}" name="Compensari_RON" dataDxfId="132">
      <calculatedColumnFormula>IF(LEN($A13)=0,"",SUMIFS(_TQM_FP_PLATI!$G$2:$G$10,_TQM_FP_PLATI!$D$2:$D$10,$A13,_TQM_FP_PLATI!$N$2:$N$10,"Valida",_TQM_FP_PLATI!$H$2:$H$10,"Compensare"))</calculatedColumnFormula>
    </tableColumn>
    <tableColumn id="24" xr3:uid="{00000000-0010-0000-1800-000018000000}" name="Restante_RON" dataDxfId="131">
      <calculatedColumnFormula>IF(LEN($A13)=0,"",IF(AND($L13&gt;0,$G13&lt;TODAY()),$L13,0))</calculatedColumnFormula>
    </tableColumn>
    <tableColumn id="25" xr3:uid="{00000000-0010-0000-1800-000019000000}" name="Credit_RON" dataDxfId="130">
      <calculatedColumnFormula>IF(LEN($A13)=0,"",MAX(0,-$L13))</calculatedColumnFormula>
    </tableColumn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00000000-000C-0000-FFFF-FFFF19000000}" name="tTQMPBLegaturi" displayName="tTQMPBLegaturi" ref="A12:J13" totalsRowShown="0" headerRowDxfId="129" dataDxfId="128">
  <tableColumns count="10">
    <tableColumn id="1" xr3:uid="{00000000-0010-0000-1900-000001000000}" name="ID_repartizare" dataDxfId="127"/>
    <tableColumn id="2" xr3:uid="{00000000-0010-0000-1900-000002000000}" name="Clasificare" dataDxfId="126"/>
    <tableColumn id="3" xr3:uid="{00000000-0010-0000-1900-000003000000}" name="ID_comanda" dataDxfId="125"/>
    <tableColumn id="4" xr3:uid="{00000000-0010-0000-1900-000004000000}" name="ID_pozitie" dataDxfId="124"/>
    <tableColumn id="5" xr3:uid="{00000000-0010-0000-1900-000005000000}" name="ID_proiect_angajament" dataDxfId="123"/>
    <tableColumn id="6" xr3:uid="{00000000-0010-0000-1900-000006000000}" name="Observatii" dataDxfId="122"/>
    <tableColumn id="7" xr3:uid="{00000000-0010-0000-1900-000007000000}" name="ID_legatura" dataDxfId="121"/>
    <tableColumn id="8" xr3:uid="{00000000-0010-0000-1900-000008000000}" name="Revizie" dataDxfId="120"/>
    <tableColumn id="9" xr3:uid="{00000000-0010-0000-1900-000009000000}" name="Actualizat_la" dataDxfId="119"/>
    <tableColumn id="10" xr3:uid="{00000000-0010-0000-1900-00000A000000}" name="Actualizat_de" dataDxfId="118"/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00000000-000C-0000-FFFF-FFFF1A000000}" name="tTQMPBNume" displayName="tTQMPBNume" ref="A12:D15" totalsRowShown="0" headerRowDxfId="117" dataDxfId="116">
  <tableColumns count="4">
    <tableColumn id="1" xr3:uid="{00000000-0010-0000-1A00-000001000000}" name="Denumire_folosita" dataDxfId="115"/>
    <tableColumn id="2" xr3:uid="{00000000-0010-0000-1A00-000002000000}" name="Sursa" dataDxfId="114"/>
    <tableColumn id="3" xr3:uid="{00000000-0010-0000-1A00-000003000000}" name="ID_sursa" dataDxfId="113"/>
    <tableColumn id="4" xr3:uid="{00000000-0010-0000-1A00-000004000000}" name="Camp" dataDxfId="112"/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0000000-000C-0000-FFFF-FFFF1B000000}" name="tTQMPBJurnal" displayName="tTQMPBJurnal" ref="A12:J13" totalsRowShown="0" headerRowDxfId="111" dataDxfId="110">
  <tableColumns count="10">
    <tableColumn id="1" xr3:uid="{00000000-0010-0000-1B00-000001000000}" name="ID_eveniment" dataDxfId="109"/>
    <tableColumn id="2" xr3:uid="{00000000-0010-0000-1B00-000002000000}" name="Data" dataDxfId="108"/>
    <tableColumn id="3" xr3:uid="{00000000-0010-0000-1B00-000003000000}" name="Utilizator" dataDxfId="107"/>
    <tableColumn id="4" xr3:uid="{00000000-0010-0000-1B00-000004000000}" name="Entitate" dataDxfId="106"/>
    <tableColumn id="5" xr3:uid="{00000000-0010-0000-1B00-000005000000}" name="ID_inregistrare" dataDxfId="105"/>
    <tableColumn id="6" xr3:uid="{00000000-0010-0000-1B00-000006000000}" name="Actiune" dataDxfId="104"/>
    <tableColumn id="7" xr3:uid="{00000000-0010-0000-1B00-000007000000}" name="Revizie" dataDxfId="103"/>
    <tableColumn id="8" xr3:uid="{00000000-0010-0000-1B00-000008000000}" name="Camp" dataDxfId="102"/>
    <tableColumn id="9" xr3:uid="{00000000-0010-0000-1B00-000009000000}" name="Valoare_veche" dataDxfId="101"/>
    <tableColumn id="10" xr3:uid="{00000000-0010-0000-1B00-00000A000000}" name="Valoare_noua" dataDxfId="100"/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00000000-000C-0000-FFFF-FFFF1C000000}" name="tTQMDocumente" displayName="tTQMDocumente" ref="A12:W13" totalsRowShown="0" headerRowDxfId="94" dataDxfId="93">
  <tableColumns count="23">
    <tableColumn id="1" xr3:uid="{00000000-0010-0000-1C00-000001000000}" name="Nr_document" dataDxfId="92"/>
    <tableColumn id="2" xr3:uid="{00000000-0010-0000-1C00-000002000000}" name="Tip_document" dataDxfId="91"/>
    <tableColumn id="3" xr3:uid="{00000000-0010-0000-1C00-000003000000}" name="Data_document" dataDxfId="90"/>
    <tableColumn id="4" xr3:uid="{00000000-0010-0000-1C00-000004000000}" name="Emitent" dataDxfId="89"/>
    <tableColumn id="5" xr3:uid="{00000000-0010-0000-1C00-000005000000}" name="Titlu" dataDxfId="88"/>
    <tableColumn id="6" xr3:uid="{00000000-0010-0000-1C00-000006000000}" name="Link" dataDxfId="87"/>
    <tableColumn id="7" xr3:uid="{00000000-0010-0000-1C00-000007000000}" name="Stare" dataDxfId="86"/>
    <tableColumn id="8" xr3:uid="{00000000-0010-0000-1C00-000008000000}" name="Valabil_pana" dataDxfId="85"/>
    <tableColumn id="9" xr3:uid="{00000000-0010-0000-1C00-000009000000}" name="Responsabil" dataDxfId="84"/>
    <tableColumn id="10" xr3:uid="{00000000-0010-0000-1C00-00000A000000}" name="Actiune" dataDxfId="83">
      <calculatedColumnFormula>IF(LEN($L13)=0,"",IF($G13="Arhivat","ARHIVAT",IF($G13="Respins","DOCUMENT RESPINS",IF(LEN($F13)=0,"ADAUGATI LINKUL",IF($W13&lt;&gt;1,"CORECTATI LINKUL",IF(IF(LEN($H13)=0,FALSE,$H13&lt;TODAY()),"DOCUMENT EXPIRAT",IF($G13&lt;&gt;"Verificat","VERIFICATI DOCUMENTUL",IF($U13&lt;&gt;1,"COMPLETATI VERIFICAREA",IF($K13=0,"ASOCIATI OPERATIUNEA","DOCUMENT VERIFICAT")))))))))</calculatedColumnFormula>
    </tableColumn>
    <tableColumn id="11" xr3:uid="{00000000-0010-0000-1C00-00000B000000}" name="Nr_legaturi" dataDxfId="82">
      <calculatedColumnFormula>IF(LEN($L13)=0,"",COUNTIFS(_TQM_DOC_LEG!$B$13,$L13,_TQM_DOC_LEG!$F$13,"Valida",_TQM_DOC_LEG!$O$13,1))</calculatedColumnFormula>
    </tableColumn>
    <tableColumn id="12" xr3:uid="{00000000-0010-0000-1C00-00000C000000}" name="ID_document" dataDxfId="81"/>
    <tableColumn id="13" xr3:uid="{00000000-0010-0000-1C00-00000D000000}" name="Revizie" dataDxfId="80"/>
    <tableColumn id="14" xr3:uid="{00000000-0010-0000-1C00-00000E000000}" name="Creat_la" dataDxfId="79"/>
    <tableColumn id="15" xr3:uid="{00000000-0010-0000-1C00-00000F000000}" name="Actualizat_la" dataDxfId="78"/>
    <tableColumn id="16" xr3:uid="{00000000-0010-0000-1C00-000010000000}" name="Actualizat_de" dataDxfId="77"/>
    <tableColumn id="17" xr3:uid="{00000000-0010-0000-1C00-000011000000}" name="Cheie_link" dataDxfId="76"/>
    <tableColumn id="18" xr3:uid="{00000000-0010-0000-1C00-000012000000}" name="Verificat_de" dataDxfId="75"/>
    <tableColumn id="19" xr3:uid="{00000000-0010-0000-1C00-000013000000}" name="Verificat_la" dataDxfId="74"/>
    <tableColumn id="20" xr3:uid="{00000000-0010-0000-1C00-000014000000}" name="Observatii" dataDxfId="73"/>
    <tableColumn id="21" xr3:uid="{00000000-0010-0000-1C00-000015000000}" name="Utilizabil" dataDxfId="72">
      <calculatedColumnFormula>IF(LEN($L13)=0,"",IF(AND($G13="Verificat",$W13=1,LEN($F13)&gt;0,LEN($D13)&gt;0,LEN($R13)&gt;0,IF(ISNUMBER($S13),$S13&gt;0,FALSE),IF(LEN($H13)=0,TRUE,IF(ISNUMBER($H13),$H13&gt;=TODAY(),FALSE))),1,0))</calculatedColumnFormula>
    </tableColumn>
    <tableColumn id="22" xr3:uid="{00000000-0010-0000-1C00-000016000000}" name="Proiecte" dataDxfId="71"/>
    <tableColumn id="23" xr3:uid="{00000000-0010-0000-1C00-000017000000}" name="Link_valid" dataDxfId="70"/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1D000000}" name="tTQMDOCLinkuri" displayName="tTQMDOCLinkuri" ref="A12:P13" totalsRowShown="0" headerRowDxfId="69" dataDxfId="68">
  <tableColumns count="16">
    <tableColumn id="1" xr3:uid="{00000000-0010-0000-1D00-000001000000}" name="ID_legatura" dataDxfId="67"/>
    <tableColumn id="2" xr3:uid="{00000000-0010-0000-1D00-000002000000}" name="ID_document" dataDxfId="66"/>
    <tableColumn id="3" xr3:uid="{00000000-0010-0000-1D00-000003000000}" name="Tip_entitate" dataDxfId="65"/>
    <tableColumn id="4" xr3:uid="{00000000-0010-0000-1D00-000004000000}" name="ID_entitate" dataDxfId="64"/>
    <tableColumn id="5" xr3:uid="{00000000-0010-0000-1D00-000005000000}" name="Tip_acoperit" dataDxfId="63"/>
    <tableColumn id="6" xr3:uid="{00000000-0010-0000-1D00-000006000000}" name="Stare" dataDxfId="62"/>
    <tableColumn id="7" xr3:uid="{00000000-0010-0000-1D00-000007000000}" name="Origine" dataDxfId="61"/>
    <tableColumn id="8" xr3:uid="{00000000-0010-0000-1D00-000008000000}" name="Cheie_sursa" dataDxfId="60"/>
    <tableColumn id="9" xr3:uid="{00000000-0010-0000-1D00-000009000000}" name="Referinta" dataDxfId="59"/>
    <tableColumn id="10" xr3:uid="{00000000-0010-0000-1D00-00000A000000}" name="Proiect" dataDxfId="58"/>
    <tableColumn id="11" xr3:uid="{00000000-0010-0000-1D00-00000B000000}" name="Partener" dataDxfId="57"/>
    <tableColumn id="12" xr3:uid="{00000000-0010-0000-1D00-00000C000000}" name="Creat_la" dataDxfId="56"/>
    <tableColumn id="13" xr3:uid="{00000000-0010-0000-1D00-00000D000000}" name="Actualizat_la" dataDxfId="55"/>
    <tableColumn id="14" xr3:uid="{00000000-0010-0000-1D00-00000E000000}" name="Observatii" dataDxfId="54"/>
    <tableColumn id="15" xr3:uid="{00000000-0010-0000-1D00-00000F000000}" name="Sursa_activa" dataDxfId="53"/>
    <tableColumn id="16" xr3:uid="{00000000-0010-0000-1D00-000010000000}" name="Acopera" dataDxfId="52">
      <calculatedColumnFormula>IF(LEN($A13)=0,"",IF(AND($F13="Valida",$O13=1,COUNTIFS('09_DOCUMENTE'!$L$13,$B13,'09_DOCUMENTE'!$U$13,1)=1),1,0))</calculatedColumnFormula>
    </tableColumn>
  </tableColumns>
  <tableStyleInfo name="TableStyleMedium2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00000000-000C-0000-FFFF-FFFF1E000000}" name="tTQMDOCSurse" displayName="tTQMDOCSurse" ref="A12:M67" totalsRowShown="0" headerRowDxfId="51" dataDxfId="50">
  <tableColumns count="13">
    <tableColumn id="1" xr3:uid="{00000000-0010-0000-1E00-000001000000}" name="Cheie_entitate" dataDxfId="49"/>
    <tableColumn id="2" xr3:uid="{00000000-0010-0000-1E00-000002000000}" name="Tip_entitate" dataDxfId="48"/>
    <tableColumn id="3" xr3:uid="{00000000-0010-0000-1E00-000003000000}" name="ID_entitate" dataDxfId="47"/>
    <tableColumn id="4" xr3:uid="{00000000-0010-0000-1E00-000004000000}" name="Referinta" dataDxfId="46"/>
    <tableColumn id="5" xr3:uid="{00000000-0010-0000-1E00-000005000000}" name="Proiect" dataDxfId="45"/>
    <tableColumn id="6" xr3:uid="{00000000-0010-0000-1E00-000006000000}" name="Partener" dataDxfId="44"/>
    <tableColumn id="7" xr3:uid="{00000000-0010-0000-1E00-000007000000}" name="Stare_sursa" dataDxfId="43"/>
    <tableColumn id="8" xr3:uid="{00000000-0010-0000-1E00-000008000000}" name="Activa" dataDxfId="42"/>
    <tableColumn id="9" xr3:uid="{00000000-0010-0000-1E00-000009000000}" name="Data" dataDxfId="41"/>
    <tableColumn id="10" xr3:uid="{00000000-0010-0000-1E00-00000A000000}" name="Link_sursa" dataDxfId="40"/>
    <tableColumn id="11" xr3:uid="{00000000-0010-0000-1E00-00000B000000}" name="Tip_document_sursa" dataDxfId="39"/>
    <tableColumn id="12" xr3:uid="{00000000-0010-0000-1E00-00000C000000}" name="Foaie_sursa" dataDxfId="38"/>
    <tableColumn id="13" xr3:uid="{00000000-0010-0000-1E00-00000D000000}" name="Tabel_sursa" dataDxfId="37"/>
  </tableColumns>
  <tableStyleInfo name="TableStyleMedium2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1F000000}" name="tTQMDOCDosare" displayName="tTQMDOCDosare" ref="A12:U16" totalsRowShown="0" headerRowDxfId="33" dataDxfId="32">
  <tableColumns count="21">
    <tableColumn id="1" xr3:uid="{00000000-0010-0000-1F00-000001000000}" name="Nr_dosar" dataDxfId="31"/>
    <tableColumn id="2" xr3:uid="{00000000-0010-0000-1F00-000002000000}" name="Document_sursa" dataDxfId="30"/>
    <tableColumn id="3" xr3:uid="{00000000-0010-0000-1F00-000003000000}" name="Proiect" dataDxfId="29"/>
    <tableColumn id="4" xr3:uid="{00000000-0010-0000-1F00-000004000000}" name="Partener" dataDxfId="28"/>
    <tableColumn id="5" xr3:uid="{00000000-0010-0000-1F00-000005000000}" name="Tip_partener" dataDxfId="27"/>
    <tableColumn id="6" xr3:uid="{00000000-0010-0000-1F00-000006000000}" name="Intrare" dataDxfId="26"/>
    <tableColumn id="7" xr3:uid="{00000000-0010-0000-1F00-000007000000}" name="Stare_regula" dataDxfId="25">
      <calculatedColumnFormula>IF(LEN($O13)=0,"",IF(COUNTIFS(_TQM_SL_REGULI!$A$2:$A$9,$P13)&lt;&gt;1,"REGULA NECONFIGURATA",IF(COUNTIFS(_TQM_SL_REGULI!$A$2:$A$9,$P13,_TQM_SL_REGULI!$H$2:$H$9,"Confirmata")=1,"Confirmata","De confirmat")))</calculatedColumnFormula>
    </tableColumn>
    <tableColumn id="8" xr3:uid="{00000000-0010-0000-1F00-000008000000}" name="Aviz" dataDxfId="24">
      <calculatedColumnFormula>IF(LEN($O13)=0,"",IF($G13&lt;&gt;"Confirmata","De confirmat",IF($Q13=0,"N/A",IF(COUNTIFS(_TQM_DOC_LEG!$C$13,"Dosar",_TQM_DOC_LEG!$D$13,$O13,_TQM_DOC_LEG!$E$13,"Aviz",_TQM_DOC_LEG!$P$13,1)&gt;0,"Verificat","Lipsa"))))</calculatedColumnFormula>
    </tableColumn>
    <tableColumn id="9" xr3:uid="{00000000-0010-0000-1F00-000009000000}" name="Conformitate" dataDxfId="23">
      <calculatedColumnFormula>IF(LEN($O13)=0,"",IF($G13&lt;&gt;"Confirmata","De confirmat",IF($R13=0,"N/A",IF(COUNTIFS(_TQM_DOC_LEG!$C$13,"Dosar",_TQM_DOC_LEG!$D$13,$O13,_TQM_DOC_LEG!$E$13,"Declaratie conformitate",_TQM_DOC_LEG!$P$13,1)&gt;0,"Verificat","Lipsa"))))</calculatedColumnFormula>
    </tableColumn>
    <tableColumn id="10" xr3:uid="{00000000-0010-0000-1F00-00000A000000}" name="Producator" dataDxfId="22">
      <calculatedColumnFormula>IF(LEN($O13)=0,"",IF($G13&lt;&gt;"Confirmata","De confirmat",IF($S13=0,"N/A",IF(COUNTIFS(_TQM_DOC_LEG!$C$13,"Dosar",_TQM_DOC_LEG!$D$13,$O13,_TQM_DOC_LEG!$E$13,"Declaratie producator",_TQM_DOC_LEG!$P$13,1)&gt;0,"Verificat","Lipsa"))))</calculatedColumnFormula>
    </tableColumn>
    <tableColumn id="11" xr3:uid="{00000000-0010-0000-1F00-00000B000000}" name="Fise_tehnice" dataDxfId="21">
      <calculatedColumnFormula>IF(LEN($O13)=0,"",IF($G13&lt;&gt;"Confirmata","De confirmat",IF($T13=0,"N/A",IF(COUNTIFS(_TQM_DOC_LEG!$C$13,"Dosar",_TQM_DOC_LEG!$D$13,$O13,_TQM_DOC_LEG!$E$13,"Fise tehnice",_TQM_DOC_LEG!$P$13,1)&gt;0,"Verificat","Lipsa"))))</calculatedColumnFormula>
    </tableColumn>
    <tableColumn id="12" xr3:uid="{00000000-0010-0000-1F00-00000C000000}" name="Documente_lipsa_arhiva" dataDxfId="20">
      <calculatedColumnFormula>IF(LEN($O13)=0,"",IF($G13&lt;&gt;"Confirmata","Confirmati regulile documentelor",IF($H13="Lipsa","Aviz; ","")&amp;IF($I13="Lipsa","Declaratie conformitate; ","")&amp;IF($J13="Lipsa","Declaratie producator; ","")&amp;IF($K13="Lipsa","Fise tehnice; ","")))</calculatedColumnFormula>
    </tableColumn>
    <tableColumn id="13" xr3:uid="{00000000-0010-0000-1F00-00000D000000}" name="Status_arhiva" dataDxfId="19">
      <calculatedColumnFormula>IF(LEN($O13)=0,"",IF($G13&lt;&gt;"Confirmata","REGULI DE CONFIRMAT",IF($U13=0,"ARHIVA COMPLETA","ARHIVA INCOMPLETA")))</calculatedColumnFormula>
    </tableColumn>
    <tableColumn id="14" xr3:uid="{00000000-0010-0000-1F00-00000E000000}" name="Status_Control" dataDxfId="18"/>
    <tableColumn id="15" xr3:uid="{00000000-0010-0000-1F00-00000F000000}" name="ID_dosar" dataDxfId="17"/>
    <tableColumn id="16" xr3:uid="{00000000-0010-0000-1F00-000010000000}" name="Cheie_regula" dataDxfId="16"/>
    <tableColumn id="17" xr3:uid="{00000000-0010-0000-1F00-000011000000}" name="Cere_aviz" dataDxfId="15">
      <calculatedColumnFormula>IF(LEN($O13)=0,"",IF($G13&lt;&gt;"Confirmata",0,IF(COUNTIFS(_TQM_SL_REGULI!$A$2:$A$9,$P13,_TQM_SL_REGULI!$D$2:$D$9,"Da")=1,1,0)))</calculatedColumnFormula>
    </tableColumn>
    <tableColumn id="18" xr3:uid="{00000000-0010-0000-1F00-000012000000}" name="Cere_conformitate" dataDxfId="14">
      <calculatedColumnFormula>IF(LEN($O13)=0,"",IF($G13&lt;&gt;"Confirmata",0,IF(COUNTIFS(_TQM_SL_REGULI!$A$2:$A$9,$P13,_TQM_SL_REGULI!$E$2:$E$9,"Da")=1,1,0)))</calculatedColumnFormula>
    </tableColumn>
    <tableColumn id="19" xr3:uid="{00000000-0010-0000-1F00-000013000000}" name="Cere_producator" dataDxfId="13">
      <calculatedColumnFormula>IF(LEN($O13)=0,"",IF($G13&lt;&gt;"Confirmata",0,IF(COUNTIFS(_TQM_SL_REGULI!$A$2:$A$9,$P13,_TQM_SL_REGULI!$F$2:$F$9,"Da")=1,1,0)))</calculatedColumnFormula>
    </tableColumn>
    <tableColumn id="20" xr3:uid="{00000000-0010-0000-1F00-000014000000}" name="Cere_fise" dataDxfId="12">
      <calculatedColumnFormula>IF(LEN($O13)=0,"",IF($G13&lt;&gt;"Confirmata",0,IF(COUNTIFS(_TQM_SL_REGULI!$A$2:$A$9,$P13,_TQM_SL_REGULI!$G$2:$G$9,"Da")=1,1,0)))</calculatedColumnFormula>
    </tableColumn>
    <tableColumn id="21" xr3:uid="{00000000-0010-0000-1F00-000015000000}" name="Nr_lipsuri" dataDxfId="11">
      <calculatedColumnFormula>IF(LEN($O13)=0,"",IF($G13&lt;&gt;"Confirmata","n.a.",IF($H13="Lipsa",1,0)+IF($I13="Lipsa",1,0)+IF($J13="Lipsa",1,0)+IF($K13="Lipsa",1,0)))</calculatedColumnFormula>
    </tableColumn>
  </tableColumns>
  <tableStyleInfo name="TableStyleMedium2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00000000-000C-0000-FFFF-FFFF20000000}" name="tTQMDOCJurnal" displayName="tTQMDOCJurnal" ref="A12:I13" totalsRowShown="0" headerRowDxfId="10" dataDxfId="9">
  <tableColumns count="9">
    <tableColumn id="1" xr3:uid="{00000000-0010-0000-2000-000001000000}" name="ID_eveniment" dataDxfId="8"/>
    <tableColumn id="2" xr3:uid="{00000000-0010-0000-2000-000002000000}" name="Data" dataDxfId="7"/>
    <tableColumn id="3" xr3:uid="{00000000-0010-0000-2000-000003000000}" name="Utilizator" dataDxfId="6"/>
    <tableColumn id="4" xr3:uid="{00000000-0010-0000-2000-000004000000}" name="Entitate" dataDxfId="5"/>
    <tableColumn id="5" xr3:uid="{00000000-0010-0000-2000-000005000000}" name="ID_inregistrare" dataDxfId="4"/>
    <tableColumn id="6" xr3:uid="{00000000-0010-0000-2000-000006000000}" name="Actiune" dataDxfId="3"/>
    <tableColumn id="7" xr3:uid="{00000000-0010-0000-2000-000007000000}" name="Camp" dataDxfId="2"/>
    <tableColumn id="8" xr3:uid="{00000000-0010-0000-2000-000008000000}" name="Valoare_veche" dataDxfId="1"/>
    <tableColumn id="9" xr3:uid="{00000000-0010-0000-2000-000009000000}" name="Valoare_noua" dataDxfId="0"/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id="36" name="tTQMRFQ" displayName="tTQMRFQ" ref="A1:K2" totalsRowShown="0">
  <autoFilter ref="A1:K2"/>
  <tableColumns count="11">
    <tableColumn id="1" name="ID_RFQ"/>
    <tableColumn id="2" name="Nr_RFQ"/>
    <tableColumn id="3" name="Data"/>
    <tableColumn id="4" name="Proiect"/>
    <tableColumn id="5" name="Solicitant"/>
    <tableColumn id="6" name="Termen_raspuns"/>
    <tableColumn id="7" name="Observatii"/>
    <tableColumn id="8" name="Stare"/>
    <tableColumn id="9" name="Revizie"/>
    <tableColumn id="10" name="Link_document"/>
    <tableColumn id="11" name="Actualizat_la"/>
  </tableColumns>
  <tableStyleInfo name="TableStyleMedium2" showFirstColumn="0" showLastColumn="0" showRowStripes="1" showColumnStripes="0"/>
</table>
</file>

<file path=xl/tables/table37.xml><?xml version="1.0" encoding="utf-8"?>
<table xmlns="http://schemas.openxmlformats.org/spreadsheetml/2006/main" id="37" name="tTQMRFQPozitii" displayName="tTQMRFQPozitii" ref="A1:E2" totalsRowShown="0">
  <autoFilter ref="A1:E2"/>
  <tableColumns count="5">
    <tableColumn id="1" name="ID_cerere"/>
    <tableColumn id="2" name="ID_RFQ"/>
    <tableColumn id="3" name="Nr_pozitie"/>
    <tableColumn id="4" name="Cod_material"/>
    <tableColumn id="5" name="Stare"/>
  </tableColumns>
  <tableStyleInfo name="TableStyleMedium2" showFirstColumn="0" showLastColumn="0" showRowStripes="1" showColumnStripes="0"/>
</table>
</file>

<file path=xl/tables/table38.xml><?xml version="1.0" encoding="utf-8"?>
<table xmlns="http://schemas.openxmlformats.org/spreadsheetml/2006/main" id="38" name="tTQMRFQOferte" displayName="tTQMRFQOferte" ref="A1:Q2" totalsRowShown="0">
  <autoFilter ref="A1:Q2"/>
  <tableColumns count="17">
    <tableColumn id="1" name="ID_document"/>
    <tableColumn id="2" name="ID_RFQ"/>
    <tableColumn id="3" name="Furnizor"/>
    <tableColumn id="4" name="Nr_oferta"/>
    <tableColumn id="5" name="Data_oferta"/>
    <tableColumn id="6" name="Valabila_pana"/>
    <tableColumn id="7" name="Transport_RON"/>
    <tableColumn id="8" name="Alte_costuri_RON"/>
    <tableColumn id="9" name="Minim_comanda_RON"/>
    <tableColumn id="10" name="Conditie_pachet"/>
    <tableColumn id="11" name="Discount_pachet_RON"/>
    <tableColumn id="12" name="Conditii_plata"/>
    <tableColumn id="13" name="Link_oferta"/>
    <tableColumn id="14" name="Observatii"/>
    <tableColumn id="15" name="Revizie"/>
    <tableColumn id="16" name="Stare"/>
    <tableColumn id="17" name="Actualizat_la"/>
  </tableColumns>
  <tableStyleInfo name="TableStyleMedium2" showFirstColumn="0" showLastColumn="0" showRowStripes="1" showColumnStripes="0"/>
</table>
</file>

<file path=xl/tables/table39.xml><?xml version="1.0" encoding="utf-8"?>
<table xmlns="http://schemas.openxmlformats.org/spreadsheetml/2006/main" id="39" name="tTQMRFQLiniiOferte" displayName="tTQMRFQLiniiOferte" ref="A1:D2" totalsRowShown="0">
  <autoFilter ref="A1:D2"/>
  <tableColumns count="4">
    <tableColumn id="1" name="ID_oferta"/>
    <tableColumn id="2" name="ID_document"/>
    <tableColumn id="3" name="Cant_minima"/>
    <tableColumn id="4" name="Stare"/>
  </tableColumns>
  <tableStyleInfo name="TableStyleMedium2" showFirstColumn="0" showLastColumn="0" showRowStripes="1" showColumnStripes="0"/>
</table>
</file>

<file path=xl/tables/table40.xml><?xml version="1.0" encoding="utf-8"?>
<table xmlns="http://schemas.openxmlformats.org/spreadsheetml/2006/main" id="40" name="tTQMRFQAtribuiri" displayName="tTQMRFQAtribuiri" ref="A1:O2" totalsRowShown="0">
  <autoFilter ref="A1:O2"/>
  <tableColumns count="15">
    <tableColumn id="1" name="ID_atr"/>
    <tableColumn id="2" name="ID_RFQ"/>
    <tableColumn id="3" name="ID_cerere"/>
    <tableColumn id="4" name="ID_oferta"/>
    <tableColumn id="5" name="Cantitate"/>
    <tableColumn id="6" name="Stare"/>
    <tableColumn id="7" name="Aprobat_de"/>
    <tableColumn id="8" name="Data"/>
    <tableColumn id="9" name="Motiv"/>
    <tableColumn id="10" name="Amprenta"/>
    <tableColumn id="11" name="ID_pozitie_comanda"/>
    <tableColumn id="12" name="Amprenta_comanda"/>
    <tableColumn id="13" name="ID_comanda"/>
    <tableColumn id="14" name="Transport_alocat"/>
    <tableColumn id="15" name="Alte_costuri_alocate"/>
  </tableColumns>
  <tableStyleInfo name="TableStyleMedium2" showFirstColumn="0" showLastColumn="0" showRowStripes="1" showColumnStripes="0"/>
</table>
</file>

<file path=xl/tables/table41.xml><?xml version="1.0" encoding="utf-8"?>
<table xmlns="http://schemas.openxmlformats.org/spreadsheetml/2006/main" id="41" name="tTQMRFQInvitati" displayName="tTQMRFQInvitati" ref="A1:G2" totalsRowShown="0">
  <autoFilter ref="A1:G2"/>
  <tableColumns count="7">
    <tableColumn id="1" name="ID_invitat"/>
    <tableColumn id="2" name="ID_RFQ"/>
    <tableColumn id="3" name="Furnizor"/>
    <tableColumn id="4" name="Stare"/>
    <tableColumn id="5" name="Data_trimiterii"/>
    <tableColumn id="6" name="Actualizat_la"/>
    <tableColumn id="7" name="Observatii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7.bin"/><Relationship Id="rId3" Type="http://schemas.openxmlformats.org/officeDocument/2006/relationships/drawing" Target="../drawings/drawing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9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3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4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5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6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7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8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9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0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2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3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4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5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40.xml.rels><?xml version='1.0' encoding='UTF-8' standalone='yes'?>
<Relationships xmlns="http://schemas.openxmlformats.org/package/2006/relationships"><Relationship Id="rId1" Type="http://schemas.openxmlformats.org/officeDocument/2006/relationships/table" Target="../tables/table36.xml"/></Relationships>
</file>

<file path=xl/worksheets/_rels/sheet41.xml.rels><?xml version='1.0' encoding='UTF-8' standalone='yes'?>
<Relationships xmlns="http://schemas.openxmlformats.org/package/2006/relationships"><Relationship Id="rId1" Type="http://schemas.openxmlformats.org/officeDocument/2006/relationships/table" Target="../tables/table37.xml"/></Relationships>
</file>

<file path=xl/worksheets/_rels/sheet42.xml.rels><?xml version='1.0' encoding='UTF-8' standalone='yes'?>
<Relationships xmlns="http://schemas.openxmlformats.org/package/2006/relationships"><Relationship Id="rId1" Type="http://schemas.openxmlformats.org/officeDocument/2006/relationships/table" Target="../tables/table38.xml"/></Relationships>
</file>

<file path=xl/worksheets/_rels/sheet43.xml.rels><?xml version='1.0' encoding='UTF-8' standalone='yes'?>
<Relationships xmlns="http://schemas.openxmlformats.org/package/2006/relationships"><Relationship Id="rId1" Type="http://schemas.openxmlformats.org/officeDocument/2006/relationships/table" Target="../tables/table39.xml"/></Relationships>
</file>

<file path=xl/worksheets/_rels/sheet44.xml.rels><?xml version='1.0' encoding='UTF-8' standalone='yes'?>
<Relationships xmlns="http://schemas.openxmlformats.org/package/2006/relationships"><Relationship Id="rId1" Type="http://schemas.openxmlformats.org/officeDocument/2006/relationships/table" Target="../tables/table40.xml"/></Relationships>
</file>

<file path=xl/worksheets/_rels/sheet45.xml.rels><?xml version='1.0' encoding='UTF-8' standalone='yes'?>
<Relationships xmlns="http://schemas.openxmlformats.org/package/2006/relationships"><Relationship Id="rId1" Type="http://schemas.openxmlformats.org/officeDocument/2006/relationships/table" Target="../tables/table4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44D2E9-B97C-4B7B-BD91-7B4431349FE0}">
  <sheetPr>
    <tabColor rgb="FF1F2937"/>
    <pageSetUpPr fitToPage="1"/>
  </sheetPr>
  <dimension ref="A1:AH1012"/>
  <sheetViews>
    <sheetView showGridLines="0" zoomScale="80" zoomScaleNormal="80" workbookViewId="0">
      <selection activeCell="AJ5" sqref="AJ5"/>
    </sheetView>
  </sheetViews>
  <sheetFormatPr defaultRowHeight="14.4"/>
  <cols>
    <col min="1" max="1" width="3.33203125" customWidth="1"/>
    <col min="2" max="19" width="9.5546875" customWidth="1"/>
    <col min="20" max="34" width="0" hidden="1" customWidth="1"/>
  </cols>
  <sheetData>
    <row r="1" spans="1:34" ht="21" customHeight="1">
      <c r="A1" s="57"/>
      <c r="B1" s="57"/>
      <c r="C1" s="57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57"/>
      <c r="T1" s="27"/>
      <c r="U1" s="27" t="s">
        <v>1289</v>
      </c>
      <c r="V1" s="27"/>
      <c r="W1" s="27"/>
      <c r="X1" s="27"/>
      <c r="Y1" s="27"/>
      <c r="Z1" s="27">
        <v>1012</v>
      </c>
      <c r="AA1" s="27"/>
      <c r="AB1" s="27"/>
      <c r="AC1" s="27"/>
      <c r="AD1" s="27"/>
      <c r="AE1" s="27"/>
      <c r="AF1" s="27" t="s">
        <v>130</v>
      </c>
      <c r="AG1" s="27"/>
      <c r="AH1" s="27"/>
    </row>
    <row r="2" spans="1:34" ht="34.049999999999997" customHeight="1">
      <c r="A2" s="57"/>
      <c r="B2" s="8" t="s">
        <v>1245</v>
      </c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27"/>
      <c r="U2" s="27"/>
      <c r="V2" s="27"/>
      <c r="W2" s="27"/>
      <c r="X2" s="27"/>
      <c r="Y2" s="27"/>
      <c r="Z2" s="27" t="str">
        <f>IF(NOT(AND(ISNUMBER($E$5),ISNUMBER($J$5),$E$5&lt;=$J$5,$O$5&lt;&gt;"")),"Verifica filtrele",IF(COUNTA(Control_Achizitii!$C$1013:$C$1048576)&gt;0,"Actualizeaza dashboardul","OK"))</f>
        <v>OK</v>
      </c>
      <c r="AA2" s="27" t="s">
        <v>1203</v>
      </c>
      <c r="AB2" s="27" t="s">
        <v>1261</v>
      </c>
      <c r="AC2" s="27"/>
      <c r="AD2" s="27"/>
      <c r="AE2" s="27"/>
      <c r="AF2" s="27" t="s">
        <v>1288</v>
      </c>
      <c r="AG2" s="27"/>
      <c r="AH2" s="27"/>
    </row>
    <row r="3" spans="1:34" ht="25.05" customHeight="1">
      <c r="A3" s="57"/>
      <c r="B3" s="7"/>
      <c r="C3" s="6"/>
      <c r="D3" s="6"/>
      <c r="E3" s="6"/>
      <c r="F3" s="6"/>
      <c r="G3" s="118"/>
      <c r="H3" s="7"/>
      <c r="I3" s="6"/>
      <c r="J3" s="6"/>
      <c r="K3" s="6"/>
      <c r="L3" s="6"/>
      <c r="M3" s="57"/>
      <c r="N3" s="5"/>
      <c r="O3" s="5"/>
      <c r="P3" s="5"/>
      <c r="Q3" s="5"/>
      <c r="R3" s="5"/>
      <c r="S3" s="5"/>
      <c r="T3" s="27"/>
      <c r="U3" s="27"/>
      <c r="V3" s="27"/>
      <c r="W3" s="27"/>
      <c r="X3" s="27"/>
      <c r="Y3" s="27"/>
      <c r="Z3" s="27"/>
      <c r="AA3" s="27" t="s">
        <v>1262</v>
      </c>
      <c r="AB3" s="27">
        <f>IF($Z$2="OK",B13,0)</f>
        <v>0</v>
      </c>
      <c r="AC3" s="27"/>
      <c r="AD3" s="27"/>
      <c r="AE3" s="27"/>
      <c r="AF3" s="27" t="s">
        <v>18</v>
      </c>
      <c r="AG3" s="27"/>
      <c r="AH3" s="27"/>
    </row>
    <row r="4" spans="1:34" ht="21" customHeight="1">
      <c r="A4" s="57"/>
      <c r="B4" s="57"/>
      <c r="C4" s="57"/>
      <c r="D4" s="57"/>
      <c r="E4" s="57"/>
      <c r="F4" s="57"/>
      <c r="G4" s="57"/>
      <c r="H4" s="57"/>
      <c r="I4" s="57"/>
      <c r="J4" s="57"/>
      <c r="K4" s="57"/>
      <c r="L4" s="57"/>
      <c r="M4" s="57"/>
      <c r="N4" s="57"/>
      <c r="O4" s="57"/>
      <c r="P4" s="57"/>
      <c r="Q4" s="57"/>
      <c r="R4" s="57"/>
      <c r="S4" s="57"/>
      <c r="T4" s="27"/>
      <c r="U4" s="27"/>
      <c r="V4" s="27"/>
      <c r="W4" s="27"/>
      <c r="X4" s="27"/>
      <c r="Y4" s="27"/>
      <c r="Z4" s="27"/>
      <c r="AA4" s="27" t="s">
        <v>1263</v>
      </c>
      <c r="AB4" s="27">
        <f>IF($Z$2="OK",G13,0)</f>
        <v>4</v>
      </c>
      <c r="AC4" s="27"/>
      <c r="AD4" s="27"/>
      <c r="AE4" s="27"/>
      <c r="AF4" s="27" t="s">
        <v>28</v>
      </c>
      <c r="AG4" s="27"/>
      <c r="AH4" s="27"/>
    </row>
    <row r="5" spans="1:34" ht="28.05" customHeight="1">
      <c r="A5" s="57"/>
      <c r="B5" s="4" t="s">
        <v>1246</v>
      </c>
      <c r="C5" s="4"/>
      <c r="D5" s="4"/>
      <c r="E5" s="3">
        <v>46023</v>
      </c>
      <c r="F5" s="3"/>
      <c r="G5" s="3"/>
      <c r="H5" s="4" t="s">
        <v>1247</v>
      </c>
      <c r="I5" s="4"/>
      <c r="J5" s="3">
        <v>46387</v>
      </c>
      <c r="K5" s="3"/>
      <c r="L5" s="3"/>
      <c r="M5" s="4" t="s">
        <v>60</v>
      </c>
      <c r="N5" s="4"/>
      <c r="O5" s="2" t="s">
        <v>1288</v>
      </c>
      <c r="P5" s="2"/>
      <c r="Q5" s="2"/>
      <c r="R5" s="2"/>
      <c r="S5" s="2"/>
      <c r="T5" s="27"/>
      <c r="U5" s="27"/>
      <c r="V5" s="27"/>
      <c r="W5" s="27"/>
      <c r="X5" s="27"/>
      <c r="Y5" s="27"/>
      <c r="Z5" s="27"/>
      <c r="AA5" s="27" t="s">
        <v>1264</v>
      </c>
      <c r="AB5" s="27">
        <f>IF($Z$2="OK",B9-B13-G13,0)</f>
        <v>0</v>
      </c>
      <c r="AC5" s="27"/>
      <c r="AD5" s="27"/>
      <c r="AE5" s="27"/>
      <c r="AF5" s="27" t="s">
        <v>33</v>
      </c>
      <c r="AG5" s="27"/>
      <c r="AH5" s="27"/>
    </row>
    <row r="6" spans="1:34" ht="21" customHeight="1">
      <c r="A6" s="57"/>
      <c r="B6" s="125" t="s">
        <v>1248</v>
      </c>
      <c r="C6" s="125"/>
      <c r="D6" s="125"/>
      <c r="E6" s="125"/>
      <c r="F6" s="125"/>
      <c r="G6" s="125"/>
      <c r="H6" s="125"/>
      <c r="I6" s="125"/>
      <c r="J6" s="125"/>
      <c r="K6" s="125"/>
      <c r="L6" s="125"/>
      <c r="M6" s="125"/>
      <c r="N6" s="125"/>
      <c r="O6" s="125"/>
      <c r="P6" s="125"/>
      <c r="Q6" s="125"/>
      <c r="R6" s="125"/>
      <c r="S6" s="125"/>
      <c r="T6" s="27"/>
      <c r="U6" s="27"/>
      <c r="V6" s="27"/>
      <c r="W6" s="27"/>
      <c r="X6" s="27"/>
      <c r="Y6" s="27"/>
      <c r="Z6" s="27"/>
      <c r="AA6" s="27"/>
      <c r="AB6" s="27"/>
      <c r="AC6" s="27"/>
      <c r="AD6" s="27"/>
      <c r="AE6" s="27"/>
      <c r="AF6" s="27"/>
      <c r="AG6" s="27"/>
      <c r="AH6" s="27"/>
    </row>
    <row r="7" spans="1:34" ht="21" customHeight="1">
      <c r="A7" s="57"/>
      <c r="B7" s="57"/>
      <c r="C7" s="57"/>
      <c r="D7" s="57"/>
      <c r="E7" s="57"/>
      <c r="F7" s="57"/>
      <c r="G7" s="57"/>
      <c r="H7" s="57"/>
      <c r="I7" s="57"/>
      <c r="J7" s="57"/>
      <c r="K7" s="57"/>
      <c r="L7" s="57"/>
      <c r="M7" s="57"/>
      <c r="N7" s="57"/>
      <c r="O7" s="57"/>
      <c r="P7" s="57"/>
      <c r="Q7" s="57"/>
      <c r="R7" s="57"/>
      <c r="S7" s="57"/>
      <c r="T7" s="27"/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</row>
    <row r="8" spans="1:34" ht="21" customHeight="1">
      <c r="A8" s="57"/>
      <c r="B8" s="126" t="s">
        <v>1255</v>
      </c>
      <c r="C8" s="126"/>
      <c r="D8" s="126"/>
      <c r="E8" s="126"/>
      <c r="F8" s="126"/>
      <c r="G8" s="126"/>
      <c r="H8" s="57"/>
      <c r="I8" s="126" t="s">
        <v>1256</v>
      </c>
      <c r="J8" s="126"/>
      <c r="K8" s="126"/>
      <c r="L8" s="126"/>
      <c r="M8" s="126"/>
      <c r="N8" s="126"/>
      <c r="O8" s="126"/>
      <c r="P8" s="126"/>
      <c r="Q8" s="126"/>
      <c r="R8" s="126"/>
      <c r="S8" s="126"/>
      <c r="T8" s="27"/>
      <c r="U8" s="27"/>
      <c r="V8" s="27"/>
      <c r="W8" s="27"/>
      <c r="X8" s="27"/>
      <c r="Y8" s="27"/>
      <c r="Z8" s="27"/>
      <c r="AA8" s="27" t="s">
        <v>1265</v>
      </c>
      <c r="AB8" s="27" t="s">
        <v>1266</v>
      </c>
      <c r="AC8" s="27" t="s">
        <v>1267</v>
      </c>
      <c r="AD8" s="27"/>
      <c r="AE8" s="27"/>
      <c r="AF8" s="27"/>
      <c r="AG8" s="27"/>
      <c r="AH8" s="27"/>
    </row>
    <row r="9" spans="1:34" ht="21" customHeight="1">
      <c r="A9" s="57"/>
      <c r="B9" s="127">
        <f>IF($Z$2&lt;&gt;"OK",$Z$2,SUM($V$13:$V$1012))</f>
        <v>4</v>
      </c>
      <c r="C9" s="127"/>
      <c r="D9" s="127"/>
      <c r="E9" s="127"/>
      <c r="F9" s="127"/>
      <c r="G9" s="127"/>
      <c r="H9" s="57"/>
      <c r="I9" s="128" t="str">
        <f>IF($Z$2&lt;&gt;"OK",$Z$2,IF(SUM($X$13:$X$1012)&gt;0,"Valori de verificat",SUMIFS(Control_Achizitii!$P$13:$P$1012,$V$13:$V$1012,1,$T$13:$T$1012,1)))</f>
        <v>Valori de verificat</v>
      </c>
      <c r="J9" s="128"/>
      <c r="K9" s="128"/>
      <c r="L9" s="128"/>
      <c r="M9" s="128"/>
      <c r="N9" s="128"/>
      <c r="O9" s="128"/>
      <c r="P9" s="128"/>
      <c r="Q9" s="128"/>
      <c r="R9" s="128"/>
      <c r="S9" s="128"/>
      <c r="T9" s="27"/>
      <c r="U9" s="27"/>
      <c r="V9" s="27"/>
      <c r="W9" s="27"/>
      <c r="X9" s="27"/>
      <c r="Y9" s="27"/>
      <c r="Z9" s="27"/>
      <c r="AA9" s="119">
        <f>DATE(YEAR($J$5),1,1)</f>
        <v>46023</v>
      </c>
      <c r="AB9" s="27" t="s">
        <v>1268</v>
      </c>
      <c r="AC9" s="27" t="str">
        <f>IF(OR($Z$2&lt;&gt;"OK",SUM($X$13:$X$1012)&gt;0),"",SUMIFS(Control_Achizitii!$P$13:$P$1012,$V$13:$V$1012,1,$T$13:$T$1012,1,Control_Achizitii!$B$13:$B$1012,"&gt;="&amp;AA9,Control_Achizitii!$B$13:$B$1012,"&lt;"&amp;DATE(YEAR(AA9),MONTH(AA9)+1,1)))</f>
        <v/>
      </c>
      <c r="AD9" s="27"/>
      <c r="AE9" s="27"/>
      <c r="AF9" s="27"/>
      <c r="AG9" s="27"/>
      <c r="AH9" s="27"/>
    </row>
    <row r="10" spans="1:34" ht="21" customHeight="1">
      <c r="A10" s="57"/>
      <c r="B10" s="127"/>
      <c r="C10" s="127"/>
      <c r="D10" s="127"/>
      <c r="E10" s="127"/>
      <c r="F10" s="127"/>
      <c r="G10" s="127"/>
      <c r="H10" s="57"/>
      <c r="I10" s="128"/>
      <c r="J10" s="128"/>
      <c r="K10" s="128"/>
      <c r="L10" s="128"/>
      <c r="M10" s="128"/>
      <c r="N10" s="128"/>
      <c r="O10" s="128"/>
      <c r="P10" s="128"/>
      <c r="Q10" s="128"/>
      <c r="R10" s="128"/>
      <c r="S10" s="128"/>
      <c r="T10" s="27"/>
      <c r="U10" s="27"/>
      <c r="V10" s="27"/>
      <c r="W10" s="27"/>
      <c r="X10" s="27"/>
      <c r="Y10" s="27"/>
      <c r="Z10" s="27"/>
      <c r="AA10" s="119">
        <f>DATE(YEAR($J$5),2,1)</f>
        <v>46054</v>
      </c>
      <c r="AB10" s="27" t="s">
        <v>1269</v>
      </c>
      <c r="AC10" s="27" t="str">
        <f>IF(OR($Z$2&lt;&gt;"OK",SUM($X$13:$X$1012)&gt;0),"",SUMIFS(Control_Achizitii!$P$13:$P$1012,$V$13:$V$1012,1,$T$13:$T$1012,1,Control_Achizitii!$B$13:$B$1012,"&gt;="&amp;AA10,Control_Achizitii!$B$13:$B$1012,"&lt;"&amp;DATE(YEAR(AA10),MONTH(AA10)+1,1)))</f>
        <v/>
      </c>
      <c r="AD10" s="27"/>
      <c r="AE10" s="27"/>
      <c r="AF10" s="27"/>
      <c r="AG10" s="27"/>
      <c r="AH10" s="27"/>
    </row>
    <row r="11" spans="1:34" ht="21" customHeight="1">
      <c r="A11" s="57"/>
      <c r="B11" s="57"/>
      <c r="C11" s="57"/>
      <c r="D11" s="57"/>
      <c r="E11" s="57"/>
      <c r="F11" s="57"/>
      <c r="G11" s="57"/>
      <c r="H11" s="57"/>
      <c r="I11" s="57"/>
      <c r="J11" s="57"/>
      <c r="K11" s="57"/>
      <c r="L11" s="57"/>
      <c r="M11" s="57"/>
      <c r="N11" s="57"/>
      <c r="O11" s="57"/>
      <c r="P11" s="57"/>
      <c r="Q11" s="57"/>
      <c r="R11" s="57"/>
      <c r="S11" s="57"/>
      <c r="T11" s="27"/>
      <c r="U11" s="27"/>
      <c r="V11" s="27"/>
      <c r="W11" s="27"/>
      <c r="X11" s="27"/>
      <c r="Y11" s="27"/>
      <c r="Z11" s="27"/>
      <c r="AA11" s="119">
        <f>DATE(YEAR($J$5),3,1)</f>
        <v>46082</v>
      </c>
      <c r="AB11" s="27" t="s">
        <v>1270</v>
      </c>
      <c r="AC11" s="27" t="str">
        <f>IF(OR($Z$2&lt;&gt;"OK",SUM($X$13:$X$1012)&gt;0),"",SUMIFS(Control_Achizitii!$P$13:$P$1012,$V$13:$V$1012,1,$T$13:$T$1012,1,Control_Achizitii!$B$13:$B$1012,"&gt;="&amp;AA11,Control_Achizitii!$B$13:$B$1012,"&lt;"&amp;DATE(YEAR(AA11),MONTH(AA11)+1,1)))</f>
        <v/>
      </c>
      <c r="AD11" s="27"/>
      <c r="AE11" s="27"/>
      <c r="AF11" s="27"/>
      <c r="AG11" s="27"/>
      <c r="AH11" s="27"/>
    </row>
    <row r="12" spans="1:34" ht="21" customHeight="1">
      <c r="A12" s="57"/>
      <c r="B12" s="129" t="s">
        <v>1257</v>
      </c>
      <c r="C12" s="129"/>
      <c r="D12" s="129"/>
      <c r="E12" s="129"/>
      <c r="F12" s="57"/>
      <c r="G12" s="131" t="s">
        <v>1258</v>
      </c>
      <c r="H12" s="131"/>
      <c r="I12" s="131"/>
      <c r="J12" s="131"/>
      <c r="K12" s="57"/>
      <c r="L12" s="133" t="s">
        <v>1259</v>
      </c>
      <c r="M12" s="133"/>
      <c r="N12" s="133"/>
      <c r="O12" s="133"/>
      <c r="P12" s="57"/>
      <c r="Q12" s="1" t="s">
        <v>1260</v>
      </c>
      <c r="R12" s="1"/>
      <c r="S12" s="1"/>
      <c r="T12" s="27" t="s">
        <v>22</v>
      </c>
      <c r="U12" s="27" t="s">
        <v>1249</v>
      </c>
      <c r="V12" s="27" t="s">
        <v>1250</v>
      </c>
      <c r="W12" s="27" t="s">
        <v>1251</v>
      </c>
      <c r="X12" s="27" t="s">
        <v>1252</v>
      </c>
      <c r="Y12" s="27" t="s">
        <v>1253</v>
      </c>
      <c r="Z12" s="27"/>
      <c r="AA12" s="119">
        <f>DATE(YEAR($J$5),4,1)</f>
        <v>46113</v>
      </c>
      <c r="AB12" s="27" t="s">
        <v>1271</v>
      </c>
      <c r="AC12" s="27" t="str">
        <f>IF(OR($Z$2&lt;&gt;"OK",SUM($X$13:$X$1012)&gt;0),"",SUMIFS(Control_Achizitii!$P$13:$P$1012,$V$13:$V$1012,1,$T$13:$T$1012,1,Control_Achizitii!$B$13:$B$1012,"&gt;="&amp;AA12,Control_Achizitii!$B$13:$B$1012,"&lt;"&amp;DATE(YEAR(AA12),MONTH(AA12)+1,1)))</f>
        <v/>
      </c>
      <c r="AD12" s="27"/>
      <c r="AE12" s="27"/>
      <c r="AF12" s="27"/>
      <c r="AG12" s="27"/>
      <c r="AH12" s="27" t="s">
        <v>1254</v>
      </c>
    </row>
    <row r="13" spans="1:34" ht="21" customHeight="1">
      <c r="A13" s="57"/>
      <c r="B13" s="130">
        <f>IF($Z$2&lt;&gt;"OK",$Z$2,COUNTIFS($Y$13:$Y$1012,1))</f>
        <v>0</v>
      </c>
      <c r="C13" s="130"/>
      <c r="D13" s="130"/>
      <c r="E13" s="130"/>
      <c r="F13" s="57"/>
      <c r="G13" s="132">
        <f>IF($Z$2&lt;&gt;"OK",$Z$2,COUNTIFS($Y$13:$Y$1012,2))</f>
        <v>4</v>
      </c>
      <c r="H13" s="132"/>
      <c r="I13" s="132"/>
      <c r="J13" s="132"/>
      <c r="K13" s="57"/>
      <c r="L13" s="134">
        <f>IF($Z$2&lt;&gt;"OK",$Z$2,COUNTIFS($V$13:$V$1012,1,Control_Achizitii!$F$13:$F$1012,"OBLIGATORIU AVIZ"))</f>
        <v>0</v>
      </c>
      <c r="M13" s="134"/>
      <c r="N13" s="134"/>
      <c r="O13" s="134"/>
      <c r="P13" s="57"/>
      <c r="Q13" s="124">
        <f>IF($Z$2&lt;&gt;"OK",$Z$2,IF(B9=0,"n.a.",B13/B9))</f>
        <v>0</v>
      </c>
      <c r="R13" s="124"/>
      <c r="S13" s="124"/>
      <c r="T13" s="27">
        <f>IF(LEFT(Control_Achizitii!$E13,4)="Fact",1,0)</f>
        <v>1</v>
      </c>
      <c r="U13" s="27">
        <f>IF(Control_Achizitii!$C13="",0,IF(ISNUMBER(Control_Achizitii!$B13),0,1))</f>
        <v>0</v>
      </c>
      <c r="V13" s="27">
        <f>IF(Control_Achizitii!$C13="",0,IF($Z$2&lt;&gt;"OK",0,IF(AND(ISNUMBER(Control_Achizitii!$B13),Control_Achizitii!$B13&gt;=$E$5,Control_Achizitii!$B13&lt;$J$5+1,OR($O$5="Toate proiectele",Control_Achizitii!$Q13=$O$5)),1,0)))</f>
        <v>1</v>
      </c>
      <c r="W13" s="27">
        <f>IF(AND(V13=1,OR(Control_Achizitii!$J13&lt;&gt;"DOSAR COMPLET",Control_Achizitii!$K13&lt;&gt;"")),ROW(),1000000000)</f>
        <v>13</v>
      </c>
      <c r="X13" s="27">
        <f>IF(AND(V13=1,LEFT(Control_Achizitii!$E13,4)="Fact",NOT(ISNUMBER(Control_Achizitii!$P13))),1,0)</f>
        <v>0</v>
      </c>
      <c r="Y13" s="27">
        <f>IF(V13=0,0,IF(Control_Achizitii!$J13="DOSAR COMPLET",1,IF(LEFT(Control_Achizitii!$J13,9)="INCOMPLET",2,3)))</f>
        <v>2</v>
      </c>
      <c r="Z13" s="27"/>
      <c r="AA13" s="119">
        <f>DATE(YEAR($J$5),5,1)</f>
        <v>46143</v>
      </c>
      <c r="AB13" s="27" t="s">
        <v>1272</v>
      </c>
      <c r="AC13" s="27" t="str">
        <f>IF(OR($Z$2&lt;&gt;"OK",SUM($X$13:$X$1012)&gt;0),"",SUMIFS(Control_Achizitii!$P$13:$P$1012,$V$13:$V$1012,1,$T$13:$T$1012,1,Control_Achizitii!$B$13:$B$1012,"&gt;="&amp;AA13,Control_Achizitii!$B$13:$B$1012,"&lt;"&amp;DATE(YEAR(AA13),MONTH(AA13)+1,1)))</f>
        <v/>
      </c>
      <c r="AD13" s="27"/>
      <c r="AE13" s="27"/>
      <c r="AF13" s="27"/>
      <c r="AG13" s="27"/>
      <c r="AH13" s="27">
        <f>IF(AND(V13=1,Control_Achizitii!$J13="DOSAR COMPLET",Control_Achizitii!$K13&lt;&gt;""),1,0)</f>
        <v>0</v>
      </c>
    </row>
    <row r="14" spans="1:34" ht="21" customHeight="1">
      <c r="A14" s="57"/>
      <c r="B14" s="130"/>
      <c r="C14" s="130"/>
      <c r="D14" s="130"/>
      <c r="E14" s="130"/>
      <c r="F14" s="57"/>
      <c r="G14" s="132"/>
      <c r="H14" s="132"/>
      <c r="I14" s="132"/>
      <c r="J14" s="132"/>
      <c r="K14" s="57"/>
      <c r="L14" s="134"/>
      <c r="M14" s="134"/>
      <c r="N14" s="134"/>
      <c r="O14" s="134"/>
      <c r="P14" s="57"/>
      <c r="Q14" s="124"/>
      <c r="R14" s="124"/>
      <c r="S14" s="124"/>
      <c r="T14" s="27">
        <f>IF(LEFT(Control_Achizitii!$E14,4)="Fact",1,0)</f>
        <v>0</v>
      </c>
      <c r="U14" s="27">
        <f>IF(Control_Achizitii!$C14="",0,IF(ISNUMBER(Control_Achizitii!$B14),0,1))</f>
        <v>0</v>
      </c>
      <c r="V14" s="27">
        <f>IF(Control_Achizitii!$C14="",0,IF($Z$2&lt;&gt;"OK",0,IF(AND(ISNUMBER(Control_Achizitii!$B14),Control_Achizitii!$B14&gt;=$E$5,Control_Achizitii!$B14&lt;$J$5+1,OR($O$5="Toate proiectele",Control_Achizitii!$Q14=$O$5)),1,0)))</f>
        <v>1</v>
      </c>
      <c r="W14" s="27">
        <f>IF(AND(V14=1,OR(Control_Achizitii!$J14&lt;&gt;"DOSAR COMPLET",Control_Achizitii!$K14&lt;&gt;"")),ROW(),1000000000)</f>
        <v>14</v>
      </c>
      <c r="X14" s="27">
        <f>IF(AND(V14=1,LEFT(Control_Achizitii!$E14,4)="Fact",NOT(ISNUMBER(Control_Achizitii!$P14))),1,0)</f>
        <v>0</v>
      </c>
      <c r="Y14" s="27">
        <f>IF(V14=0,0,IF(Control_Achizitii!$J14="DOSAR COMPLET",1,IF(LEFT(Control_Achizitii!$J14,9)="INCOMPLET",2,3)))</f>
        <v>2</v>
      </c>
      <c r="Z14" s="27"/>
      <c r="AA14" s="119">
        <f>DATE(YEAR($J$5),6,1)</f>
        <v>46174</v>
      </c>
      <c r="AB14" s="27" t="s">
        <v>1273</v>
      </c>
      <c r="AC14" s="27" t="str">
        <f>IF(OR($Z$2&lt;&gt;"OK",SUM($X$13:$X$1012)&gt;0),"",SUMIFS(Control_Achizitii!$P$13:$P$1012,$V$13:$V$1012,1,$T$13:$T$1012,1,Control_Achizitii!$B$13:$B$1012,"&gt;="&amp;AA14,Control_Achizitii!$B$13:$B$1012,"&lt;"&amp;DATE(YEAR(AA14),MONTH(AA14)+1,1)))</f>
        <v/>
      </c>
      <c r="AD14" s="27"/>
      <c r="AE14" s="27"/>
      <c r="AF14" s="27"/>
      <c r="AG14" s="27"/>
      <c r="AH14" s="27">
        <f>IF(AND(V14=1,Control_Achizitii!$J14="DOSAR COMPLET",Control_Achizitii!$K14&lt;&gt;""),1,0)</f>
        <v>0</v>
      </c>
    </row>
    <row r="15" spans="1:34" ht="21" customHeight="1">
      <c r="A15" s="57"/>
      <c r="B15" s="57"/>
      <c r="C15" s="57"/>
      <c r="D15" s="57"/>
      <c r="E15" s="57"/>
      <c r="F15" s="57"/>
      <c r="G15" s="57"/>
      <c r="H15" s="57"/>
      <c r="I15" s="57"/>
      <c r="J15" s="57"/>
      <c r="K15" s="57"/>
      <c r="L15" s="57"/>
      <c r="M15" s="57"/>
      <c r="N15" s="57"/>
      <c r="O15" s="57"/>
      <c r="P15" s="57"/>
      <c r="Q15" s="57"/>
      <c r="R15" s="57"/>
      <c r="S15" s="57"/>
      <c r="T15" s="27">
        <f>IF(LEFT(Control_Achizitii!$E15,4)="Fact",1,0)</f>
        <v>1</v>
      </c>
      <c r="U15" s="27">
        <f>IF(Control_Achizitii!$C15="",0,IF(ISNUMBER(Control_Achizitii!$B15),0,1))</f>
        <v>0</v>
      </c>
      <c r="V15" s="27">
        <f>IF(Control_Achizitii!$C15="",0,IF($Z$2&lt;&gt;"OK",0,IF(AND(ISNUMBER(Control_Achizitii!$B15),Control_Achizitii!$B15&gt;=$E$5,Control_Achizitii!$B15&lt;$J$5+1,OR($O$5="Toate proiectele",Control_Achizitii!$Q15=$O$5)),1,0)))</f>
        <v>1</v>
      </c>
      <c r="W15" s="27">
        <f>IF(AND(V15=1,OR(Control_Achizitii!$J15&lt;&gt;"DOSAR COMPLET",Control_Achizitii!$K15&lt;&gt;"")),ROW(),1000000000)</f>
        <v>15</v>
      </c>
      <c r="X15" s="27">
        <f>IF(AND(V15=1,LEFT(Control_Achizitii!$E15,4)="Fact",NOT(ISNUMBER(Control_Achizitii!$P15))),1,0)</f>
        <v>0</v>
      </c>
      <c r="Y15" s="27">
        <f>IF(V15=0,0,IF(Control_Achizitii!$J15="DOSAR COMPLET",1,IF(LEFT(Control_Achizitii!$J15,9)="INCOMPLET",2,3)))</f>
        <v>2</v>
      </c>
      <c r="Z15" s="27"/>
      <c r="AA15" s="119">
        <f>DATE(YEAR($J$5),7,1)</f>
        <v>46204</v>
      </c>
      <c r="AB15" s="27" t="s">
        <v>1274</v>
      </c>
      <c r="AC15" s="27" t="str">
        <f>IF(OR($Z$2&lt;&gt;"OK",SUM($X$13:$X$1012)&gt;0),"",SUMIFS(Control_Achizitii!$P$13:$P$1012,$V$13:$V$1012,1,$T$13:$T$1012,1,Control_Achizitii!$B$13:$B$1012,"&gt;="&amp;AA15,Control_Achizitii!$B$13:$B$1012,"&lt;"&amp;DATE(YEAR(AA15),MONTH(AA15)+1,1)))</f>
        <v/>
      </c>
      <c r="AD15" s="27"/>
      <c r="AE15" s="27"/>
      <c r="AF15" s="27"/>
      <c r="AG15" s="27"/>
      <c r="AH15" s="27">
        <f>IF(AND(V15=1,Control_Achizitii!$J15="DOSAR COMPLET",Control_Achizitii!$K15&lt;&gt;""),1,0)</f>
        <v>0</v>
      </c>
    </row>
    <row r="16" spans="1:34" ht="21" customHeight="1">
      <c r="A16" s="57"/>
      <c r="B16" s="136" t="str">
        <f>IF($Z$2&lt;&gt;"OK",$Z$2,IF(SUM($AH$13:$AH$1012)=0,"Nu exista statusuri COMPLETE cu documente lipsa declarate.",SUM($AH$13:$AH$1012)&amp;" dosare au status COMPLET si documente lipsa. Verificati regulile in registru."))</f>
        <v>Nu exista statusuri COMPLETE cu documente lipsa declarate.</v>
      </c>
      <c r="C16" s="136"/>
      <c r="D16" s="136"/>
      <c r="E16" s="136"/>
      <c r="F16" s="136"/>
      <c r="G16" s="136"/>
      <c r="H16" s="136"/>
      <c r="I16" s="136"/>
      <c r="J16" s="136"/>
      <c r="K16" s="136"/>
      <c r="L16" s="136"/>
      <c r="M16" s="136"/>
      <c r="N16" s="136"/>
      <c r="O16" s="136"/>
      <c r="P16" s="136"/>
      <c r="Q16" s="136"/>
      <c r="R16" s="136"/>
      <c r="S16" s="136"/>
      <c r="T16" s="27">
        <f>IF(LEFT(Control_Achizitii!$E16,4)="Fact",1,0)</f>
        <v>1</v>
      </c>
      <c r="U16" s="27">
        <f>IF(Control_Achizitii!$C16="",0,IF(ISNUMBER(Control_Achizitii!$B16),0,1))</f>
        <v>0</v>
      </c>
      <c r="V16" s="27">
        <f>IF(Control_Achizitii!$C16="",0,IF($Z$2&lt;&gt;"OK",0,IF(AND(ISNUMBER(Control_Achizitii!$B16),Control_Achizitii!$B16&gt;=$E$5,Control_Achizitii!$B16&lt;$J$5+1,OR($O$5="Toate proiectele",Control_Achizitii!$Q16=$O$5)),1,0)))</f>
        <v>1</v>
      </c>
      <c r="W16" s="27">
        <f>IF(AND(V16=1,OR(Control_Achizitii!$J16&lt;&gt;"DOSAR COMPLET",Control_Achizitii!$K16&lt;&gt;"")),ROW(),1000000000)</f>
        <v>16</v>
      </c>
      <c r="X16" s="27">
        <f>IF(AND(V16=1,LEFT(Control_Achizitii!$E16,4)="Fact",NOT(ISNUMBER(Control_Achizitii!$P16))),1,0)</f>
        <v>1</v>
      </c>
      <c r="Y16" s="27">
        <f>IF(V16=0,0,IF(Control_Achizitii!$J16="DOSAR COMPLET",1,IF(LEFT(Control_Achizitii!$J16,9)="INCOMPLET",2,3)))</f>
        <v>2</v>
      </c>
      <c r="Z16" s="27"/>
      <c r="AA16" s="119">
        <f>DATE(YEAR($J$5),8,1)</f>
        <v>46235</v>
      </c>
      <c r="AB16" s="27" t="s">
        <v>1275</v>
      </c>
      <c r="AC16" s="27" t="str">
        <f>IF(OR($Z$2&lt;&gt;"OK",SUM($X$13:$X$1012)&gt;0),"",SUMIFS(Control_Achizitii!$P$13:$P$1012,$V$13:$V$1012,1,$T$13:$T$1012,1,Control_Achizitii!$B$13:$B$1012,"&gt;="&amp;AA16,Control_Achizitii!$B$13:$B$1012,"&lt;"&amp;DATE(YEAR(AA16),MONTH(AA16)+1,1)))</f>
        <v/>
      </c>
      <c r="AD16" s="27"/>
      <c r="AE16" s="27"/>
      <c r="AF16" s="27"/>
      <c r="AG16" s="27"/>
      <c r="AH16" s="27">
        <f>IF(AND(V16=1,Control_Achizitii!$J16="DOSAR COMPLET",Control_Achizitii!$K16&lt;&gt;""),1,0)</f>
        <v>0</v>
      </c>
    </row>
    <row r="17" spans="1:34" ht="21" customHeight="1">
      <c r="A17" s="57"/>
      <c r="B17" s="136"/>
      <c r="C17" s="136"/>
      <c r="D17" s="136"/>
      <c r="E17" s="136"/>
      <c r="F17" s="136"/>
      <c r="G17" s="136"/>
      <c r="H17" s="136"/>
      <c r="I17" s="136"/>
      <c r="J17" s="136"/>
      <c r="K17" s="136"/>
      <c r="L17" s="136"/>
      <c r="M17" s="136"/>
      <c r="N17" s="136"/>
      <c r="O17" s="136"/>
      <c r="P17" s="136"/>
      <c r="Q17" s="136"/>
      <c r="R17" s="136"/>
      <c r="S17" s="136"/>
      <c r="T17" s="27">
        <f>IF(LEFT(Control_Achizitii!$E17,4)="Fact",1,0)</f>
        <v>0</v>
      </c>
      <c r="U17" s="27">
        <f>IF(Control_Achizitii!$C17="",0,IF(ISNUMBER(Control_Achizitii!$B17),0,1))</f>
        <v>0</v>
      </c>
      <c r="V17" s="27">
        <f>IF(Control_Achizitii!$C17="",0,IF($Z$2&lt;&gt;"OK",0,IF(AND(ISNUMBER(Control_Achizitii!$B17),Control_Achizitii!$B17&gt;=$E$5,Control_Achizitii!$B17&lt;$J$5+1,OR($O$5="Toate proiectele",Control_Achizitii!$Q17=$O$5)),1,0)))</f>
        <v>0</v>
      </c>
      <c r="W17" s="27">
        <f>IF(AND(V17=1,OR(Control_Achizitii!$J17&lt;&gt;"DOSAR COMPLET",Control_Achizitii!$K17&lt;&gt;"")),ROW(),1000000000)</f>
        <v>1000000000</v>
      </c>
      <c r="X17" s="27">
        <f>IF(AND(V17=1,LEFT(Control_Achizitii!$E17,4)="Fact",NOT(ISNUMBER(Control_Achizitii!$P17))),1,0)</f>
        <v>0</v>
      </c>
      <c r="Y17" s="27">
        <f>IF(V17=0,0,IF(Control_Achizitii!$J17="DOSAR COMPLET",1,IF(LEFT(Control_Achizitii!$J17,9)="INCOMPLET",2,3)))</f>
        <v>0</v>
      </c>
      <c r="Z17" s="27"/>
      <c r="AA17" s="119">
        <f>DATE(YEAR($J$5),9,1)</f>
        <v>46266</v>
      </c>
      <c r="AB17" s="27" t="s">
        <v>1276</v>
      </c>
      <c r="AC17" s="27" t="str">
        <f>IF(OR($Z$2&lt;&gt;"OK",SUM($X$13:$X$1012)&gt;0),"",SUMIFS(Control_Achizitii!$P$13:$P$1012,$V$13:$V$1012,1,$T$13:$T$1012,1,Control_Achizitii!$B$13:$B$1012,"&gt;="&amp;AA17,Control_Achizitii!$B$13:$B$1012,"&lt;"&amp;DATE(YEAR(AA17),MONTH(AA17)+1,1)))</f>
        <v/>
      </c>
      <c r="AD17" s="27"/>
      <c r="AE17" s="27"/>
      <c r="AF17" s="27"/>
      <c r="AG17" s="27"/>
      <c r="AH17" s="27">
        <f>IF(AND(V17=1,Control_Achizitii!$J17="DOSAR COMPLET",Control_Achizitii!$K17&lt;&gt;""),1,0)</f>
        <v>0</v>
      </c>
    </row>
    <row r="18" spans="1:34" ht="21" customHeight="1">
      <c r="A18" s="57"/>
      <c r="B18" s="125" t="str">
        <f>IF($Z$2&lt;&gt;"OK",$Z$2,SUM($U$13:$U$1012)&amp;" inregistrari fara data valida (toate proiectele). "&amp;SUM($X$13:$X$1012)&amp;" facturi cu valoare nenumerica in selectie.")</f>
        <v>0 inregistrari fara data valida (toate proiectele). 1 facturi cu valoare nenumerica in selectie.</v>
      </c>
      <c r="C18" s="125"/>
      <c r="D18" s="125"/>
      <c r="E18" s="125"/>
      <c r="F18" s="125"/>
      <c r="G18" s="125"/>
      <c r="H18" s="125"/>
      <c r="I18" s="125"/>
      <c r="J18" s="125"/>
      <c r="K18" s="125"/>
      <c r="L18" s="125"/>
      <c r="M18" s="125"/>
      <c r="N18" s="125"/>
      <c r="O18" s="125"/>
      <c r="P18" s="125"/>
      <c r="Q18" s="125"/>
      <c r="R18" s="125"/>
      <c r="S18" s="125"/>
      <c r="T18" s="27">
        <f>IF(LEFT(Control_Achizitii!$E18,4)="Fact",1,0)</f>
        <v>0</v>
      </c>
      <c r="U18" s="27">
        <f>IF(Control_Achizitii!$C18="",0,IF(ISNUMBER(Control_Achizitii!$B18),0,1))</f>
        <v>0</v>
      </c>
      <c r="V18" s="27">
        <f>IF(Control_Achizitii!$C18="",0,IF($Z$2&lt;&gt;"OK",0,IF(AND(ISNUMBER(Control_Achizitii!$B18),Control_Achizitii!$B18&gt;=$E$5,Control_Achizitii!$B18&lt;$J$5+1,OR($O$5="Toate proiectele",Control_Achizitii!$Q18=$O$5)),1,0)))</f>
        <v>0</v>
      </c>
      <c r="W18" s="27">
        <f>IF(AND(V18=1,OR(Control_Achizitii!$J18&lt;&gt;"DOSAR COMPLET",Control_Achizitii!$K18&lt;&gt;"")),ROW(),1000000000)</f>
        <v>1000000000</v>
      </c>
      <c r="X18" s="27">
        <f>IF(AND(V18=1,LEFT(Control_Achizitii!$E18,4)="Fact",NOT(ISNUMBER(Control_Achizitii!$P18))),1,0)</f>
        <v>0</v>
      </c>
      <c r="Y18" s="27">
        <f>IF(V18=0,0,IF(Control_Achizitii!$J18="DOSAR COMPLET",1,IF(LEFT(Control_Achizitii!$J18,9)="INCOMPLET",2,3)))</f>
        <v>0</v>
      </c>
      <c r="Z18" s="27"/>
      <c r="AA18" s="119">
        <f>DATE(YEAR($J$5),10,1)</f>
        <v>46296</v>
      </c>
      <c r="AB18" s="27" t="s">
        <v>1277</v>
      </c>
      <c r="AC18" s="27" t="str">
        <f>IF(OR($Z$2&lt;&gt;"OK",SUM($X$13:$X$1012)&gt;0),"",SUMIFS(Control_Achizitii!$P$13:$P$1012,$V$13:$V$1012,1,$T$13:$T$1012,1,Control_Achizitii!$B$13:$B$1012,"&gt;="&amp;AA18,Control_Achizitii!$B$13:$B$1012,"&lt;"&amp;DATE(YEAR(AA18),MONTH(AA18)+1,1)))</f>
        <v/>
      </c>
      <c r="AD18" s="27"/>
      <c r="AE18" s="27"/>
      <c r="AF18" s="27"/>
      <c r="AG18" s="27"/>
      <c r="AH18" s="27">
        <f>IF(AND(V18=1,Control_Achizitii!$J18="DOSAR COMPLET",Control_Achizitii!$K18&lt;&gt;""),1,0)</f>
        <v>0</v>
      </c>
    </row>
    <row r="19" spans="1:34" ht="21" customHeight="1">
      <c r="A19" s="57"/>
      <c r="B19" s="57"/>
      <c r="C19" s="57"/>
      <c r="D19" s="57"/>
      <c r="E19" s="57"/>
      <c r="F19" s="57"/>
      <c r="G19" s="57"/>
      <c r="H19" s="57"/>
      <c r="I19" s="57"/>
      <c r="J19" s="57"/>
      <c r="K19" s="57"/>
      <c r="L19" s="57"/>
      <c r="M19" s="57"/>
      <c r="N19" s="57"/>
      <c r="O19" s="57"/>
      <c r="P19" s="57"/>
      <c r="Q19" s="57"/>
      <c r="R19" s="57"/>
      <c r="S19" s="57"/>
      <c r="T19" s="27">
        <f>IF(LEFT(Control_Achizitii!$E19,4)="Fact",1,0)</f>
        <v>0</v>
      </c>
      <c r="U19" s="27">
        <f>IF(Control_Achizitii!$C19="",0,IF(ISNUMBER(Control_Achizitii!$B19),0,1))</f>
        <v>0</v>
      </c>
      <c r="V19" s="27">
        <f>IF(Control_Achizitii!$C19="",0,IF($Z$2&lt;&gt;"OK",0,IF(AND(ISNUMBER(Control_Achizitii!$B19),Control_Achizitii!$B19&gt;=$E$5,Control_Achizitii!$B19&lt;$J$5+1,OR($O$5="Toate proiectele",Control_Achizitii!$Q19=$O$5)),1,0)))</f>
        <v>0</v>
      </c>
      <c r="W19" s="27">
        <f>IF(AND(V19=1,OR(Control_Achizitii!$J19&lt;&gt;"DOSAR COMPLET",Control_Achizitii!$K19&lt;&gt;"")),ROW(),1000000000)</f>
        <v>1000000000</v>
      </c>
      <c r="X19" s="27">
        <f>IF(AND(V19=1,LEFT(Control_Achizitii!$E19,4)="Fact",NOT(ISNUMBER(Control_Achizitii!$P19))),1,0)</f>
        <v>0</v>
      </c>
      <c r="Y19" s="27">
        <f>IF(V19=0,0,IF(Control_Achizitii!$J19="DOSAR COMPLET",1,IF(LEFT(Control_Achizitii!$J19,9)="INCOMPLET",2,3)))</f>
        <v>0</v>
      </c>
      <c r="Z19" s="27"/>
      <c r="AA19" s="119">
        <f>DATE(YEAR($J$5),11,1)</f>
        <v>46327</v>
      </c>
      <c r="AB19" s="27" t="s">
        <v>1278</v>
      </c>
      <c r="AC19" s="27" t="str">
        <f>IF(OR($Z$2&lt;&gt;"OK",SUM($X$13:$X$1012)&gt;0),"",SUMIFS(Control_Achizitii!$P$13:$P$1012,$V$13:$V$1012,1,$T$13:$T$1012,1,Control_Achizitii!$B$13:$B$1012,"&gt;="&amp;AA19,Control_Achizitii!$B$13:$B$1012,"&lt;"&amp;DATE(YEAR(AA19),MONTH(AA19)+1,1)))</f>
        <v/>
      </c>
      <c r="AD19" s="27"/>
      <c r="AE19" s="27"/>
      <c r="AF19" s="27"/>
      <c r="AG19" s="27"/>
      <c r="AH19" s="27">
        <f>IF(AND(V19=1,Control_Achizitii!$J19="DOSAR COMPLET",Control_Achizitii!$K19&lt;&gt;""),1,0)</f>
        <v>0</v>
      </c>
    </row>
    <row r="20" spans="1:34" ht="21" customHeight="1">
      <c r="A20" s="57"/>
      <c r="B20" s="137" t="s">
        <v>1280</v>
      </c>
      <c r="C20" s="137"/>
      <c r="D20" s="137"/>
      <c r="E20" s="137"/>
      <c r="F20" s="137"/>
      <c r="G20" s="137"/>
      <c r="H20" s="137"/>
      <c r="I20" s="137"/>
      <c r="J20" s="137"/>
      <c r="K20" s="57"/>
      <c r="L20" s="137" t="s">
        <v>1281</v>
      </c>
      <c r="M20" s="137"/>
      <c r="N20" s="137"/>
      <c r="O20" s="137"/>
      <c r="P20" s="137"/>
      <c r="Q20" s="137"/>
      <c r="R20" s="137"/>
      <c r="S20" s="137"/>
      <c r="T20" s="27">
        <f>IF(LEFT(Control_Achizitii!$E20,4)="Fact",1,0)</f>
        <v>0</v>
      </c>
      <c r="U20" s="27">
        <f>IF(Control_Achizitii!$C20="",0,IF(ISNUMBER(Control_Achizitii!$B20),0,1))</f>
        <v>0</v>
      </c>
      <c r="V20" s="27">
        <f>IF(Control_Achizitii!$C20="",0,IF($Z$2&lt;&gt;"OK",0,IF(AND(ISNUMBER(Control_Achizitii!$B20),Control_Achizitii!$B20&gt;=$E$5,Control_Achizitii!$B20&lt;$J$5+1,OR($O$5="Toate proiectele",Control_Achizitii!$Q20=$O$5)),1,0)))</f>
        <v>0</v>
      </c>
      <c r="W20" s="27">
        <f>IF(AND(V20=1,OR(Control_Achizitii!$J20&lt;&gt;"DOSAR COMPLET",Control_Achizitii!$K20&lt;&gt;"")),ROW(),1000000000)</f>
        <v>1000000000</v>
      </c>
      <c r="X20" s="27">
        <f>IF(AND(V20=1,LEFT(Control_Achizitii!$E20,4)="Fact",NOT(ISNUMBER(Control_Achizitii!$P20))),1,0)</f>
        <v>0</v>
      </c>
      <c r="Y20" s="27">
        <f>IF(V20=0,0,IF(Control_Achizitii!$J20="DOSAR COMPLET",1,IF(LEFT(Control_Achizitii!$J20,9)="INCOMPLET",2,3)))</f>
        <v>0</v>
      </c>
      <c r="Z20" s="27"/>
      <c r="AA20" s="119">
        <f>DATE(YEAR($J$5),12,1)</f>
        <v>46357</v>
      </c>
      <c r="AB20" s="27" t="s">
        <v>1279</v>
      </c>
      <c r="AC20" s="27" t="str">
        <f>IF(OR($Z$2&lt;&gt;"OK",SUM($X$13:$X$1012)&gt;0),"",SUMIFS(Control_Achizitii!$P$13:$P$1012,$V$13:$V$1012,1,$T$13:$T$1012,1,Control_Achizitii!$B$13:$B$1012,"&gt;="&amp;AA20,Control_Achizitii!$B$13:$B$1012,"&lt;"&amp;DATE(YEAR(AA20),MONTH(AA20)+1,1)))</f>
        <v/>
      </c>
      <c r="AD20" s="27"/>
      <c r="AE20" s="27"/>
      <c r="AF20" s="27"/>
      <c r="AG20" s="27"/>
      <c r="AH20" s="27">
        <f>IF(AND(V20=1,Control_Achizitii!$J20="DOSAR COMPLET",Control_Achizitii!$K20&lt;&gt;""),1,0)</f>
        <v>0</v>
      </c>
    </row>
    <row r="21" spans="1:34" ht="21" customHeight="1">
      <c r="A21" s="57"/>
      <c r="B21" s="57"/>
      <c r="C21" s="57"/>
      <c r="D21" s="57"/>
      <c r="E21" s="57"/>
      <c r="F21" s="57"/>
      <c r="G21" s="57"/>
      <c r="H21" s="57"/>
      <c r="I21" s="57"/>
      <c r="J21" s="57"/>
      <c r="K21" s="57"/>
      <c r="L21" s="57"/>
      <c r="M21" s="57"/>
      <c r="N21" s="57"/>
      <c r="O21" s="57"/>
      <c r="P21" s="57"/>
      <c r="Q21" s="57"/>
      <c r="R21" s="57"/>
      <c r="S21" s="57"/>
      <c r="T21" s="27">
        <f>IF(LEFT(Control_Achizitii!$E21,4)="Fact",1,0)</f>
        <v>0</v>
      </c>
      <c r="U21" s="27">
        <f>IF(Control_Achizitii!$C21="",0,IF(ISNUMBER(Control_Achizitii!$B21),0,1))</f>
        <v>0</v>
      </c>
      <c r="V21" s="27">
        <f>IF(Control_Achizitii!$C21="",0,IF($Z$2&lt;&gt;"OK",0,IF(AND(ISNUMBER(Control_Achizitii!$B21),Control_Achizitii!$B21&gt;=$E$5,Control_Achizitii!$B21&lt;$J$5+1,OR($O$5="Toate proiectele",Control_Achizitii!$Q21=$O$5)),1,0)))</f>
        <v>0</v>
      </c>
      <c r="W21" s="27">
        <f>IF(AND(V21=1,OR(Control_Achizitii!$J21&lt;&gt;"DOSAR COMPLET",Control_Achizitii!$K21&lt;&gt;"")),ROW(),1000000000)</f>
        <v>1000000000</v>
      </c>
      <c r="X21" s="27">
        <f>IF(AND(V21=1,LEFT(Control_Achizitii!$E21,4)="Fact",NOT(ISNUMBER(Control_Achizitii!$P21))),1,0)</f>
        <v>0</v>
      </c>
      <c r="Y21" s="27">
        <f>IF(V21=0,0,IF(Control_Achizitii!$J21="DOSAR COMPLET",1,IF(LEFT(Control_Achizitii!$J21,9)="INCOMPLET",2,3)))</f>
        <v>0</v>
      </c>
      <c r="Z21" s="27"/>
      <c r="AA21" s="27"/>
      <c r="AB21" s="27"/>
      <c r="AC21" s="27"/>
      <c r="AD21" s="27"/>
      <c r="AE21" s="27"/>
      <c r="AF21" s="27"/>
      <c r="AG21" s="27"/>
      <c r="AH21" s="27">
        <f>IF(AND(V21=1,Control_Achizitii!$J21="DOSAR COMPLET",Control_Achizitii!$K21&lt;&gt;""),1,0)</f>
        <v>0</v>
      </c>
    </row>
    <row r="22" spans="1:34" ht="21" customHeight="1">
      <c r="A22" s="57"/>
      <c r="B22" s="57"/>
      <c r="C22" s="57"/>
      <c r="D22" s="57"/>
      <c r="E22" s="57"/>
      <c r="F22" s="57"/>
      <c r="G22" s="57"/>
      <c r="H22" s="57"/>
      <c r="I22" s="57"/>
      <c r="J22" s="57"/>
      <c r="K22" s="57"/>
      <c r="L22" s="57"/>
      <c r="M22" s="57"/>
      <c r="N22" s="57"/>
      <c r="O22" s="57"/>
      <c r="P22" s="57"/>
      <c r="Q22" s="57"/>
      <c r="R22" s="57"/>
      <c r="S22" s="57"/>
      <c r="T22" s="27">
        <f>IF(LEFT(Control_Achizitii!$E22,4)="Fact",1,0)</f>
        <v>0</v>
      </c>
      <c r="U22" s="27">
        <f>IF(Control_Achizitii!$C22="",0,IF(ISNUMBER(Control_Achizitii!$B22),0,1))</f>
        <v>0</v>
      </c>
      <c r="V22" s="27">
        <f>IF(Control_Achizitii!$C22="",0,IF($Z$2&lt;&gt;"OK",0,IF(AND(ISNUMBER(Control_Achizitii!$B22),Control_Achizitii!$B22&gt;=$E$5,Control_Achizitii!$B22&lt;$J$5+1,OR($O$5="Toate proiectele",Control_Achizitii!$Q22=$O$5)),1,0)))</f>
        <v>0</v>
      </c>
      <c r="W22" s="27">
        <f>IF(AND(V22=1,OR(Control_Achizitii!$J22&lt;&gt;"DOSAR COMPLET",Control_Achizitii!$K22&lt;&gt;"")),ROW(),1000000000)</f>
        <v>1000000000</v>
      </c>
      <c r="X22" s="27">
        <f>IF(AND(V22=1,LEFT(Control_Achizitii!$E22,4)="Fact",NOT(ISNUMBER(Control_Achizitii!$P22))),1,0)</f>
        <v>0</v>
      </c>
      <c r="Y22" s="27">
        <f>IF(V22=0,0,IF(Control_Achizitii!$J22="DOSAR COMPLET",1,IF(LEFT(Control_Achizitii!$J22,9)="INCOMPLET",2,3)))</f>
        <v>0</v>
      </c>
      <c r="Z22" s="27"/>
      <c r="AA22" s="27"/>
      <c r="AB22" s="27"/>
      <c r="AC22" s="27"/>
      <c r="AD22" s="27"/>
      <c r="AE22" s="27"/>
      <c r="AF22" s="27"/>
      <c r="AG22" s="27"/>
      <c r="AH22" s="27">
        <f>IF(AND(V22=1,Control_Achizitii!$J22="DOSAR COMPLET",Control_Achizitii!$K22&lt;&gt;""),1,0)</f>
        <v>0</v>
      </c>
    </row>
    <row r="23" spans="1:34" ht="21" customHeight="1">
      <c r="A23" s="57"/>
      <c r="B23" s="57"/>
      <c r="C23" s="57"/>
      <c r="D23" s="57"/>
      <c r="E23" s="57"/>
      <c r="F23" s="57"/>
      <c r="G23" s="57"/>
      <c r="H23" s="57"/>
      <c r="I23" s="57"/>
      <c r="J23" s="57"/>
      <c r="K23" s="57"/>
      <c r="L23" s="57"/>
      <c r="M23" s="57"/>
      <c r="N23" s="57"/>
      <c r="O23" s="57"/>
      <c r="P23" s="57"/>
      <c r="Q23" s="57"/>
      <c r="R23" s="57"/>
      <c r="S23" s="57"/>
      <c r="T23" s="27">
        <f>IF(LEFT(Control_Achizitii!$E23,4)="Fact",1,0)</f>
        <v>0</v>
      </c>
      <c r="U23" s="27">
        <f>IF(Control_Achizitii!$C23="",0,IF(ISNUMBER(Control_Achizitii!$B23),0,1))</f>
        <v>0</v>
      </c>
      <c r="V23" s="27">
        <f>IF(Control_Achizitii!$C23="",0,IF($Z$2&lt;&gt;"OK",0,IF(AND(ISNUMBER(Control_Achizitii!$B23),Control_Achizitii!$B23&gt;=$E$5,Control_Achizitii!$B23&lt;$J$5+1,OR($O$5="Toate proiectele",Control_Achizitii!$Q23=$O$5)),1,0)))</f>
        <v>0</v>
      </c>
      <c r="W23" s="27">
        <f>IF(AND(V23=1,OR(Control_Achizitii!$J23&lt;&gt;"DOSAR COMPLET",Control_Achizitii!$K23&lt;&gt;"")),ROW(),1000000000)</f>
        <v>1000000000</v>
      </c>
      <c r="X23" s="27">
        <f>IF(AND(V23=1,LEFT(Control_Achizitii!$E23,4)="Fact",NOT(ISNUMBER(Control_Achizitii!$P23))),1,0)</f>
        <v>0</v>
      </c>
      <c r="Y23" s="27">
        <f>IF(V23=0,0,IF(Control_Achizitii!$J23="DOSAR COMPLET",1,IF(LEFT(Control_Achizitii!$J23,9)="INCOMPLET",2,3)))</f>
        <v>0</v>
      </c>
      <c r="Z23" s="27"/>
      <c r="AA23" s="27"/>
      <c r="AB23" s="27"/>
      <c r="AC23" s="27"/>
      <c r="AD23" s="27"/>
      <c r="AE23" s="27"/>
      <c r="AF23" s="27"/>
      <c r="AG23" s="27"/>
      <c r="AH23" s="27">
        <f>IF(AND(V23=1,Control_Achizitii!$J23="DOSAR COMPLET",Control_Achizitii!$K23&lt;&gt;""),1,0)</f>
        <v>0</v>
      </c>
    </row>
    <row r="24" spans="1:34" ht="21" customHeight="1">
      <c r="A24" s="57"/>
      <c r="B24" s="57"/>
      <c r="C24" s="57"/>
      <c r="D24" s="57"/>
      <c r="E24" s="57"/>
      <c r="F24" s="57"/>
      <c r="G24" s="57"/>
      <c r="H24" s="57"/>
      <c r="I24" s="57"/>
      <c r="J24" s="57"/>
      <c r="K24" s="57"/>
      <c r="L24" s="57"/>
      <c r="M24" s="57"/>
      <c r="N24" s="57"/>
      <c r="O24" s="57"/>
      <c r="P24" s="57"/>
      <c r="Q24" s="57"/>
      <c r="R24" s="57"/>
      <c r="S24" s="57"/>
      <c r="T24" s="27">
        <f>IF(LEFT(Control_Achizitii!$E24,4)="Fact",1,0)</f>
        <v>0</v>
      </c>
      <c r="U24" s="27">
        <f>IF(Control_Achizitii!$C24="",0,IF(ISNUMBER(Control_Achizitii!$B24),0,1))</f>
        <v>0</v>
      </c>
      <c r="V24" s="27">
        <f>IF(Control_Achizitii!$C24="",0,IF($Z$2&lt;&gt;"OK",0,IF(AND(ISNUMBER(Control_Achizitii!$B24),Control_Achizitii!$B24&gt;=$E$5,Control_Achizitii!$B24&lt;$J$5+1,OR($O$5="Toate proiectele",Control_Achizitii!$Q24=$O$5)),1,0)))</f>
        <v>0</v>
      </c>
      <c r="W24" s="27">
        <f>IF(AND(V24=1,OR(Control_Achizitii!$J24&lt;&gt;"DOSAR COMPLET",Control_Achizitii!$K24&lt;&gt;"")),ROW(),1000000000)</f>
        <v>1000000000</v>
      </c>
      <c r="X24" s="27">
        <f>IF(AND(V24=1,LEFT(Control_Achizitii!$E24,4)="Fact",NOT(ISNUMBER(Control_Achizitii!$P24))),1,0)</f>
        <v>0</v>
      </c>
      <c r="Y24" s="27">
        <f>IF(V24=0,0,IF(Control_Achizitii!$J24="DOSAR COMPLET",1,IF(LEFT(Control_Achizitii!$J24,9)="INCOMPLET",2,3)))</f>
        <v>0</v>
      </c>
      <c r="Z24" s="27"/>
      <c r="AA24" s="27"/>
      <c r="AB24" s="27"/>
      <c r="AC24" s="27"/>
      <c r="AD24" s="27"/>
      <c r="AE24" s="27"/>
      <c r="AF24" s="27"/>
      <c r="AG24" s="27"/>
      <c r="AH24" s="27">
        <f>IF(AND(V24=1,Control_Achizitii!$J24="DOSAR COMPLET",Control_Achizitii!$K24&lt;&gt;""),1,0)</f>
        <v>0</v>
      </c>
    </row>
    <row r="25" spans="1:34" ht="21" customHeight="1">
      <c r="A25" s="57"/>
      <c r="B25" s="57"/>
      <c r="C25" s="57"/>
      <c r="D25" s="57"/>
      <c r="E25" s="57"/>
      <c r="F25" s="57"/>
      <c r="G25" s="57"/>
      <c r="H25" s="57"/>
      <c r="I25" s="57"/>
      <c r="J25" s="57"/>
      <c r="K25" s="57"/>
      <c r="L25" s="57"/>
      <c r="M25" s="57"/>
      <c r="N25" s="57"/>
      <c r="O25" s="57"/>
      <c r="P25" s="57"/>
      <c r="Q25" s="57"/>
      <c r="R25" s="57"/>
      <c r="S25" s="57"/>
      <c r="T25" s="27">
        <f>IF(LEFT(Control_Achizitii!$E25,4)="Fact",1,0)</f>
        <v>0</v>
      </c>
      <c r="U25" s="27">
        <f>IF(Control_Achizitii!$C25="",0,IF(ISNUMBER(Control_Achizitii!$B25),0,1))</f>
        <v>0</v>
      </c>
      <c r="V25" s="27">
        <f>IF(Control_Achizitii!$C25="",0,IF($Z$2&lt;&gt;"OK",0,IF(AND(ISNUMBER(Control_Achizitii!$B25),Control_Achizitii!$B25&gt;=$E$5,Control_Achizitii!$B25&lt;$J$5+1,OR($O$5="Toate proiectele",Control_Achizitii!$Q25=$O$5)),1,0)))</f>
        <v>0</v>
      </c>
      <c r="W25" s="27">
        <f>IF(AND(V25=1,OR(Control_Achizitii!$J25&lt;&gt;"DOSAR COMPLET",Control_Achizitii!$K25&lt;&gt;"")),ROW(),1000000000)</f>
        <v>1000000000</v>
      </c>
      <c r="X25" s="27">
        <f>IF(AND(V25=1,LEFT(Control_Achizitii!$E25,4)="Fact",NOT(ISNUMBER(Control_Achizitii!$P25))),1,0)</f>
        <v>0</v>
      </c>
      <c r="Y25" s="27">
        <f>IF(V25=0,0,IF(Control_Achizitii!$J25="DOSAR COMPLET",1,IF(LEFT(Control_Achizitii!$J25,9)="INCOMPLET",2,3)))</f>
        <v>0</v>
      </c>
      <c r="Z25" s="27"/>
      <c r="AA25" s="27"/>
      <c r="AB25" s="27"/>
      <c r="AC25" s="27"/>
      <c r="AD25" s="27"/>
      <c r="AE25" s="27"/>
      <c r="AF25" s="27"/>
      <c r="AG25" s="27"/>
      <c r="AH25" s="27">
        <f>IF(AND(V25=1,Control_Achizitii!$J25="DOSAR COMPLET",Control_Achizitii!$K25&lt;&gt;""),1,0)</f>
        <v>0</v>
      </c>
    </row>
    <row r="26" spans="1:34" ht="21" customHeight="1">
      <c r="A26" s="57"/>
      <c r="B26" s="57"/>
      <c r="C26" s="57"/>
      <c r="D26" s="57"/>
      <c r="E26" s="57"/>
      <c r="F26" s="57"/>
      <c r="G26" s="57"/>
      <c r="H26" s="57"/>
      <c r="I26" s="57"/>
      <c r="J26" s="57"/>
      <c r="K26" s="57"/>
      <c r="L26" s="57"/>
      <c r="M26" s="57"/>
      <c r="N26" s="57"/>
      <c r="O26" s="57"/>
      <c r="P26" s="57"/>
      <c r="Q26" s="57"/>
      <c r="R26" s="57"/>
      <c r="S26" s="57"/>
      <c r="T26" s="27">
        <f>IF(LEFT(Control_Achizitii!$E26,4)="Fact",1,0)</f>
        <v>0</v>
      </c>
      <c r="U26" s="27">
        <f>IF(Control_Achizitii!$C26="",0,IF(ISNUMBER(Control_Achizitii!$B26),0,1))</f>
        <v>0</v>
      </c>
      <c r="V26" s="27">
        <f>IF(Control_Achizitii!$C26="",0,IF($Z$2&lt;&gt;"OK",0,IF(AND(ISNUMBER(Control_Achizitii!$B26),Control_Achizitii!$B26&gt;=$E$5,Control_Achizitii!$B26&lt;$J$5+1,OR($O$5="Toate proiectele",Control_Achizitii!$Q26=$O$5)),1,0)))</f>
        <v>0</v>
      </c>
      <c r="W26" s="27">
        <f>IF(AND(V26=1,OR(Control_Achizitii!$J26&lt;&gt;"DOSAR COMPLET",Control_Achizitii!$K26&lt;&gt;"")),ROW(),1000000000)</f>
        <v>1000000000</v>
      </c>
      <c r="X26" s="27">
        <f>IF(AND(V26=1,LEFT(Control_Achizitii!$E26,4)="Fact",NOT(ISNUMBER(Control_Achizitii!$P26))),1,0)</f>
        <v>0</v>
      </c>
      <c r="Y26" s="27">
        <f>IF(V26=0,0,IF(Control_Achizitii!$J26="DOSAR COMPLET",1,IF(LEFT(Control_Achizitii!$J26,9)="INCOMPLET",2,3)))</f>
        <v>0</v>
      </c>
      <c r="Z26" s="27"/>
      <c r="AA26" s="27"/>
      <c r="AB26" s="27"/>
      <c r="AC26" s="27"/>
      <c r="AD26" s="27"/>
      <c r="AE26" s="27"/>
      <c r="AF26" s="27"/>
      <c r="AG26" s="27"/>
      <c r="AH26" s="27">
        <f>IF(AND(V26=1,Control_Achizitii!$J26="DOSAR COMPLET",Control_Achizitii!$K26&lt;&gt;""),1,0)</f>
        <v>0</v>
      </c>
    </row>
    <row r="27" spans="1:34" ht="21" customHeight="1">
      <c r="A27" s="57"/>
      <c r="B27" s="57"/>
      <c r="C27" s="57"/>
      <c r="D27" s="57"/>
      <c r="E27" s="57"/>
      <c r="F27" s="57"/>
      <c r="G27" s="57"/>
      <c r="H27" s="57"/>
      <c r="I27" s="57"/>
      <c r="J27" s="57"/>
      <c r="K27" s="57"/>
      <c r="L27" s="57"/>
      <c r="M27" s="57"/>
      <c r="N27" s="57"/>
      <c r="O27" s="57"/>
      <c r="P27" s="57"/>
      <c r="Q27" s="57"/>
      <c r="R27" s="57"/>
      <c r="S27" s="57"/>
      <c r="T27" s="27">
        <f>IF(LEFT(Control_Achizitii!$E27,4)="Fact",1,0)</f>
        <v>0</v>
      </c>
      <c r="U27" s="27">
        <f>IF(Control_Achizitii!$C27="",0,IF(ISNUMBER(Control_Achizitii!$B27),0,1))</f>
        <v>0</v>
      </c>
      <c r="V27" s="27">
        <f>IF(Control_Achizitii!$C27="",0,IF($Z$2&lt;&gt;"OK",0,IF(AND(ISNUMBER(Control_Achizitii!$B27),Control_Achizitii!$B27&gt;=$E$5,Control_Achizitii!$B27&lt;$J$5+1,OR($O$5="Toate proiectele",Control_Achizitii!$Q27=$O$5)),1,0)))</f>
        <v>0</v>
      </c>
      <c r="W27" s="27">
        <f>IF(AND(V27=1,OR(Control_Achizitii!$J27&lt;&gt;"DOSAR COMPLET",Control_Achizitii!$K27&lt;&gt;"")),ROW(),1000000000)</f>
        <v>1000000000</v>
      </c>
      <c r="X27" s="27">
        <f>IF(AND(V27=1,LEFT(Control_Achizitii!$E27,4)="Fact",NOT(ISNUMBER(Control_Achizitii!$P27))),1,0)</f>
        <v>0</v>
      </c>
      <c r="Y27" s="27">
        <f>IF(V27=0,0,IF(Control_Achizitii!$J27="DOSAR COMPLET",1,IF(LEFT(Control_Achizitii!$J27,9)="INCOMPLET",2,3)))</f>
        <v>0</v>
      </c>
      <c r="Z27" s="27"/>
      <c r="AA27" s="27"/>
      <c r="AB27" s="27"/>
      <c r="AC27" s="27"/>
      <c r="AD27" s="27"/>
      <c r="AE27" s="27"/>
      <c r="AF27" s="27"/>
      <c r="AG27" s="27"/>
      <c r="AH27" s="27">
        <f>IF(AND(V27=1,Control_Achizitii!$J27="DOSAR COMPLET",Control_Achizitii!$K27&lt;&gt;""),1,0)</f>
        <v>0</v>
      </c>
    </row>
    <row r="28" spans="1:34" ht="21" customHeight="1">
      <c r="A28" s="57"/>
      <c r="B28" s="57"/>
      <c r="C28" s="57"/>
      <c r="D28" s="57"/>
      <c r="E28" s="57"/>
      <c r="F28" s="57"/>
      <c r="G28" s="57"/>
      <c r="H28" s="57"/>
      <c r="I28" s="57"/>
      <c r="J28" s="57"/>
      <c r="K28" s="57"/>
      <c r="L28" s="57"/>
      <c r="M28" s="57"/>
      <c r="N28" s="57"/>
      <c r="O28" s="57"/>
      <c r="P28" s="57"/>
      <c r="Q28" s="57"/>
      <c r="R28" s="57"/>
      <c r="S28" s="57"/>
      <c r="T28" s="27">
        <f>IF(LEFT(Control_Achizitii!$E28,4)="Fact",1,0)</f>
        <v>0</v>
      </c>
      <c r="U28" s="27">
        <f>IF(Control_Achizitii!$C28="",0,IF(ISNUMBER(Control_Achizitii!$B28),0,1))</f>
        <v>0</v>
      </c>
      <c r="V28" s="27">
        <f>IF(Control_Achizitii!$C28="",0,IF($Z$2&lt;&gt;"OK",0,IF(AND(ISNUMBER(Control_Achizitii!$B28),Control_Achizitii!$B28&gt;=$E$5,Control_Achizitii!$B28&lt;$J$5+1,OR($O$5="Toate proiectele",Control_Achizitii!$Q28=$O$5)),1,0)))</f>
        <v>0</v>
      </c>
      <c r="W28" s="27">
        <f>IF(AND(V28=1,OR(Control_Achizitii!$J28&lt;&gt;"DOSAR COMPLET",Control_Achizitii!$K28&lt;&gt;"")),ROW(),1000000000)</f>
        <v>1000000000</v>
      </c>
      <c r="X28" s="27">
        <f>IF(AND(V28=1,LEFT(Control_Achizitii!$E28,4)="Fact",NOT(ISNUMBER(Control_Achizitii!$P28))),1,0)</f>
        <v>0</v>
      </c>
      <c r="Y28" s="27">
        <f>IF(V28=0,0,IF(Control_Achizitii!$J28="DOSAR COMPLET",1,IF(LEFT(Control_Achizitii!$J28,9)="INCOMPLET",2,3)))</f>
        <v>0</v>
      </c>
      <c r="Z28" s="27"/>
      <c r="AA28" s="27"/>
      <c r="AB28" s="27"/>
      <c r="AC28" s="27"/>
      <c r="AD28" s="27"/>
      <c r="AE28" s="27"/>
      <c r="AF28" s="27"/>
      <c r="AG28" s="27"/>
      <c r="AH28" s="27">
        <f>IF(AND(V28=1,Control_Achizitii!$J28="DOSAR COMPLET",Control_Achizitii!$K28&lt;&gt;""),1,0)</f>
        <v>0</v>
      </c>
    </row>
    <row r="29" spans="1:34" ht="21" customHeight="1">
      <c r="A29" s="57"/>
      <c r="B29" s="57"/>
      <c r="C29" s="57"/>
      <c r="D29" s="57"/>
      <c r="E29" s="57"/>
      <c r="F29" s="57"/>
      <c r="G29" s="57"/>
      <c r="H29" s="57"/>
      <c r="I29" s="57"/>
      <c r="J29" s="57"/>
      <c r="K29" s="57"/>
      <c r="L29" s="57"/>
      <c r="M29" s="57"/>
      <c r="N29" s="57"/>
      <c r="O29" s="57"/>
      <c r="P29" s="57"/>
      <c r="Q29" s="57"/>
      <c r="R29" s="57"/>
      <c r="S29" s="57"/>
      <c r="T29" s="27">
        <f>IF(LEFT(Control_Achizitii!$E29,4)="Fact",1,0)</f>
        <v>0</v>
      </c>
      <c r="U29" s="27">
        <f>IF(Control_Achizitii!$C29="",0,IF(ISNUMBER(Control_Achizitii!$B29),0,1))</f>
        <v>0</v>
      </c>
      <c r="V29" s="27">
        <f>IF(Control_Achizitii!$C29="",0,IF($Z$2&lt;&gt;"OK",0,IF(AND(ISNUMBER(Control_Achizitii!$B29),Control_Achizitii!$B29&gt;=$E$5,Control_Achizitii!$B29&lt;$J$5+1,OR($O$5="Toate proiectele",Control_Achizitii!$Q29=$O$5)),1,0)))</f>
        <v>0</v>
      </c>
      <c r="W29" s="27">
        <f>IF(AND(V29=1,OR(Control_Achizitii!$J29&lt;&gt;"DOSAR COMPLET",Control_Achizitii!$K29&lt;&gt;"")),ROW(),1000000000)</f>
        <v>1000000000</v>
      </c>
      <c r="X29" s="27">
        <f>IF(AND(V29=1,LEFT(Control_Achizitii!$E29,4)="Fact",NOT(ISNUMBER(Control_Achizitii!$P29))),1,0)</f>
        <v>0</v>
      </c>
      <c r="Y29" s="27">
        <f>IF(V29=0,0,IF(Control_Achizitii!$J29="DOSAR COMPLET",1,IF(LEFT(Control_Achizitii!$J29,9)="INCOMPLET",2,3)))</f>
        <v>0</v>
      </c>
      <c r="Z29" s="27"/>
      <c r="AA29" s="27"/>
      <c r="AB29" s="27"/>
      <c r="AC29" s="27"/>
      <c r="AD29" s="27"/>
      <c r="AE29" s="27"/>
      <c r="AF29" s="27"/>
      <c r="AG29" s="27"/>
      <c r="AH29" s="27">
        <f>IF(AND(V29=1,Control_Achizitii!$J29="DOSAR COMPLET",Control_Achizitii!$K29&lt;&gt;""),1,0)</f>
        <v>0</v>
      </c>
    </row>
    <row r="30" spans="1:34" ht="21" customHeight="1">
      <c r="A30" s="57"/>
      <c r="B30" s="57"/>
      <c r="C30" s="57"/>
      <c r="D30" s="57"/>
      <c r="E30" s="57"/>
      <c r="F30" s="57"/>
      <c r="G30" s="57"/>
      <c r="H30" s="57"/>
      <c r="I30" s="57"/>
      <c r="J30" s="57"/>
      <c r="K30" s="57"/>
      <c r="L30" s="57"/>
      <c r="M30" s="57"/>
      <c r="N30" s="57"/>
      <c r="O30" s="57"/>
      <c r="P30" s="57"/>
      <c r="Q30" s="57"/>
      <c r="R30" s="57"/>
      <c r="S30" s="57"/>
      <c r="T30" s="27">
        <f>IF(LEFT(Control_Achizitii!$E30,4)="Fact",1,0)</f>
        <v>0</v>
      </c>
      <c r="U30" s="27">
        <f>IF(Control_Achizitii!$C30="",0,IF(ISNUMBER(Control_Achizitii!$B30),0,1))</f>
        <v>0</v>
      </c>
      <c r="V30" s="27">
        <f>IF(Control_Achizitii!$C30="",0,IF($Z$2&lt;&gt;"OK",0,IF(AND(ISNUMBER(Control_Achizitii!$B30),Control_Achizitii!$B30&gt;=$E$5,Control_Achizitii!$B30&lt;$J$5+1,OR($O$5="Toate proiectele",Control_Achizitii!$Q30=$O$5)),1,0)))</f>
        <v>0</v>
      </c>
      <c r="W30" s="27">
        <f>IF(AND(V30=1,OR(Control_Achizitii!$J30&lt;&gt;"DOSAR COMPLET",Control_Achizitii!$K30&lt;&gt;"")),ROW(),1000000000)</f>
        <v>1000000000</v>
      </c>
      <c r="X30" s="27">
        <f>IF(AND(V30=1,LEFT(Control_Achizitii!$E30,4)="Fact",NOT(ISNUMBER(Control_Achizitii!$P30))),1,0)</f>
        <v>0</v>
      </c>
      <c r="Y30" s="27">
        <f>IF(V30=0,0,IF(Control_Achizitii!$J30="DOSAR COMPLET",1,IF(LEFT(Control_Achizitii!$J30,9)="INCOMPLET",2,3)))</f>
        <v>0</v>
      </c>
      <c r="Z30" s="27"/>
      <c r="AA30" s="27"/>
      <c r="AB30" s="27"/>
      <c r="AC30" s="27"/>
      <c r="AD30" s="27"/>
      <c r="AE30" s="27"/>
      <c r="AF30" s="27"/>
      <c r="AG30" s="27"/>
      <c r="AH30" s="27">
        <f>IF(AND(V30=1,Control_Achizitii!$J30="DOSAR COMPLET",Control_Achizitii!$K30&lt;&gt;""),1,0)</f>
        <v>0</v>
      </c>
    </row>
    <row r="31" spans="1:34" ht="21" customHeight="1">
      <c r="A31" s="57"/>
      <c r="B31" s="57"/>
      <c r="C31" s="57"/>
      <c r="D31" s="57"/>
      <c r="E31" s="57"/>
      <c r="F31" s="57"/>
      <c r="G31" s="57"/>
      <c r="H31" s="57"/>
      <c r="I31" s="57"/>
      <c r="J31" s="57"/>
      <c r="K31" s="57"/>
      <c r="L31" s="57"/>
      <c r="M31" s="57"/>
      <c r="N31" s="57"/>
      <c r="O31" s="57"/>
      <c r="P31" s="57"/>
      <c r="Q31" s="57"/>
      <c r="R31" s="57"/>
      <c r="S31" s="57"/>
      <c r="T31" s="27">
        <f>IF(LEFT(Control_Achizitii!$E31,4)="Fact",1,0)</f>
        <v>0</v>
      </c>
      <c r="U31" s="27">
        <f>IF(Control_Achizitii!$C31="",0,IF(ISNUMBER(Control_Achizitii!$B31),0,1))</f>
        <v>0</v>
      </c>
      <c r="V31" s="27">
        <f>IF(Control_Achizitii!$C31="",0,IF($Z$2&lt;&gt;"OK",0,IF(AND(ISNUMBER(Control_Achizitii!$B31),Control_Achizitii!$B31&gt;=$E$5,Control_Achizitii!$B31&lt;$J$5+1,OR($O$5="Toate proiectele",Control_Achizitii!$Q31=$O$5)),1,0)))</f>
        <v>0</v>
      </c>
      <c r="W31" s="27">
        <f>IF(AND(V31=1,OR(Control_Achizitii!$J31&lt;&gt;"DOSAR COMPLET",Control_Achizitii!$K31&lt;&gt;"")),ROW(),1000000000)</f>
        <v>1000000000</v>
      </c>
      <c r="X31" s="27">
        <f>IF(AND(V31=1,LEFT(Control_Achizitii!$E31,4)="Fact",NOT(ISNUMBER(Control_Achizitii!$P31))),1,0)</f>
        <v>0</v>
      </c>
      <c r="Y31" s="27">
        <f>IF(V31=0,0,IF(Control_Achizitii!$J31="DOSAR COMPLET",1,IF(LEFT(Control_Achizitii!$J31,9)="INCOMPLET",2,3)))</f>
        <v>0</v>
      </c>
      <c r="Z31" s="27"/>
      <c r="AA31" s="27"/>
      <c r="AB31" s="27"/>
      <c r="AC31" s="27"/>
      <c r="AD31" s="27"/>
      <c r="AE31" s="27"/>
      <c r="AF31" s="27"/>
      <c r="AG31" s="27"/>
      <c r="AH31" s="27">
        <f>IF(AND(V31=1,Control_Achizitii!$J31="DOSAR COMPLET",Control_Achizitii!$K31&lt;&gt;""),1,0)</f>
        <v>0</v>
      </c>
    </row>
    <row r="32" spans="1:34" ht="21" customHeight="1">
      <c r="A32" s="57"/>
      <c r="B32" s="125" t="s">
        <v>1282</v>
      </c>
      <c r="C32" s="125"/>
      <c r="D32" s="125"/>
      <c r="E32" s="125"/>
      <c r="F32" s="125"/>
      <c r="G32" s="125"/>
      <c r="H32" s="125"/>
      <c r="I32" s="125"/>
      <c r="J32" s="125"/>
      <c r="K32" s="125"/>
      <c r="L32" s="125"/>
      <c r="M32" s="125"/>
      <c r="N32" s="125"/>
      <c r="O32" s="125"/>
      <c r="P32" s="125"/>
      <c r="Q32" s="125"/>
      <c r="R32" s="125"/>
      <c r="S32" s="125"/>
      <c r="T32" s="27">
        <f>IF(LEFT(Control_Achizitii!$E32,4)="Fact",1,0)</f>
        <v>0</v>
      </c>
      <c r="U32" s="27">
        <f>IF(Control_Achizitii!$C32="",0,IF(ISNUMBER(Control_Achizitii!$B32),0,1))</f>
        <v>0</v>
      </c>
      <c r="V32" s="27">
        <f>IF(Control_Achizitii!$C32="",0,IF($Z$2&lt;&gt;"OK",0,IF(AND(ISNUMBER(Control_Achizitii!$B32),Control_Achizitii!$B32&gt;=$E$5,Control_Achizitii!$B32&lt;$J$5+1,OR($O$5="Toate proiectele",Control_Achizitii!$Q32=$O$5)),1,0)))</f>
        <v>0</v>
      </c>
      <c r="W32" s="27">
        <f>IF(AND(V32=1,OR(Control_Achizitii!$J32&lt;&gt;"DOSAR COMPLET",Control_Achizitii!$K32&lt;&gt;"")),ROW(),1000000000)</f>
        <v>1000000000</v>
      </c>
      <c r="X32" s="27">
        <f>IF(AND(V32=1,LEFT(Control_Achizitii!$E32,4)="Fact",NOT(ISNUMBER(Control_Achizitii!$P32))),1,0)</f>
        <v>0</v>
      </c>
      <c r="Y32" s="27">
        <f>IF(V32=0,0,IF(Control_Achizitii!$J32="DOSAR COMPLET",1,IF(LEFT(Control_Achizitii!$J32,9)="INCOMPLET",2,3)))</f>
        <v>0</v>
      </c>
      <c r="Z32" s="27"/>
      <c r="AA32" s="27"/>
      <c r="AB32" s="27"/>
      <c r="AC32" s="27"/>
      <c r="AD32" s="27"/>
      <c r="AE32" s="27"/>
      <c r="AF32" s="27"/>
      <c r="AG32" s="27"/>
      <c r="AH32" s="27">
        <f>IF(AND(V32=1,Control_Achizitii!$J32="DOSAR COMPLET",Control_Achizitii!$K32&lt;&gt;""),1,0)</f>
        <v>0</v>
      </c>
    </row>
    <row r="33" spans="1:34" ht="21" customHeight="1">
      <c r="A33" s="57"/>
      <c r="B33" s="137" t="str">
        <f>IF($Z$2&lt;&gt;"OK",$Z$2,"Dosare de verificat: "&amp;COUNTIFS($W$13:$W$1012,"&lt;1000000000")&amp;". Primele 10 in ordinea registrului.")</f>
        <v>Dosare de verificat: 4. Primele 10 in ordinea registrului.</v>
      </c>
      <c r="C33" s="137"/>
      <c r="D33" s="137"/>
      <c r="E33" s="137"/>
      <c r="F33" s="137"/>
      <c r="G33" s="137"/>
      <c r="H33" s="137"/>
      <c r="I33" s="137"/>
      <c r="J33" s="137"/>
      <c r="K33" s="137"/>
      <c r="L33" s="137"/>
      <c r="M33" s="137"/>
      <c r="N33" s="137"/>
      <c r="O33" s="137"/>
      <c r="P33" s="137"/>
      <c r="Q33" s="137"/>
      <c r="R33" s="137"/>
      <c r="S33" s="137"/>
      <c r="T33" s="27">
        <f>IF(LEFT(Control_Achizitii!$E33,4)="Fact",1,0)</f>
        <v>0</v>
      </c>
      <c r="U33" s="27">
        <f>IF(Control_Achizitii!$C33="",0,IF(ISNUMBER(Control_Achizitii!$B33),0,1))</f>
        <v>0</v>
      </c>
      <c r="V33" s="27">
        <f>IF(Control_Achizitii!$C33="",0,IF($Z$2&lt;&gt;"OK",0,IF(AND(ISNUMBER(Control_Achizitii!$B33),Control_Achizitii!$B33&gt;=$E$5,Control_Achizitii!$B33&lt;$J$5+1,OR($O$5="Toate proiectele",Control_Achizitii!$Q33=$O$5)),1,0)))</f>
        <v>0</v>
      </c>
      <c r="W33" s="27">
        <f>IF(AND(V33=1,OR(Control_Achizitii!$J33&lt;&gt;"DOSAR COMPLET",Control_Achizitii!$K33&lt;&gt;"")),ROW(),1000000000)</f>
        <v>1000000000</v>
      </c>
      <c r="X33" s="27">
        <f>IF(AND(V33=1,LEFT(Control_Achizitii!$E33,4)="Fact",NOT(ISNUMBER(Control_Achizitii!$P33))),1,0)</f>
        <v>0</v>
      </c>
      <c r="Y33" s="27">
        <f>IF(V33=0,0,IF(Control_Achizitii!$J33="DOSAR COMPLET",1,IF(LEFT(Control_Achizitii!$J33,9)="INCOMPLET",2,3)))</f>
        <v>0</v>
      </c>
      <c r="Z33" s="27"/>
      <c r="AA33" s="27"/>
      <c r="AB33" s="27"/>
      <c r="AC33" s="27"/>
      <c r="AD33" s="27"/>
      <c r="AE33" s="27"/>
      <c r="AF33" s="27"/>
      <c r="AG33" s="27"/>
      <c r="AH33" s="27">
        <f>IF(AND(V33=1,Control_Achizitii!$J33="DOSAR COMPLET",Control_Achizitii!$K33&lt;&gt;""),1,0)</f>
        <v>0</v>
      </c>
    </row>
    <row r="34" spans="1:34" ht="27" customHeight="1">
      <c r="A34" s="57"/>
      <c r="B34" s="135" t="s">
        <v>94</v>
      </c>
      <c r="C34" s="135"/>
      <c r="D34" s="135"/>
      <c r="E34" s="135" t="s">
        <v>0</v>
      </c>
      <c r="F34" s="135"/>
      <c r="G34" s="135"/>
      <c r="H34" s="135" t="s">
        <v>60</v>
      </c>
      <c r="I34" s="135"/>
      <c r="J34" s="135"/>
      <c r="K34" s="135" t="s">
        <v>1035</v>
      </c>
      <c r="L34" s="135"/>
      <c r="M34" s="135"/>
      <c r="N34" s="135" t="s">
        <v>40</v>
      </c>
      <c r="O34" s="135"/>
      <c r="P34" s="135"/>
      <c r="Q34" s="135"/>
      <c r="R34" s="135" t="s">
        <v>1283</v>
      </c>
      <c r="S34" s="135"/>
      <c r="T34" s="27">
        <f>IF(LEFT(Control_Achizitii!$E34,4)="Fact",1,0)</f>
        <v>0</v>
      </c>
      <c r="U34" s="27">
        <f>IF(Control_Achizitii!$C34="",0,IF(ISNUMBER(Control_Achizitii!$B34),0,1))</f>
        <v>0</v>
      </c>
      <c r="V34" s="27">
        <f>IF(Control_Achizitii!$C34="",0,IF($Z$2&lt;&gt;"OK",0,IF(AND(ISNUMBER(Control_Achizitii!$B34),Control_Achizitii!$B34&gt;=$E$5,Control_Achizitii!$B34&lt;$J$5+1,OR($O$5="Toate proiectele",Control_Achizitii!$Q34=$O$5)),1,0)))</f>
        <v>0</v>
      </c>
      <c r="W34" s="27">
        <f>IF(AND(V34=1,OR(Control_Achizitii!$J34&lt;&gt;"DOSAR COMPLET",Control_Achizitii!$K34&lt;&gt;"")),ROW(),1000000000)</f>
        <v>1000000000</v>
      </c>
      <c r="X34" s="27">
        <f>IF(AND(V34=1,LEFT(Control_Achizitii!$E34,4)="Fact",NOT(ISNUMBER(Control_Achizitii!$P34))),1,0)</f>
        <v>0</v>
      </c>
      <c r="Y34" s="27">
        <f>IF(V34=0,0,IF(Control_Achizitii!$J34="DOSAR COMPLET",1,IF(LEFT(Control_Achizitii!$J34,9)="INCOMPLET",2,3)))</f>
        <v>0</v>
      </c>
      <c r="Z34" s="27"/>
      <c r="AA34" s="27"/>
      <c r="AB34" s="27"/>
      <c r="AC34" s="27"/>
      <c r="AD34" s="27"/>
      <c r="AE34" s="27"/>
      <c r="AF34" s="27"/>
      <c r="AG34" s="27"/>
      <c r="AH34" s="27">
        <f>IF(AND(V34=1,Control_Achizitii!$J34="DOSAR COMPLET",Control_Achizitii!$K34&lt;&gt;""),1,0)</f>
        <v>0</v>
      </c>
    </row>
    <row r="35" spans="1:34" ht="42" customHeight="1">
      <c r="A35" s="57"/>
      <c r="B35" s="139" t="str">
        <f>IF($Z35="","",IF(INDEX(Control_Achizitii!$N$13:$N$1012,$Z35-12)="","Fara numar document",INDEX(Control_Achizitii!$N$13:$N$1012,$Z35-12)))</f>
        <v>fct 1024</v>
      </c>
      <c r="C35" s="139"/>
      <c r="D35" s="139"/>
      <c r="E35" s="139" t="str">
        <f>IF($Z35="","",INDEX(Control_Achizitii!$C$13:$C$1012,$Z35-12))</f>
        <v>DANA</v>
      </c>
      <c r="F35" s="139"/>
      <c r="G35" s="139"/>
      <c r="H35" s="139" t="str">
        <f>IF($Z35="","",IF(INDEX(Control_Achizitii!$Q$13:$Q$1012,$Z35-12)="","Fara proiect",INDEX(Control_Achizitii!$Q$13:$Q$1012,$Z35-12)))</f>
        <v>CALARASI</v>
      </c>
      <c r="I35" s="139"/>
      <c r="J35" s="139"/>
      <c r="K35" s="139" t="str">
        <f>IF($Z35="","",IF(INDEX(Control_Achizitii!$J$13:$J$1012,$Z35-12)="DOSAR COMPLET","Status si documente necorelate",IF(INDEX(Control_Achizitii!$J$13:$J$1012,$Z35-12)="","Status necompletat",IF(INDEX(Control_Achizitii!$K$13:$K$1012,$Z35-12)="","Dosar incomplet",INDEX(Control_Achizitii!$K$13:$K$1012,$Z35-12)))))</f>
        <v>Confirmati regulile documentelor</v>
      </c>
      <c r="L35" s="139"/>
      <c r="M35" s="139"/>
      <c r="N35" s="139" t="str">
        <f>IF($Z35="","",IF(INDEX(Control_Achizitii!$J$13:$J$1012,$Z35-12)="DOSAR COMPLET","Verifica regulile dosarului",IF(INDEX(Control_Achizitii!$K$13:$K$1012,$Z35-12)="","Verifica dosarul in registru","Solicita documentele lipsa")))</f>
        <v>Solicita documentele lipsa</v>
      </c>
      <c r="O35" s="139"/>
      <c r="P35" s="139"/>
      <c r="Q35" s="139"/>
      <c r="R35" s="140" t="str">
        <f t="shared" ref="R35:R44" si="0">IF($Z35="","",HYPERLINK("#'Control_Achizitii'!A"&amp;$Z35,"Deschide"))</f>
        <v>Deschide</v>
      </c>
      <c r="S35" s="140"/>
      <c r="T35" s="27">
        <f>IF(LEFT(Control_Achizitii!$E35,4)="Fact",1,0)</f>
        <v>0</v>
      </c>
      <c r="U35" s="27">
        <f>IF(Control_Achizitii!$C35="",0,IF(ISNUMBER(Control_Achizitii!$B35),0,1))</f>
        <v>0</v>
      </c>
      <c r="V35" s="27">
        <f>IF(Control_Achizitii!$C35="",0,IF($Z$2&lt;&gt;"OK",0,IF(AND(ISNUMBER(Control_Achizitii!$B35),Control_Achizitii!$B35&gt;=$E$5,Control_Achizitii!$B35&lt;$J$5+1,OR($O$5="Toate proiectele",Control_Achizitii!$Q35=$O$5)),1,0)))</f>
        <v>0</v>
      </c>
      <c r="W35" s="27">
        <f>IF(AND(V35=1,OR(Control_Achizitii!$J35&lt;&gt;"DOSAR COMPLET",Control_Achizitii!$K35&lt;&gt;"")),ROW(),1000000000)</f>
        <v>1000000000</v>
      </c>
      <c r="X35" s="27">
        <f>IF(AND(V35=1,LEFT(Control_Achizitii!$E35,4)="Fact",NOT(ISNUMBER(Control_Achizitii!$P35))),1,0)</f>
        <v>0</v>
      </c>
      <c r="Y35" s="27">
        <f>IF(V35=0,0,IF(Control_Achizitii!$J35="DOSAR COMPLET",1,IF(LEFT(Control_Achizitii!$J35,9)="INCOMPLET",2,3)))</f>
        <v>0</v>
      </c>
      <c r="Z35" s="27">
        <f>IF(OR($Z$2&lt;&gt;"OK",1&gt;COUNTIFS($W$13:$W$1012,"&lt;1000000000")),"",SMALL($W$13:$W$1012,1))</f>
        <v>13</v>
      </c>
      <c r="AA35" s="27"/>
      <c r="AB35" s="27"/>
      <c r="AC35" s="27"/>
      <c r="AD35" s="27"/>
      <c r="AE35" s="27"/>
      <c r="AF35" s="27"/>
      <c r="AG35" s="27"/>
      <c r="AH35" s="27">
        <f>IF(AND(V35=1,Control_Achizitii!$J35="DOSAR COMPLET",Control_Achizitii!$K35&lt;&gt;""),1,0)</f>
        <v>0</v>
      </c>
    </row>
    <row r="36" spans="1:34" ht="42" customHeight="1">
      <c r="A36" s="57"/>
      <c r="B36" s="141" t="str">
        <f>IF($Z36="","",IF(INDEX(Control_Achizitii!$N$13:$N$1012,$Z36-12)="","Fara numar document",INDEX(Control_Achizitii!$N$13:$N$1012,$Z36-12)))</f>
        <v>FCT 2003</v>
      </c>
      <c r="C36" s="141"/>
      <c r="D36" s="141"/>
      <c r="E36" s="141" t="str">
        <f>IF($Z36="","",INDEX(Control_Achizitii!$C$13:$C$1012,$Z36-12))</f>
        <v>Nana</v>
      </c>
      <c r="F36" s="141"/>
      <c r="G36" s="141"/>
      <c r="H36" s="141" t="str">
        <f>IF($Z36="","",IF(INDEX(Control_Achizitii!$Q$13:$Q$1012,$Z36-12)="","Fara proiect",INDEX(Control_Achizitii!$Q$13:$Q$1012,$Z36-12)))</f>
        <v>Frasinet 1</v>
      </c>
      <c r="I36" s="141"/>
      <c r="J36" s="141"/>
      <c r="K36" s="141" t="str">
        <f>IF($Z36="","",IF(INDEX(Control_Achizitii!$J$13:$J$1012,$Z36-12)="DOSAR COMPLET","Status si documente necorelate",IF(INDEX(Control_Achizitii!$J$13:$J$1012,$Z36-12)="","Status necompletat",IF(INDEX(Control_Achizitii!$K$13:$K$1012,$Z36-12)="","Dosar incomplet",INDEX(Control_Achizitii!$K$13:$K$1012,$Z36-12)))))</f>
        <v>Confirmati regulile documentelor</v>
      </c>
      <c r="L36" s="141"/>
      <c r="M36" s="141"/>
      <c r="N36" s="141" t="str">
        <f>IF($Z36="","",IF(INDEX(Control_Achizitii!$J$13:$J$1012,$Z36-12)="DOSAR COMPLET","Verifica regulile dosarului",IF(INDEX(Control_Achizitii!$K$13:$K$1012,$Z36-12)="","Verifica dosarul in registru","Solicita documentele lipsa")))</f>
        <v>Solicita documentele lipsa</v>
      </c>
      <c r="O36" s="141"/>
      <c r="P36" s="141"/>
      <c r="Q36" s="141"/>
      <c r="R36" s="138" t="str">
        <f t="shared" si="0"/>
        <v>Deschide</v>
      </c>
      <c r="S36" s="138"/>
      <c r="T36" s="27">
        <f>IF(LEFT(Control_Achizitii!$E36,4)="Fact",1,0)</f>
        <v>0</v>
      </c>
      <c r="U36" s="27">
        <f>IF(Control_Achizitii!$C36="",0,IF(ISNUMBER(Control_Achizitii!$B36),0,1))</f>
        <v>0</v>
      </c>
      <c r="V36" s="27">
        <f>IF(Control_Achizitii!$C36="",0,IF($Z$2&lt;&gt;"OK",0,IF(AND(ISNUMBER(Control_Achizitii!$B36),Control_Achizitii!$B36&gt;=$E$5,Control_Achizitii!$B36&lt;$J$5+1,OR($O$5="Toate proiectele",Control_Achizitii!$Q36=$O$5)),1,0)))</f>
        <v>0</v>
      </c>
      <c r="W36" s="27">
        <f>IF(AND(V36=1,OR(Control_Achizitii!$J36&lt;&gt;"DOSAR COMPLET",Control_Achizitii!$K36&lt;&gt;"")),ROW(),1000000000)</f>
        <v>1000000000</v>
      </c>
      <c r="X36" s="27">
        <f>IF(AND(V36=1,LEFT(Control_Achizitii!$E36,4)="Fact",NOT(ISNUMBER(Control_Achizitii!$P36))),1,0)</f>
        <v>0</v>
      </c>
      <c r="Y36" s="27">
        <f>IF(V36=0,0,IF(Control_Achizitii!$J36="DOSAR COMPLET",1,IF(LEFT(Control_Achizitii!$J36,9)="INCOMPLET",2,3)))</f>
        <v>0</v>
      </c>
      <c r="Z36" s="27">
        <f>IF(OR($Z$2&lt;&gt;"OK",2&gt;COUNTIFS($W$13:$W$1012,"&lt;1000000000")),"",SMALL($W$13:$W$1012,2))</f>
        <v>14</v>
      </c>
      <c r="AA36" s="27"/>
      <c r="AB36" s="27"/>
      <c r="AC36" s="27"/>
      <c r="AD36" s="27"/>
      <c r="AE36" s="27"/>
      <c r="AF36" s="27"/>
      <c r="AG36" s="27"/>
      <c r="AH36" s="27">
        <f>IF(AND(V36=1,Control_Achizitii!$J36="DOSAR COMPLET",Control_Achizitii!$K36&lt;&gt;""),1,0)</f>
        <v>0</v>
      </c>
    </row>
    <row r="37" spans="1:34" ht="42" customHeight="1">
      <c r="A37" s="57"/>
      <c r="B37" s="139" t="str">
        <f>IF($Z37="","",IF(INDEX(Control_Achizitii!$N$13:$N$1012,$Z37-12)="","Fara numar document",INDEX(Control_Achizitii!$N$13:$N$1012,$Z37-12)))</f>
        <v>FCT 192</v>
      </c>
      <c r="C37" s="139"/>
      <c r="D37" s="139"/>
      <c r="E37" s="139" t="str">
        <f>IF($Z37="","",INDEX(Control_Achizitii!$C$13:$C$1012,$Z37-12))</f>
        <v>dada</v>
      </c>
      <c r="F37" s="139"/>
      <c r="G37" s="139"/>
      <c r="H37" s="139" t="str">
        <f>IF($Z37="","",IF(INDEX(Control_Achizitii!$Q$13:$Q$1012,$Z37-12)="","Fara proiect",INDEX(Control_Achizitii!$Q$13:$Q$1012,$Z37-12)))</f>
        <v>Spital Calarasi</v>
      </c>
      <c r="I37" s="139"/>
      <c r="J37" s="139"/>
      <c r="K37" s="139" t="str">
        <f>IF($Z37="","",IF(INDEX(Control_Achizitii!$J$13:$J$1012,$Z37-12)="DOSAR COMPLET","Status si documente necorelate",IF(INDEX(Control_Achizitii!$J$13:$J$1012,$Z37-12)="","Status necompletat",IF(INDEX(Control_Achizitii!$K$13:$K$1012,$Z37-12)="","Dosar incomplet",INDEX(Control_Achizitii!$K$13:$K$1012,$Z37-12)))))</f>
        <v>Confirmati regulile documentelor</v>
      </c>
      <c r="L37" s="139"/>
      <c r="M37" s="139"/>
      <c r="N37" s="139" t="str">
        <f>IF($Z37="","",IF(INDEX(Control_Achizitii!$J$13:$J$1012,$Z37-12)="DOSAR COMPLET","Verifica regulile dosarului",IF(INDEX(Control_Achizitii!$K$13:$K$1012,$Z37-12)="","Verifica dosarul in registru","Solicita documentele lipsa")))</f>
        <v>Solicita documentele lipsa</v>
      </c>
      <c r="O37" s="139"/>
      <c r="P37" s="139"/>
      <c r="Q37" s="139"/>
      <c r="R37" s="140" t="str">
        <f t="shared" si="0"/>
        <v>Deschide</v>
      </c>
      <c r="S37" s="140"/>
      <c r="T37" s="27">
        <f>IF(LEFT(Control_Achizitii!$E37,4)="Fact",1,0)</f>
        <v>0</v>
      </c>
      <c r="U37" s="27">
        <f>IF(Control_Achizitii!$C37="",0,IF(ISNUMBER(Control_Achizitii!$B37),0,1))</f>
        <v>0</v>
      </c>
      <c r="V37" s="27">
        <f>IF(Control_Achizitii!$C37="",0,IF($Z$2&lt;&gt;"OK",0,IF(AND(ISNUMBER(Control_Achizitii!$B37),Control_Achizitii!$B37&gt;=$E$5,Control_Achizitii!$B37&lt;$J$5+1,OR($O$5="Toate proiectele",Control_Achizitii!$Q37=$O$5)),1,0)))</f>
        <v>0</v>
      </c>
      <c r="W37" s="27">
        <f>IF(AND(V37=1,OR(Control_Achizitii!$J37&lt;&gt;"DOSAR COMPLET",Control_Achizitii!$K37&lt;&gt;"")),ROW(),1000000000)</f>
        <v>1000000000</v>
      </c>
      <c r="X37" s="27">
        <f>IF(AND(V37=1,LEFT(Control_Achizitii!$E37,4)="Fact",NOT(ISNUMBER(Control_Achizitii!$P37))),1,0)</f>
        <v>0</v>
      </c>
      <c r="Y37" s="27">
        <f>IF(V37=0,0,IF(Control_Achizitii!$J37="DOSAR COMPLET",1,IF(LEFT(Control_Achizitii!$J37,9)="INCOMPLET",2,3)))</f>
        <v>0</v>
      </c>
      <c r="Z37" s="27">
        <f>IF(OR($Z$2&lt;&gt;"OK",3&gt;COUNTIFS($W$13:$W$1012,"&lt;1000000000")),"",SMALL($W$13:$W$1012,3))</f>
        <v>15</v>
      </c>
      <c r="AA37" s="27"/>
      <c r="AB37" s="27"/>
      <c r="AC37" s="27"/>
      <c r="AD37" s="27"/>
      <c r="AE37" s="27"/>
      <c r="AF37" s="27"/>
      <c r="AG37" s="27"/>
      <c r="AH37" s="27">
        <f>IF(AND(V37=1,Control_Achizitii!$J37="DOSAR COMPLET",Control_Achizitii!$K37&lt;&gt;""),1,0)</f>
        <v>0</v>
      </c>
    </row>
    <row r="38" spans="1:34" ht="42" customHeight="1">
      <c r="A38" s="57"/>
      <c r="B38" s="141" t="str">
        <f>IF($Z38="","",IF(INDEX(Control_Achizitii!$N$13:$N$1012,$Z38-12)="","Fara numar document",INDEX(Control_Achizitii!$N$13:$N$1012,$Z38-12)))</f>
        <v>Fara numar document</v>
      </c>
      <c r="C38" s="141"/>
      <c r="D38" s="141"/>
      <c r="E38" s="141" t="str">
        <f>IF($Z38="","",INDEX(Control_Achizitii!$C$13:$C$1012,$Z38-12))</f>
        <v>Dana</v>
      </c>
      <c r="F38" s="141"/>
      <c r="G38" s="141"/>
      <c r="H38" s="141" t="str">
        <f>IF($Z38="","",IF(INDEX(Control_Achizitii!$Q$13:$Q$1012,$Z38-12)="","Fara proiect",INDEX(Control_Achizitii!$Q$13:$Q$1012,$Z38-12)))</f>
        <v>Fara proiect</v>
      </c>
      <c r="I38" s="141"/>
      <c r="J38" s="141"/>
      <c r="K38" s="141" t="str">
        <f>IF($Z38="","",IF(INDEX(Control_Achizitii!$J$13:$J$1012,$Z38-12)="DOSAR COMPLET","Status si documente necorelate",IF(INDEX(Control_Achizitii!$J$13:$J$1012,$Z38-12)="","Status necompletat",IF(INDEX(Control_Achizitii!$K$13:$K$1012,$Z38-12)="","Dosar incomplet",INDEX(Control_Achizitii!$K$13:$K$1012,$Z38-12)))))</f>
        <v>Confirmati regulile documentelor</v>
      </c>
      <c r="L38" s="141"/>
      <c r="M38" s="141"/>
      <c r="N38" s="141" t="str">
        <f>IF($Z38="","",IF(INDEX(Control_Achizitii!$J$13:$J$1012,$Z38-12)="DOSAR COMPLET","Verifica regulile dosarului",IF(INDEX(Control_Achizitii!$K$13:$K$1012,$Z38-12)="","Verifica dosarul in registru","Solicita documentele lipsa")))</f>
        <v>Solicita documentele lipsa</v>
      </c>
      <c r="O38" s="141"/>
      <c r="P38" s="141"/>
      <c r="Q38" s="141"/>
      <c r="R38" s="138" t="str">
        <f t="shared" si="0"/>
        <v>Deschide</v>
      </c>
      <c r="S38" s="138"/>
      <c r="T38" s="27">
        <f>IF(LEFT(Control_Achizitii!$E38,4)="Fact",1,0)</f>
        <v>0</v>
      </c>
      <c r="U38" s="27">
        <f>IF(Control_Achizitii!$C38="",0,IF(ISNUMBER(Control_Achizitii!$B38),0,1))</f>
        <v>0</v>
      </c>
      <c r="V38" s="27">
        <f>IF(Control_Achizitii!$C38="",0,IF($Z$2&lt;&gt;"OK",0,IF(AND(ISNUMBER(Control_Achizitii!$B38),Control_Achizitii!$B38&gt;=$E$5,Control_Achizitii!$B38&lt;$J$5+1,OR($O$5="Toate proiectele",Control_Achizitii!$Q38=$O$5)),1,0)))</f>
        <v>0</v>
      </c>
      <c r="W38" s="27">
        <f>IF(AND(V38=1,OR(Control_Achizitii!$J38&lt;&gt;"DOSAR COMPLET",Control_Achizitii!$K38&lt;&gt;"")),ROW(),1000000000)</f>
        <v>1000000000</v>
      </c>
      <c r="X38" s="27">
        <f>IF(AND(V38=1,LEFT(Control_Achizitii!$E38,4)="Fact",NOT(ISNUMBER(Control_Achizitii!$P38))),1,0)</f>
        <v>0</v>
      </c>
      <c r="Y38" s="27">
        <f>IF(V38=0,0,IF(Control_Achizitii!$J38="DOSAR COMPLET",1,IF(LEFT(Control_Achizitii!$J38,9)="INCOMPLET",2,3)))</f>
        <v>0</v>
      </c>
      <c r="Z38" s="27">
        <f>IF(OR($Z$2&lt;&gt;"OK",4&gt;COUNTIFS($W$13:$W$1012,"&lt;1000000000")),"",SMALL($W$13:$W$1012,4))</f>
        <v>16</v>
      </c>
      <c r="AA38" s="27"/>
      <c r="AB38" s="27"/>
      <c r="AC38" s="27"/>
      <c r="AD38" s="27"/>
      <c r="AE38" s="27"/>
      <c r="AF38" s="27"/>
      <c r="AG38" s="27"/>
      <c r="AH38" s="27">
        <f>IF(AND(V38=1,Control_Achizitii!$J38="DOSAR COMPLET",Control_Achizitii!$K38&lt;&gt;""),1,0)</f>
        <v>0</v>
      </c>
    </row>
    <row r="39" spans="1:34" ht="42" customHeight="1">
      <c r="A39" s="57"/>
      <c r="B39" s="139" t="str">
        <f>IF($Z39="","",IF(INDEX(Control_Achizitii!$N$13:$N$1012,$Z39-12)="","Fara numar document",INDEX(Control_Achizitii!$N$13:$N$1012,$Z39-12)))</f>
        <v/>
      </c>
      <c r="C39" s="139"/>
      <c r="D39" s="139"/>
      <c r="E39" s="139" t="str">
        <f>IF($Z39="","",INDEX(Control_Achizitii!$C$13:$C$1012,$Z39-12))</f>
        <v/>
      </c>
      <c r="F39" s="139"/>
      <c r="G39" s="139"/>
      <c r="H39" s="139" t="str">
        <f>IF($Z39="","",IF(INDEX(Control_Achizitii!$Q$13:$Q$1012,$Z39-12)="","Fara proiect",INDEX(Control_Achizitii!$Q$13:$Q$1012,$Z39-12)))</f>
        <v/>
      </c>
      <c r="I39" s="139"/>
      <c r="J39" s="139"/>
      <c r="K39" s="139" t="str">
        <f>IF($Z39="","",IF(INDEX(Control_Achizitii!$J$13:$J$1012,$Z39-12)="DOSAR COMPLET","Status si documente necorelate",IF(INDEX(Control_Achizitii!$J$13:$J$1012,$Z39-12)="","Status necompletat",IF(INDEX(Control_Achizitii!$K$13:$K$1012,$Z39-12)="","Dosar incomplet",INDEX(Control_Achizitii!$K$13:$K$1012,$Z39-12)))))</f>
        <v/>
      </c>
      <c r="L39" s="139"/>
      <c r="M39" s="139"/>
      <c r="N39" s="139" t="str">
        <f>IF($Z39="","",IF(INDEX(Control_Achizitii!$J$13:$J$1012,$Z39-12)="DOSAR COMPLET","Verifica regulile dosarului",IF(INDEX(Control_Achizitii!$K$13:$K$1012,$Z39-12)="","Verifica dosarul in registru","Solicita documentele lipsa")))</f>
        <v/>
      </c>
      <c r="O39" s="139"/>
      <c r="P39" s="139"/>
      <c r="Q39" s="139"/>
      <c r="R39" s="140" t="str">
        <f t="shared" si="0"/>
        <v/>
      </c>
      <c r="S39" s="140"/>
      <c r="T39" s="27">
        <f>IF(LEFT(Control_Achizitii!$E39,4)="Fact",1,0)</f>
        <v>0</v>
      </c>
      <c r="U39" s="27">
        <f>IF(Control_Achizitii!$C39="",0,IF(ISNUMBER(Control_Achizitii!$B39),0,1))</f>
        <v>0</v>
      </c>
      <c r="V39" s="27">
        <f>IF(Control_Achizitii!$C39="",0,IF($Z$2&lt;&gt;"OK",0,IF(AND(ISNUMBER(Control_Achizitii!$B39),Control_Achizitii!$B39&gt;=$E$5,Control_Achizitii!$B39&lt;$J$5+1,OR($O$5="Toate proiectele",Control_Achizitii!$Q39=$O$5)),1,0)))</f>
        <v>0</v>
      </c>
      <c r="W39" s="27">
        <f>IF(AND(V39=1,OR(Control_Achizitii!$J39&lt;&gt;"DOSAR COMPLET",Control_Achizitii!$K39&lt;&gt;"")),ROW(),1000000000)</f>
        <v>1000000000</v>
      </c>
      <c r="X39" s="27">
        <f>IF(AND(V39=1,LEFT(Control_Achizitii!$E39,4)="Fact",NOT(ISNUMBER(Control_Achizitii!$P39))),1,0)</f>
        <v>0</v>
      </c>
      <c r="Y39" s="27">
        <f>IF(V39=0,0,IF(Control_Achizitii!$J39="DOSAR COMPLET",1,IF(LEFT(Control_Achizitii!$J39,9)="INCOMPLET",2,3)))</f>
        <v>0</v>
      </c>
      <c r="Z39" s="27" t="str">
        <f>IF(OR($Z$2&lt;&gt;"OK",5&gt;COUNTIFS($W$13:$W$1012,"&lt;1000000000")),"",SMALL($W$13:$W$1012,5))</f>
        <v/>
      </c>
      <c r="AA39" s="27"/>
      <c r="AB39" s="27"/>
      <c r="AC39" s="27"/>
      <c r="AD39" s="27"/>
      <c r="AE39" s="27"/>
      <c r="AF39" s="27"/>
      <c r="AG39" s="27"/>
      <c r="AH39" s="27">
        <f>IF(AND(V39=1,Control_Achizitii!$J39="DOSAR COMPLET",Control_Achizitii!$K39&lt;&gt;""),1,0)</f>
        <v>0</v>
      </c>
    </row>
    <row r="40" spans="1:34" ht="42" customHeight="1">
      <c r="A40" s="57"/>
      <c r="B40" s="141" t="str">
        <f>IF($Z40="","",IF(INDEX(Control_Achizitii!$N$13:$N$1012,$Z40-12)="","Fara numar document",INDEX(Control_Achizitii!$N$13:$N$1012,$Z40-12)))</f>
        <v/>
      </c>
      <c r="C40" s="141"/>
      <c r="D40" s="141"/>
      <c r="E40" s="141" t="str">
        <f>IF($Z40="","",INDEX(Control_Achizitii!$C$13:$C$1012,$Z40-12))</f>
        <v/>
      </c>
      <c r="F40" s="141"/>
      <c r="G40" s="141"/>
      <c r="H40" s="141" t="str">
        <f>IF($Z40="","",IF(INDEX(Control_Achizitii!$Q$13:$Q$1012,$Z40-12)="","Fara proiect",INDEX(Control_Achizitii!$Q$13:$Q$1012,$Z40-12)))</f>
        <v/>
      </c>
      <c r="I40" s="141"/>
      <c r="J40" s="141"/>
      <c r="K40" s="141" t="str">
        <f>IF($Z40="","",IF(INDEX(Control_Achizitii!$J$13:$J$1012,$Z40-12)="DOSAR COMPLET","Status si documente necorelate",IF(INDEX(Control_Achizitii!$J$13:$J$1012,$Z40-12)="","Status necompletat",IF(INDEX(Control_Achizitii!$K$13:$K$1012,$Z40-12)="","Dosar incomplet",INDEX(Control_Achizitii!$K$13:$K$1012,$Z40-12)))))</f>
        <v/>
      </c>
      <c r="L40" s="141"/>
      <c r="M40" s="141"/>
      <c r="N40" s="141" t="str">
        <f>IF($Z40="","",IF(INDEX(Control_Achizitii!$J$13:$J$1012,$Z40-12)="DOSAR COMPLET","Verifica regulile dosarului",IF(INDEX(Control_Achizitii!$K$13:$K$1012,$Z40-12)="","Verifica dosarul in registru","Solicita documentele lipsa")))</f>
        <v/>
      </c>
      <c r="O40" s="141"/>
      <c r="P40" s="141"/>
      <c r="Q40" s="141"/>
      <c r="R40" s="138" t="str">
        <f t="shared" si="0"/>
        <v/>
      </c>
      <c r="S40" s="138"/>
      <c r="T40" s="27">
        <f>IF(LEFT(Control_Achizitii!$E40,4)="Fact",1,0)</f>
        <v>0</v>
      </c>
      <c r="U40" s="27">
        <f>IF(Control_Achizitii!$C40="",0,IF(ISNUMBER(Control_Achizitii!$B40),0,1))</f>
        <v>0</v>
      </c>
      <c r="V40" s="27">
        <f>IF(Control_Achizitii!$C40="",0,IF($Z$2&lt;&gt;"OK",0,IF(AND(ISNUMBER(Control_Achizitii!$B40),Control_Achizitii!$B40&gt;=$E$5,Control_Achizitii!$B40&lt;$J$5+1,OR($O$5="Toate proiectele",Control_Achizitii!$Q40=$O$5)),1,0)))</f>
        <v>0</v>
      </c>
      <c r="W40" s="27">
        <f>IF(AND(V40=1,OR(Control_Achizitii!$J40&lt;&gt;"DOSAR COMPLET",Control_Achizitii!$K40&lt;&gt;"")),ROW(),1000000000)</f>
        <v>1000000000</v>
      </c>
      <c r="X40" s="27">
        <f>IF(AND(V40=1,LEFT(Control_Achizitii!$E40,4)="Fact",NOT(ISNUMBER(Control_Achizitii!$P40))),1,0)</f>
        <v>0</v>
      </c>
      <c r="Y40" s="27">
        <f>IF(V40=0,0,IF(Control_Achizitii!$J40="DOSAR COMPLET",1,IF(LEFT(Control_Achizitii!$J40,9)="INCOMPLET",2,3)))</f>
        <v>0</v>
      </c>
      <c r="Z40" s="27" t="str">
        <f>IF(OR($Z$2&lt;&gt;"OK",6&gt;COUNTIFS($W$13:$W$1012,"&lt;1000000000")),"",SMALL($W$13:$W$1012,6))</f>
        <v/>
      </c>
      <c r="AA40" s="27"/>
      <c r="AB40" s="27"/>
      <c r="AC40" s="27"/>
      <c r="AD40" s="27"/>
      <c r="AE40" s="27"/>
      <c r="AF40" s="27"/>
      <c r="AG40" s="27"/>
      <c r="AH40" s="27">
        <f>IF(AND(V40=1,Control_Achizitii!$J40="DOSAR COMPLET",Control_Achizitii!$K40&lt;&gt;""),1,0)</f>
        <v>0</v>
      </c>
    </row>
    <row r="41" spans="1:34" ht="42" customHeight="1">
      <c r="A41" s="57"/>
      <c r="B41" s="139" t="str">
        <f>IF($Z41="","",IF(INDEX(Control_Achizitii!$N$13:$N$1012,$Z41-12)="","Fara numar document",INDEX(Control_Achizitii!$N$13:$N$1012,$Z41-12)))</f>
        <v/>
      </c>
      <c r="C41" s="139"/>
      <c r="D41" s="139"/>
      <c r="E41" s="139" t="str">
        <f>IF($Z41="","",INDEX(Control_Achizitii!$C$13:$C$1012,$Z41-12))</f>
        <v/>
      </c>
      <c r="F41" s="139"/>
      <c r="G41" s="139"/>
      <c r="H41" s="139" t="str">
        <f>IF($Z41="","",IF(INDEX(Control_Achizitii!$Q$13:$Q$1012,$Z41-12)="","Fara proiect",INDEX(Control_Achizitii!$Q$13:$Q$1012,$Z41-12)))</f>
        <v/>
      </c>
      <c r="I41" s="139"/>
      <c r="J41" s="139"/>
      <c r="K41" s="139" t="str">
        <f>IF($Z41="","",IF(INDEX(Control_Achizitii!$J$13:$J$1012,$Z41-12)="DOSAR COMPLET","Status si documente necorelate",IF(INDEX(Control_Achizitii!$J$13:$J$1012,$Z41-12)="","Status necompletat",IF(INDEX(Control_Achizitii!$K$13:$K$1012,$Z41-12)="","Dosar incomplet",INDEX(Control_Achizitii!$K$13:$K$1012,$Z41-12)))))</f>
        <v/>
      </c>
      <c r="L41" s="139"/>
      <c r="M41" s="139"/>
      <c r="N41" s="139" t="str">
        <f>IF($Z41="","",IF(INDEX(Control_Achizitii!$J$13:$J$1012,$Z41-12)="DOSAR COMPLET","Verifica regulile dosarului",IF(INDEX(Control_Achizitii!$K$13:$K$1012,$Z41-12)="","Verifica dosarul in registru","Solicita documentele lipsa")))</f>
        <v/>
      </c>
      <c r="O41" s="139"/>
      <c r="P41" s="139"/>
      <c r="Q41" s="139"/>
      <c r="R41" s="140" t="str">
        <f t="shared" si="0"/>
        <v/>
      </c>
      <c r="S41" s="140"/>
      <c r="T41" s="27">
        <f>IF(LEFT(Control_Achizitii!$E41,4)="Fact",1,0)</f>
        <v>0</v>
      </c>
      <c r="U41" s="27">
        <f>IF(Control_Achizitii!$C41="",0,IF(ISNUMBER(Control_Achizitii!$B41),0,1))</f>
        <v>0</v>
      </c>
      <c r="V41" s="27">
        <f>IF(Control_Achizitii!$C41="",0,IF($Z$2&lt;&gt;"OK",0,IF(AND(ISNUMBER(Control_Achizitii!$B41),Control_Achizitii!$B41&gt;=$E$5,Control_Achizitii!$B41&lt;$J$5+1,OR($O$5="Toate proiectele",Control_Achizitii!$Q41=$O$5)),1,0)))</f>
        <v>0</v>
      </c>
      <c r="W41" s="27">
        <f>IF(AND(V41=1,OR(Control_Achizitii!$J41&lt;&gt;"DOSAR COMPLET",Control_Achizitii!$K41&lt;&gt;"")),ROW(),1000000000)</f>
        <v>1000000000</v>
      </c>
      <c r="X41" s="27">
        <f>IF(AND(V41=1,LEFT(Control_Achizitii!$E41,4)="Fact",NOT(ISNUMBER(Control_Achizitii!$P41))),1,0)</f>
        <v>0</v>
      </c>
      <c r="Y41" s="27">
        <f>IF(V41=0,0,IF(Control_Achizitii!$J41="DOSAR COMPLET",1,IF(LEFT(Control_Achizitii!$J41,9)="INCOMPLET",2,3)))</f>
        <v>0</v>
      </c>
      <c r="Z41" s="27" t="str">
        <f>IF(OR($Z$2&lt;&gt;"OK",7&gt;COUNTIFS($W$13:$W$1012,"&lt;1000000000")),"",SMALL($W$13:$W$1012,7))</f>
        <v/>
      </c>
      <c r="AA41" s="27"/>
      <c r="AB41" s="27"/>
      <c r="AC41" s="27"/>
      <c r="AD41" s="27"/>
      <c r="AE41" s="27"/>
      <c r="AF41" s="27"/>
      <c r="AG41" s="27"/>
      <c r="AH41" s="27">
        <f>IF(AND(V41=1,Control_Achizitii!$J41="DOSAR COMPLET",Control_Achizitii!$K41&lt;&gt;""),1,0)</f>
        <v>0</v>
      </c>
    </row>
    <row r="42" spans="1:34" ht="42" customHeight="1">
      <c r="A42" s="57"/>
      <c r="B42" s="141" t="str">
        <f>IF($Z42="","",IF(INDEX(Control_Achizitii!$N$13:$N$1012,$Z42-12)="","Fara numar document",INDEX(Control_Achizitii!$N$13:$N$1012,$Z42-12)))</f>
        <v/>
      </c>
      <c r="C42" s="141"/>
      <c r="D42" s="141"/>
      <c r="E42" s="141" t="str">
        <f>IF($Z42="","",INDEX(Control_Achizitii!$C$13:$C$1012,$Z42-12))</f>
        <v/>
      </c>
      <c r="F42" s="141"/>
      <c r="G42" s="141"/>
      <c r="H42" s="141" t="str">
        <f>IF($Z42="","",IF(INDEX(Control_Achizitii!$Q$13:$Q$1012,$Z42-12)="","Fara proiect",INDEX(Control_Achizitii!$Q$13:$Q$1012,$Z42-12)))</f>
        <v/>
      </c>
      <c r="I42" s="141"/>
      <c r="J42" s="141"/>
      <c r="K42" s="141" t="str">
        <f>IF($Z42="","",IF(INDEX(Control_Achizitii!$J$13:$J$1012,$Z42-12)="DOSAR COMPLET","Status si documente necorelate",IF(INDEX(Control_Achizitii!$J$13:$J$1012,$Z42-12)="","Status necompletat",IF(INDEX(Control_Achizitii!$K$13:$K$1012,$Z42-12)="","Dosar incomplet",INDEX(Control_Achizitii!$K$13:$K$1012,$Z42-12)))))</f>
        <v/>
      </c>
      <c r="L42" s="141"/>
      <c r="M42" s="141"/>
      <c r="N42" s="141" t="str">
        <f>IF($Z42="","",IF(INDEX(Control_Achizitii!$J$13:$J$1012,$Z42-12)="DOSAR COMPLET","Verifica regulile dosarului",IF(INDEX(Control_Achizitii!$K$13:$K$1012,$Z42-12)="","Verifica dosarul in registru","Solicita documentele lipsa")))</f>
        <v/>
      </c>
      <c r="O42" s="141"/>
      <c r="P42" s="141"/>
      <c r="Q42" s="141"/>
      <c r="R42" s="138" t="str">
        <f t="shared" si="0"/>
        <v/>
      </c>
      <c r="S42" s="138"/>
      <c r="T42" s="27">
        <f>IF(LEFT(Control_Achizitii!$E42,4)="Fact",1,0)</f>
        <v>0</v>
      </c>
      <c r="U42" s="27">
        <f>IF(Control_Achizitii!$C42="",0,IF(ISNUMBER(Control_Achizitii!$B42),0,1))</f>
        <v>0</v>
      </c>
      <c r="V42" s="27">
        <f>IF(Control_Achizitii!$C42="",0,IF($Z$2&lt;&gt;"OK",0,IF(AND(ISNUMBER(Control_Achizitii!$B42),Control_Achizitii!$B42&gt;=$E$5,Control_Achizitii!$B42&lt;$J$5+1,OR($O$5="Toate proiectele",Control_Achizitii!$Q42=$O$5)),1,0)))</f>
        <v>0</v>
      </c>
      <c r="W42" s="27">
        <f>IF(AND(V42=1,OR(Control_Achizitii!$J42&lt;&gt;"DOSAR COMPLET",Control_Achizitii!$K42&lt;&gt;"")),ROW(),1000000000)</f>
        <v>1000000000</v>
      </c>
      <c r="X42" s="27">
        <f>IF(AND(V42=1,LEFT(Control_Achizitii!$E42,4)="Fact",NOT(ISNUMBER(Control_Achizitii!$P42))),1,0)</f>
        <v>0</v>
      </c>
      <c r="Y42" s="27">
        <f>IF(V42=0,0,IF(Control_Achizitii!$J42="DOSAR COMPLET",1,IF(LEFT(Control_Achizitii!$J42,9)="INCOMPLET",2,3)))</f>
        <v>0</v>
      </c>
      <c r="Z42" s="27" t="str">
        <f>IF(OR($Z$2&lt;&gt;"OK",8&gt;COUNTIFS($W$13:$W$1012,"&lt;1000000000")),"",SMALL($W$13:$W$1012,8))</f>
        <v/>
      </c>
      <c r="AA42" s="27"/>
      <c r="AB42" s="27"/>
      <c r="AC42" s="27"/>
      <c r="AD42" s="27"/>
      <c r="AE42" s="27"/>
      <c r="AF42" s="27"/>
      <c r="AG42" s="27"/>
      <c r="AH42" s="27">
        <f>IF(AND(V42=1,Control_Achizitii!$J42="DOSAR COMPLET",Control_Achizitii!$K42&lt;&gt;""),1,0)</f>
        <v>0</v>
      </c>
    </row>
    <row r="43" spans="1:34" ht="42" customHeight="1">
      <c r="A43" s="57"/>
      <c r="B43" s="139" t="str">
        <f>IF($Z43="","",IF(INDEX(Control_Achizitii!$N$13:$N$1012,$Z43-12)="","Fara numar document",INDEX(Control_Achizitii!$N$13:$N$1012,$Z43-12)))</f>
        <v/>
      </c>
      <c r="C43" s="139"/>
      <c r="D43" s="139"/>
      <c r="E43" s="139" t="str">
        <f>IF($Z43="","",INDEX(Control_Achizitii!$C$13:$C$1012,$Z43-12))</f>
        <v/>
      </c>
      <c r="F43" s="139"/>
      <c r="G43" s="139"/>
      <c r="H43" s="139" t="str">
        <f>IF($Z43="","",IF(INDEX(Control_Achizitii!$Q$13:$Q$1012,$Z43-12)="","Fara proiect",INDEX(Control_Achizitii!$Q$13:$Q$1012,$Z43-12)))</f>
        <v/>
      </c>
      <c r="I43" s="139"/>
      <c r="J43" s="139"/>
      <c r="K43" s="139" t="str">
        <f>IF($Z43="","",IF(INDEX(Control_Achizitii!$J$13:$J$1012,$Z43-12)="DOSAR COMPLET","Status si documente necorelate",IF(INDEX(Control_Achizitii!$J$13:$J$1012,$Z43-12)="","Status necompletat",IF(INDEX(Control_Achizitii!$K$13:$K$1012,$Z43-12)="","Dosar incomplet",INDEX(Control_Achizitii!$K$13:$K$1012,$Z43-12)))))</f>
        <v/>
      </c>
      <c r="L43" s="139"/>
      <c r="M43" s="139"/>
      <c r="N43" s="139" t="str">
        <f>IF($Z43="","",IF(INDEX(Control_Achizitii!$J$13:$J$1012,$Z43-12)="DOSAR COMPLET","Verifica regulile dosarului",IF(INDEX(Control_Achizitii!$K$13:$K$1012,$Z43-12)="","Verifica dosarul in registru","Solicita documentele lipsa")))</f>
        <v/>
      </c>
      <c r="O43" s="139"/>
      <c r="P43" s="139"/>
      <c r="Q43" s="139"/>
      <c r="R43" s="140" t="str">
        <f t="shared" si="0"/>
        <v/>
      </c>
      <c r="S43" s="140"/>
      <c r="T43" s="27">
        <f>IF(LEFT(Control_Achizitii!$E43,4)="Fact",1,0)</f>
        <v>0</v>
      </c>
      <c r="U43" s="27">
        <f>IF(Control_Achizitii!$C43="",0,IF(ISNUMBER(Control_Achizitii!$B43),0,1))</f>
        <v>0</v>
      </c>
      <c r="V43" s="27">
        <f>IF(Control_Achizitii!$C43="",0,IF($Z$2&lt;&gt;"OK",0,IF(AND(ISNUMBER(Control_Achizitii!$B43),Control_Achizitii!$B43&gt;=$E$5,Control_Achizitii!$B43&lt;$J$5+1,OR($O$5="Toate proiectele",Control_Achizitii!$Q43=$O$5)),1,0)))</f>
        <v>0</v>
      </c>
      <c r="W43" s="27">
        <f>IF(AND(V43=1,OR(Control_Achizitii!$J43&lt;&gt;"DOSAR COMPLET",Control_Achizitii!$K43&lt;&gt;"")),ROW(),1000000000)</f>
        <v>1000000000</v>
      </c>
      <c r="X43" s="27">
        <f>IF(AND(V43=1,LEFT(Control_Achizitii!$E43,4)="Fact",NOT(ISNUMBER(Control_Achizitii!$P43))),1,0)</f>
        <v>0</v>
      </c>
      <c r="Y43" s="27">
        <f>IF(V43=0,0,IF(Control_Achizitii!$J43="DOSAR COMPLET",1,IF(LEFT(Control_Achizitii!$J43,9)="INCOMPLET",2,3)))</f>
        <v>0</v>
      </c>
      <c r="Z43" s="27" t="str">
        <f>IF(OR($Z$2&lt;&gt;"OK",9&gt;COUNTIFS($W$13:$W$1012,"&lt;1000000000")),"",SMALL($W$13:$W$1012,9))</f>
        <v/>
      </c>
      <c r="AA43" s="27"/>
      <c r="AB43" s="27"/>
      <c r="AC43" s="27"/>
      <c r="AD43" s="27"/>
      <c r="AE43" s="27"/>
      <c r="AF43" s="27"/>
      <c r="AG43" s="27"/>
      <c r="AH43" s="27">
        <f>IF(AND(V43=1,Control_Achizitii!$J43="DOSAR COMPLET",Control_Achizitii!$K43&lt;&gt;""),1,0)</f>
        <v>0</v>
      </c>
    </row>
    <row r="44" spans="1:34" ht="42" customHeight="1">
      <c r="A44" s="57"/>
      <c r="B44" s="141" t="str">
        <f>IF($Z44="","",IF(INDEX(Control_Achizitii!$N$13:$N$1012,$Z44-12)="","Fara numar document",INDEX(Control_Achizitii!$N$13:$N$1012,$Z44-12)))</f>
        <v/>
      </c>
      <c r="C44" s="141"/>
      <c r="D44" s="141"/>
      <c r="E44" s="141" t="str">
        <f>IF($Z44="","",INDEX(Control_Achizitii!$C$13:$C$1012,$Z44-12))</f>
        <v/>
      </c>
      <c r="F44" s="141"/>
      <c r="G44" s="141"/>
      <c r="H44" s="141" t="str">
        <f>IF($Z44="","",IF(INDEX(Control_Achizitii!$Q$13:$Q$1012,$Z44-12)="","Fara proiect",INDEX(Control_Achizitii!$Q$13:$Q$1012,$Z44-12)))</f>
        <v/>
      </c>
      <c r="I44" s="141"/>
      <c r="J44" s="141"/>
      <c r="K44" s="141" t="str">
        <f>IF($Z44="","",IF(INDEX(Control_Achizitii!$J$13:$J$1012,$Z44-12)="DOSAR COMPLET","Status si documente necorelate",IF(INDEX(Control_Achizitii!$J$13:$J$1012,$Z44-12)="","Status necompletat",IF(INDEX(Control_Achizitii!$K$13:$K$1012,$Z44-12)="","Dosar incomplet",INDEX(Control_Achizitii!$K$13:$K$1012,$Z44-12)))))</f>
        <v/>
      </c>
      <c r="L44" s="141"/>
      <c r="M44" s="141"/>
      <c r="N44" s="141" t="str">
        <f>IF($Z44="","",IF(INDEX(Control_Achizitii!$J$13:$J$1012,$Z44-12)="DOSAR COMPLET","Verifica regulile dosarului",IF(INDEX(Control_Achizitii!$K$13:$K$1012,$Z44-12)="","Verifica dosarul in registru","Solicita documentele lipsa")))</f>
        <v/>
      </c>
      <c r="O44" s="141"/>
      <c r="P44" s="141"/>
      <c r="Q44" s="141"/>
      <c r="R44" s="138" t="str">
        <f t="shared" si="0"/>
        <v/>
      </c>
      <c r="S44" s="138"/>
      <c r="T44" s="27">
        <f>IF(LEFT(Control_Achizitii!$E44,4)="Fact",1,0)</f>
        <v>0</v>
      </c>
      <c r="U44" s="27">
        <f>IF(Control_Achizitii!$C44="",0,IF(ISNUMBER(Control_Achizitii!$B44),0,1))</f>
        <v>0</v>
      </c>
      <c r="V44" s="27">
        <f>IF(Control_Achizitii!$C44="",0,IF($Z$2&lt;&gt;"OK",0,IF(AND(ISNUMBER(Control_Achizitii!$B44),Control_Achizitii!$B44&gt;=$E$5,Control_Achizitii!$B44&lt;$J$5+1,OR($O$5="Toate proiectele",Control_Achizitii!$Q44=$O$5)),1,0)))</f>
        <v>0</v>
      </c>
      <c r="W44" s="27">
        <f>IF(AND(V44=1,OR(Control_Achizitii!$J44&lt;&gt;"DOSAR COMPLET",Control_Achizitii!$K44&lt;&gt;"")),ROW(),1000000000)</f>
        <v>1000000000</v>
      </c>
      <c r="X44" s="27">
        <f>IF(AND(V44=1,LEFT(Control_Achizitii!$E44,4)="Fact",NOT(ISNUMBER(Control_Achizitii!$P44))),1,0)</f>
        <v>0</v>
      </c>
      <c r="Y44" s="27">
        <f>IF(V44=0,0,IF(Control_Achizitii!$J44="DOSAR COMPLET",1,IF(LEFT(Control_Achizitii!$J44,9)="INCOMPLET",2,3)))</f>
        <v>0</v>
      </c>
      <c r="Z44" s="27" t="str">
        <f>IF(OR($Z$2&lt;&gt;"OK",10&gt;COUNTIFS($W$13:$W$1012,"&lt;1000000000")),"",SMALL($W$13:$W$1012,10))</f>
        <v/>
      </c>
      <c r="AA44" s="27"/>
      <c r="AB44" s="27"/>
      <c r="AC44" s="27"/>
      <c r="AD44" s="27"/>
      <c r="AE44" s="27"/>
      <c r="AF44" s="27"/>
      <c r="AG44" s="27"/>
      <c r="AH44" s="27">
        <f>IF(AND(V44=1,Control_Achizitii!$J44="DOSAR COMPLET",Control_Achizitii!$K44&lt;&gt;""),1,0)</f>
        <v>0</v>
      </c>
    </row>
    <row r="45" spans="1:34" ht="21" customHeight="1">
      <c r="A45" s="57"/>
      <c r="B45" s="57"/>
      <c r="C45" s="57"/>
      <c r="D45" s="57"/>
      <c r="E45" s="57"/>
      <c r="F45" s="57"/>
      <c r="G45" s="57"/>
      <c r="H45" s="57"/>
      <c r="I45" s="57"/>
      <c r="J45" s="57"/>
      <c r="K45" s="57"/>
      <c r="L45" s="57"/>
      <c r="M45" s="57"/>
      <c r="N45" s="57"/>
      <c r="O45" s="57"/>
      <c r="P45" s="57"/>
      <c r="Q45" s="57"/>
      <c r="R45" s="57"/>
      <c r="S45" s="57"/>
      <c r="T45" s="27">
        <f>IF(LEFT(Control_Achizitii!$E45,4)="Fact",1,0)</f>
        <v>0</v>
      </c>
      <c r="U45" s="27">
        <f>IF(Control_Achizitii!$C45="",0,IF(ISNUMBER(Control_Achizitii!$B45),0,1))</f>
        <v>0</v>
      </c>
      <c r="V45" s="27">
        <f>IF(Control_Achizitii!$C45="",0,IF($Z$2&lt;&gt;"OK",0,IF(AND(ISNUMBER(Control_Achizitii!$B45),Control_Achizitii!$B45&gt;=$E$5,Control_Achizitii!$B45&lt;$J$5+1,OR($O$5="Toate proiectele",Control_Achizitii!$Q45=$O$5)),1,0)))</f>
        <v>0</v>
      </c>
      <c r="W45" s="27">
        <f>IF(AND(V45=1,OR(Control_Achizitii!$J45&lt;&gt;"DOSAR COMPLET",Control_Achizitii!$K45&lt;&gt;"")),ROW(),1000000000)</f>
        <v>1000000000</v>
      </c>
      <c r="X45" s="27">
        <f>IF(AND(V45=1,LEFT(Control_Achizitii!$E45,4)="Fact",NOT(ISNUMBER(Control_Achizitii!$P45))),1,0)</f>
        <v>0</v>
      </c>
      <c r="Y45" s="27">
        <f>IF(V45=0,0,IF(Control_Achizitii!$J45="DOSAR COMPLET",1,IF(LEFT(Control_Achizitii!$J45,9)="INCOMPLET",2,3)))</f>
        <v>0</v>
      </c>
      <c r="Z45" s="27"/>
      <c r="AA45" s="27"/>
      <c r="AB45" s="27"/>
      <c r="AC45" s="27"/>
      <c r="AD45" s="27"/>
      <c r="AE45" s="27"/>
      <c r="AF45" s="27"/>
      <c r="AG45" s="27"/>
      <c r="AH45" s="27">
        <f>IF(AND(V45=1,Control_Achizitii!$J45="DOSAR COMPLET",Control_Achizitii!$K45&lt;&gt;""),1,0)</f>
        <v>0</v>
      </c>
    </row>
    <row r="46" spans="1:34" ht="21" customHeight="1">
      <c r="A46" s="57"/>
      <c r="B46" s="137" t="s">
        <v>1284</v>
      </c>
      <c r="C46" s="137"/>
      <c r="D46" s="137"/>
      <c r="E46" s="137"/>
      <c r="F46" s="137"/>
      <c r="G46" s="137"/>
      <c r="H46" s="137"/>
      <c r="I46" s="137"/>
      <c r="J46" s="137"/>
      <c r="K46" s="137"/>
      <c r="L46" s="137"/>
      <c r="M46" s="137"/>
      <c r="N46" s="137"/>
      <c r="O46" s="137"/>
      <c r="P46" s="137"/>
      <c r="Q46" s="137"/>
      <c r="R46" s="137"/>
      <c r="S46" s="137"/>
      <c r="T46" s="27">
        <f>IF(LEFT(Control_Achizitii!$E46,4)="Fact",1,0)</f>
        <v>0</v>
      </c>
      <c r="U46" s="27">
        <f>IF(Control_Achizitii!$C46="",0,IF(ISNUMBER(Control_Achizitii!$B46),0,1))</f>
        <v>0</v>
      </c>
      <c r="V46" s="27">
        <f>IF(Control_Achizitii!$C46="",0,IF($Z$2&lt;&gt;"OK",0,IF(AND(ISNUMBER(Control_Achizitii!$B46),Control_Achizitii!$B46&gt;=$E$5,Control_Achizitii!$B46&lt;$J$5+1,OR($O$5="Toate proiectele",Control_Achizitii!$Q46=$O$5)),1,0)))</f>
        <v>0</v>
      </c>
      <c r="W46" s="27">
        <f>IF(AND(V46=1,OR(Control_Achizitii!$J46&lt;&gt;"DOSAR COMPLET",Control_Achizitii!$K46&lt;&gt;"")),ROW(),1000000000)</f>
        <v>1000000000</v>
      </c>
      <c r="X46" s="27">
        <f>IF(AND(V46=1,LEFT(Control_Achizitii!$E46,4)="Fact",NOT(ISNUMBER(Control_Achizitii!$P46))),1,0)</f>
        <v>0</v>
      </c>
      <c r="Y46" s="27">
        <f>IF(V46=0,0,IF(Control_Achizitii!$J46="DOSAR COMPLET",1,IF(LEFT(Control_Achizitii!$J46,9)="INCOMPLET",2,3)))</f>
        <v>0</v>
      </c>
      <c r="Z46" s="27"/>
      <c r="AA46" s="27"/>
      <c r="AB46" s="27"/>
      <c r="AC46" s="27"/>
      <c r="AD46" s="27"/>
      <c r="AE46" s="27"/>
      <c r="AF46" s="27"/>
      <c r="AG46" s="27"/>
      <c r="AH46" s="27">
        <f>IF(AND(V46=1,Control_Achizitii!$J46="DOSAR COMPLET",Control_Achizitii!$K46&lt;&gt;""),1,0)</f>
        <v>0</v>
      </c>
    </row>
    <row r="47" spans="1:34" ht="21" customHeight="1">
      <c r="A47" s="57"/>
      <c r="B47" s="142" t="str">
        <f>HYPERLINK("#'02_CERERI_SI_OFERTE'!A2","Cereri si oferte - modul activ")</f>
        <v>Cereri si oferte - modul activ</v>
      </c>
      <c r="C47" s="143"/>
      <c r="D47" s="143"/>
      <c r="E47" s="143"/>
      <c r="F47" s="143"/>
      <c r="G47" s="143"/>
      <c r="H47" s="57"/>
      <c r="I47" s="144" t="s">
        <v>1285</v>
      </c>
      <c r="J47" s="144"/>
      <c r="K47" s="144"/>
      <c r="L47" s="144"/>
      <c r="M47" s="144"/>
      <c r="N47" s="57"/>
      <c r="O47" s="144" t="s">
        <v>1286</v>
      </c>
      <c r="P47" s="144"/>
      <c r="Q47" s="144"/>
      <c r="R47" s="144"/>
      <c r="S47" s="144"/>
      <c r="T47" s="27">
        <f>IF(LEFT(Control_Achizitii!$E47,4)="Fact",1,0)</f>
        <v>0</v>
      </c>
      <c r="U47" s="27">
        <f>IF(Control_Achizitii!$C47="",0,IF(ISNUMBER(Control_Achizitii!$B47),0,1))</f>
        <v>0</v>
      </c>
      <c r="V47" s="27">
        <f>IF(Control_Achizitii!$C47="",0,IF($Z$2&lt;&gt;"OK",0,IF(AND(ISNUMBER(Control_Achizitii!$B47),Control_Achizitii!$B47&gt;=$E$5,Control_Achizitii!$B47&lt;$J$5+1,OR($O$5="Toate proiectele",Control_Achizitii!$Q47=$O$5)),1,0)))</f>
        <v>0</v>
      </c>
      <c r="W47" s="27">
        <f>IF(AND(V47=1,OR(Control_Achizitii!$J47&lt;&gt;"DOSAR COMPLET",Control_Achizitii!$K47&lt;&gt;"")),ROW(),1000000000)</f>
        <v>1000000000</v>
      </c>
      <c r="X47" s="27">
        <f>IF(AND(V47=1,LEFT(Control_Achizitii!$E47,4)="Fact",NOT(ISNUMBER(Control_Achizitii!$P47))),1,0)</f>
        <v>0</v>
      </c>
      <c r="Y47" s="27">
        <f>IF(V47=0,0,IF(Control_Achizitii!$J47="DOSAR COMPLET",1,IF(LEFT(Control_Achizitii!$J47,9)="INCOMPLET",2,3)))</f>
        <v>0</v>
      </c>
      <c r="Z47" s="27"/>
      <c r="AA47" s="27"/>
      <c r="AB47" s="27"/>
      <c r="AC47" s="27"/>
      <c r="AD47" s="27"/>
      <c r="AE47" s="27"/>
      <c r="AF47" s="27"/>
      <c r="AG47" s="27"/>
      <c r="AH47" s="27">
        <f>IF(AND(V47=1,Control_Achizitii!$J47="DOSAR COMPLET",Control_Achizitii!$K47&lt;&gt;""),1,0)</f>
        <v>0</v>
      </c>
    </row>
    <row r="48" spans="1:34" ht="21" customHeight="1">
      <c r="A48" s="57"/>
      <c r="B48" s="143"/>
      <c r="C48" s="143"/>
      <c r="D48" s="143"/>
      <c r="E48" s="143"/>
      <c r="F48" s="143"/>
      <c r="G48" s="143"/>
      <c r="H48" s="57"/>
      <c r="I48" s="144"/>
      <c r="J48" s="144"/>
      <c r="K48" s="144"/>
      <c r="L48" s="144"/>
      <c r="M48" s="144"/>
      <c r="N48" s="57"/>
      <c r="O48" s="144"/>
      <c r="P48" s="144"/>
      <c r="Q48" s="144"/>
      <c r="R48" s="144"/>
      <c r="S48" s="144"/>
      <c r="T48" s="27">
        <f>IF(LEFT(Control_Achizitii!$E48,4)="Fact",1,0)</f>
        <v>0</v>
      </c>
      <c r="U48" s="27">
        <f>IF(Control_Achizitii!$C48="",0,IF(ISNUMBER(Control_Achizitii!$B48),0,1))</f>
        <v>0</v>
      </c>
      <c r="V48" s="27">
        <f>IF(Control_Achizitii!$C48="",0,IF($Z$2&lt;&gt;"OK",0,IF(AND(ISNUMBER(Control_Achizitii!$B48),Control_Achizitii!$B48&gt;=$E$5,Control_Achizitii!$B48&lt;$J$5+1,OR($O$5="Toate proiectele",Control_Achizitii!$Q48=$O$5)),1,0)))</f>
        <v>0</v>
      </c>
      <c r="W48" s="27">
        <f>IF(AND(V48=1,OR(Control_Achizitii!$J48&lt;&gt;"DOSAR COMPLET",Control_Achizitii!$K48&lt;&gt;"")),ROW(),1000000000)</f>
        <v>1000000000</v>
      </c>
      <c r="X48" s="27">
        <f>IF(AND(V48=1,LEFT(Control_Achizitii!$E48,4)="Fact",NOT(ISNUMBER(Control_Achizitii!$P48))),1,0)</f>
        <v>0</v>
      </c>
      <c r="Y48" s="27">
        <f>IF(V48=0,0,IF(Control_Achizitii!$J48="DOSAR COMPLET",1,IF(LEFT(Control_Achizitii!$J48,9)="INCOMPLET",2,3)))</f>
        <v>0</v>
      </c>
      <c r="Z48" s="27"/>
      <c r="AA48" s="27"/>
      <c r="AB48" s="27"/>
      <c r="AC48" s="27"/>
      <c r="AD48" s="27"/>
      <c r="AE48" s="27"/>
      <c r="AF48" s="27"/>
      <c r="AG48" s="27"/>
      <c r="AH48" s="27">
        <f>IF(AND(V48=1,Control_Achizitii!$J48="DOSAR COMPLET",Control_Achizitii!$K48&lt;&gt;""),1,0)</f>
        <v>0</v>
      </c>
    </row>
    <row r="49" spans="1:34" ht="21" customHeight="1">
      <c r="A49" s="57"/>
      <c r="B49" s="57"/>
      <c r="C49" s="57"/>
      <c r="D49" s="57"/>
      <c r="E49" s="57"/>
      <c r="F49" s="57"/>
      <c r="G49" s="57"/>
      <c r="H49" s="57"/>
      <c r="I49" s="57"/>
      <c r="J49" s="57"/>
      <c r="K49" s="57"/>
      <c r="L49" s="57"/>
      <c r="M49" s="57"/>
      <c r="N49" s="57"/>
      <c r="O49" s="57"/>
      <c r="P49" s="57"/>
      <c r="Q49" s="57"/>
      <c r="R49" s="57"/>
      <c r="S49" s="57"/>
      <c r="T49" s="27">
        <f>IF(LEFT(Control_Achizitii!$E49,4)="Fact",1,0)</f>
        <v>0</v>
      </c>
      <c r="U49" s="27">
        <f>IF(Control_Achizitii!$C49="",0,IF(ISNUMBER(Control_Achizitii!$B49),0,1))</f>
        <v>0</v>
      </c>
      <c r="V49" s="27">
        <f>IF(Control_Achizitii!$C49="",0,IF($Z$2&lt;&gt;"OK",0,IF(AND(ISNUMBER(Control_Achizitii!$B49),Control_Achizitii!$B49&gt;=$E$5,Control_Achizitii!$B49&lt;$J$5+1,OR($O$5="Toate proiectele",Control_Achizitii!$Q49=$O$5)),1,0)))</f>
        <v>0</v>
      </c>
      <c r="W49" s="27">
        <f>IF(AND(V49=1,OR(Control_Achizitii!$J49&lt;&gt;"DOSAR COMPLET",Control_Achizitii!$K49&lt;&gt;"")),ROW(),1000000000)</f>
        <v>1000000000</v>
      </c>
      <c r="X49" s="27">
        <f>IF(AND(V49=1,LEFT(Control_Achizitii!$E49,4)="Fact",NOT(ISNUMBER(Control_Achizitii!$P49))),1,0)</f>
        <v>0</v>
      </c>
      <c r="Y49" s="27">
        <f>IF(V49=0,0,IF(Control_Achizitii!$J49="DOSAR COMPLET",1,IF(LEFT(Control_Achizitii!$J49,9)="INCOMPLET",2,3)))</f>
        <v>0</v>
      </c>
      <c r="Z49" s="27"/>
      <c r="AA49" s="27"/>
      <c r="AB49" s="27"/>
      <c r="AC49" s="27"/>
      <c r="AD49" s="27"/>
      <c r="AE49" s="27"/>
      <c r="AF49" s="27"/>
      <c r="AG49" s="27"/>
      <c r="AH49" s="27">
        <f>IF(AND(V49=1,Control_Achizitii!$J49="DOSAR COMPLET",Control_Achizitii!$K49&lt;&gt;""),1,0)</f>
        <v>0</v>
      </c>
    </row>
    <row r="50" spans="1:34" ht="21" customHeight="1">
      <c r="A50" s="57"/>
      <c r="B50" s="125" t="s">
        <v>1287</v>
      </c>
      <c r="C50" s="125"/>
      <c r="D50" s="125"/>
      <c r="E50" s="125"/>
      <c r="F50" s="125"/>
      <c r="G50" s="125"/>
      <c r="H50" s="125"/>
      <c r="I50" s="125"/>
      <c r="J50" s="125"/>
      <c r="K50" s="125"/>
      <c r="L50" s="125"/>
      <c r="M50" s="125"/>
      <c r="N50" s="125"/>
      <c r="O50" s="125"/>
      <c r="P50" s="125"/>
      <c r="Q50" s="125"/>
      <c r="R50" s="125"/>
      <c r="S50" s="125"/>
      <c r="T50" s="27">
        <f>IF(LEFT(Control_Achizitii!$E50,4)="Fact",1,0)</f>
        <v>0</v>
      </c>
      <c r="U50" s="27">
        <f>IF(Control_Achizitii!$C50="",0,IF(ISNUMBER(Control_Achizitii!$B50),0,1))</f>
        <v>0</v>
      </c>
      <c r="V50" s="27">
        <f>IF(Control_Achizitii!$C50="",0,IF($Z$2&lt;&gt;"OK",0,IF(AND(ISNUMBER(Control_Achizitii!$B50),Control_Achizitii!$B50&gt;=$E$5,Control_Achizitii!$B50&lt;$J$5+1,OR($O$5="Toate proiectele",Control_Achizitii!$Q50=$O$5)),1,0)))</f>
        <v>0</v>
      </c>
      <c r="W50" s="27">
        <f>IF(AND(V50=1,OR(Control_Achizitii!$J50&lt;&gt;"DOSAR COMPLET",Control_Achizitii!$K50&lt;&gt;"")),ROW(),1000000000)</f>
        <v>1000000000</v>
      </c>
      <c r="X50" s="27">
        <f>IF(AND(V50=1,LEFT(Control_Achizitii!$E50,4)="Fact",NOT(ISNUMBER(Control_Achizitii!$P50))),1,0)</f>
        <v>0</v>
      </c>
      <c r="Y50" s="27">
        <f>IF(V50=0,0,IF(Control_Achizitii!$J50="DOSAR COMPLET",1,IF(LEFT(Control_Achizitii!$J50,9)="INCOMPLET",2,3)))</f>
        <v>0</v>
      </c>
      <c r="Z50" s="27"/>
      <c r="AA50" s="27"/>
      <c r="AB50" s="27"/>
      <c r="AC50" s="27"/>
      <c r="AD50" s="27"/>
      <c r="AE50" s="27"/>
      <c r="AF50" s="27"/>
      <c r="AG50" s="27"/>
      <c r="AH50" s="27">
        <f>IF(AND(V50=1,Control_Achizitii!$J50="DOSAR COMPLET",Control_Achizitii!$K50&lt;&gt;""),1,0)</f>
        <v>0</v>
      </c>
    </row>
    <row r="51" spans="1:34" ht="21" customHeight="1">
      <c r="A51" s="57"/>
      <c r="B51" s="57"/>
      <c r="C51" s="57"/>
      <c r="D51" s="57"/>
      <c r="E51" s="57"/>
      <c r="F51" s="57"/>
      <c r="G51" s="57"/>
      <c r="H51" s="57"/>
      <c r="I51" s="57"/>
      <c r="J51" s="57"/>
      <c r="K51" s="57"/>
      <c r="L51" s="57"/>
      <c r="M51" s="57"/>
      <c r="N51" s="57"/>
      <c r="O51" s="57"/>
      <c r="P51" s="57"/>
      <c r="Q51" s="57"/>
      <c r="R51" s="57"/>
      <c r="S51" s="57"/>
      <c r="T51" s="27">
        <f>IF(LEFT(Control_Achizitii!$E51,4)="Fact",1,0)</f>
        <v>0</v>
      </c>
      <c r="U51" s="27">
        <f>IF(Control_Achizitii!$C51="",0,IF(ISNUMBER(Control_Achizitii!$B51),0,1))</f>
        <v>0</v>
      </c>
      <c r="V51" s="27">
        <f>IF(Control_Achizitii!$C51="",0,IF($Z$2&lt;&gt;"OK",0,IF(AND(ISNUMBER(Control_Achizitii!$B51),Control_Achizitii!$B51&gt;=$E$5,Control_Achizitii!$B51&lt;$J$5+1,OR($O$5="Toate proiectele",Control_Achizitii!$Q51=$O$5)),1,0)))</f>
        <v>0</v>
      </c>
      <c r="W51" s="27">
        <f>IF(AND(V51=1,OR(Control_Achizitii!$J51&lt;&gt;"DOSAR COMPLET",Control_Achizitii!$K51&lt;&gt;"")),ROW(),1000000000)</f>
        <v>1000000000</v>
      </c>
      <c r="X51" s="27">
        <f>IF(AND(V51=1,LEFT(Control_Achizitii!$E51,4)="Fact",NOT(ISNUMBER(Control_Achizitii!$P51))),1,0)</f>
        <v>0</v>
      </c>
      <c r="Y51" s="27">
        <f>IF(V51=0,0,IF(Control_Achizitii!$J51="DOSAR COMPLET",1,IF(LEFT(Control_Achizitii!$J51,9)="INCOMPLET",2,3)))</f>
        <v>0</v>
      </c>
      <c r="Z51" s="27"/>
      <c r="AA51" s="27"/>
      <c r="AB51" s="27"/>
      <c r="AC51" s="27"/>
      <c r="AD51" s="27"/>
      <c r="AE51" s="27"/>
      <c r="AF51" s="27"/>
      <c r="AG51" s="27"/>
      <c r="AH51" s="27">
        <f>IF(AND(V51=1,Control_Achizitii!$J51="DOSAR COMPLET",Control_Achizitii!$K51&lt;&gt;""),1,0)</f>
        <v>0</v>
      </c>
    </row>
    <row r="52" spans="1:34" ht="21" customHeight="1">
      <c r="A52" s="57"/>
      <c r="B52" s="57"/>
      <c r="C52" s="57"/>
      <c r="D52" s="57"/>
      <c r="E52" s="57"/>
      <c r="F52" s="57"/>
      <c r="G52" s="57"/>
      <c r="H52" s="57"/>
      <c r="I52" s="57"/>
      <c r="J52" s="57"/>
      <c r="K52" s="57"/>
      <c r="L52" s="57"/>
      <c r="M52" s="57"/>
      <c r="N52" s="57"/>
      <c r="O52" s="57"/>
      <c r="P52" s="57"/>
      <c r="Q52" s="57"/>
      <c r="R52" s="57"/>
      <c r="S52" s="57"/>
      <c r="T52" s="27">
        <f>IF(LEFT(Control_Achizitii!$E52,4)="Fact",1,0)</f>
        <v>0</v>
      </c>
      <c r="U52" s="27">
        <f>IF(Control_Achizitii!$C52="",0,IF(ISNUMBER(Control_Achizitii!$B52),0,1))</f>
        <v>0</v>
      </c>
      <c r="V52" s="27">
        <f>IF(Control_Achizitii!$C52="",0,IF($Z$2&lt;&gt;"OK",0,IF(AND(ISNUMBER(Control_Achizitii!$B52),Control_Achizitii!$B52&gt;=$E$5,Control_Achizitii!$B52&lt;$J$5+1,OR($O$5="Toate proiectele",Control_Achizitii!$Q52=$O$5)),1,0)))</f>
        <v>0</v>
      </c>
      <c r="W52" s="27">
        <f>IF(AND(V52=1,OR(Control_Achizitii!$J52&lt;&gt;"DOSAR COMPLET",Control_Achizitii!$K52&lt;&gt;"")),ROW(),1000000000)</f>
        <v>1000000000</v>
      </c>
      <c r="X52" s="27">
        <f>IF(AND(V52=1,LEFT(Control_Achizitii!$E52,4)="Fact",NOT(ISNUMBER(Control_Achizitii!$P52))),1,0)</f>
        <v>0</v>
      </c>
      <c r="Y52" s="27">
        <f>IF(V52=0,0,IF(Control_Achizitii!$J52="DOSAR COMPLET",1,IF(LEFT(Control_Achizitii!$J52,9)="INCOMPLET",2,3)))</f>
        <v>0</v>
      </c>
      <c r="Z52" s="27"/>
      <c r="AA52" s="27"/>
      <c r="AB52" s="27"/>
      <c r="AC52" s="27"/>
      <c r="AD52" s="27"/>
      <c r="AE52" s="27"/>
      <c r="AF52" s="27"/>
      <c r="AG52" s="27"/>
      <c r="AH52" s="27">
        <f>IF(AND(V52=1,Control_Achizitii!$J52="DOSAR COMPLET",Control_Achizitii!$K52&lt;&gt;""),1,0)</f>
        <v>0</v>
      </c>
    </row>
    <row r="53" spans="1:34">
      <c r="A53" s="27"/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P53" s="27"/>
      <c r="Q53" s="27"/>
      <c r="R53" s="27"/>
      <c r="S53" s="27"/>
      <c r="T53" s="27">
        <f>IF(LEFT(Control_Achizitii!$E53,4)="Fact",1,0)</f>
        <v>0</v>
      </c>
      <c r="U53" s="27">
        <f>IF(Control_Achizitii!$C53="",0,IF(ISNUMBER(Control_Achizitii!$B53),0,1))</f>
        <v>0</v>
      </c>
      <c r="V53" s="27">
        <f>IF(Control_Achizitii!$C53="",0,IF($Z$2&lt;&gt;"OK",0,IF(AND(ISNUMBER(Control_Achizitii!$B53),Control_Achizitii!$B53&gt;=$E$5,Control_Achizitii!$B53&lt;$J$5+1,OR($O$5="Toate proiectele",Control_Achizitii!$Q53=$O$5)),1,0)))</f>
        <v>0</v>
      </c>
      <c r="W53" s="27">
        <f>IF(AND(V53=1,OR(Control_Achizitii!$J53&lt;&gt;"DOSAR COMPLET",Control_Achizitii!$K53&lt;&gt;"")),ROW(),1000000000)</f>
        <v>1000000000</v>
      </c>
      <c r="X53" s="27">
        <f>IF(AND(V53=1,LEFT(Control_Achizitii!$E53,4)="Fact",NOT(ISNUMBER(Control_Achizitii!$P53))),1,0)</f>
        <v>0</v>
      </c>
      <c r="Y53" s="27">
        <f>IF(V53=0,0,IF(Control_Achizitii!$J53="DOSAR COMPLET",1,IF(LEFT(Control_Achizitii!$J53,9)="INCOMPLET",2,3)))</f>
        <v>0</v>
      </c>
      <c r="Z53" s="27"/>
      <c r="AA53" s="27"/>
      <c r="AB53" s="27"/>
      <c r="AC53" s="27"/>
      <c r="AD53" s="27"/>
      <c r="AE53" s="27"/>
      <c r="AF53" s="27"/>
      <c r="AG53" s="27"/>
      <c r="AH53" s="27">
        <f>IF(AND(V53=1,Control_Achizitii!$J53="DOSAR COMPLET",Control_Achizitii!$K53&lt;&gt;""),1,0)</f>
        <v>0</v>
      </c>
    </row>
    <row r="54" spans="1:34">
      <c r="A54" s="27"/>
      <c r="B54" s="27"/>
      <c r="C54" s="27"/>
      <c r="D54" s="27"/>
      <c r="E54" s="27"/>
      <c r="F54" s="27"/>
      <c r="G54" s="27"/>
      <c r="H54" s="27"/>
      <c r="I54" s="27"/>
      <c r="J54" s="27"/>
      <c r="K54" s="27"/>
      <c r="L54" s="27"/>
      <c r="M54" s="27"/>
      <c r="N54" s="27"/>
      <c r="O54" s="27"/>
      <c r="P54" s="27"/>
      <c r="Q54" s="27"/>
      <c r="R54" s="27"/>
      <c r="S54" s="27"/>
      <c r="T54" s="27">
        <f>IF(LEFT(Control_Achizitii!$E54,4)="Fact",1,0)</f>
        <v>0</v>
      </c>
      <c r="U54" s="27">
        <f>IF(Control_Achizitii!$C54="",0,IF(ISNUMBER(Control_Achizitii!$B54),0,1))</f>
        <v>0</v>
      </c>
      <c r="V54" s="27">
        <f>IF(Control_Achizitii!$C54="",0,IF($Z$2&lt;&gt;"OK",0,IF(AND(ISNUMBER(Control_Achizitii!$B54),Control_Achizitii!$B54&gt;=$E$5,Control_Achizitii!$B54&lt;$J$5+1,OR($O$5="Toate proiectele",Control_Achizitii!$Q54=$O$5)),1,0)))</f>
        <v>0</v>
      </c>
      <c r="W54" s="27">
        <f>IF(AND(V54=1,OR(Control_Achizitii!$J54&lt;&gt;"DOSAR COMPLET",Control_Achizitii!$K54&lt;&gt;"")),ROW(),1000000000)</f>
        <v>1000000000</v>
      </c>
      <c r="X54" s="27">
        <f>IF(AND(V54=1,LEFT(Control_Achizitii!$E54,4)="Fact",NOT(ISNUMBER(Control_Achizitii!$P54))),1,0)</f>
        <v>0</v>
      </c>
      <c r="Y54" s="27">
        <f>IF(V54=0,0,IF(Control_Achizitii!$J54="DOSAR COMPLET",1,IF(LEFT(Control_Achizitii!$J54,9)="INCOMPLET",2,3)))</f>
        <v>0</v>
      </c>
      <c r="Z54" s="27"/>
      <c r="AA54" s="27"/>
      <c r="AB54" s="27"/>
      <c r="AC54" s="27"/>
      <c r="AD54" s="27"/>
      <c r="AE54" s="27"/>
      <c r="AF54" s="27"/>
      <c r="AG54" s="27"/>
      <c r="AH54" s="27">
        <f>IF(AND(V54=1,Control_Achizitii!$J54="DOSAR COMPLET",Control_Achizitii!$K54&lt;&gt;""),1,0)</f>
        <v>0</v>
      </c>
    </row>
    <row r="55" spans="1:34">
      <c r="A55" s="27"/>
      <c r="B55" s="27"/>
      <c r="C55" s="27"/>
      <c r="D55" s="27"/>
      <c r="E55" s="27"/>
      <c r="F55" s="27"/>
      <c r="G55" s="27"/>
      <c r="H55" s="27"/>
      <c r="I55" s="27"/>
      <c r="J55" s="27"/>
      <c r="K55" s="27"/>
      <c r="L55" s="27"/>
      <c r="M55" s="27"/>
      <c r="N55" s="27"/>
      <c r="O55" s="27"/>
      <c r="P55" s="27"/>
      <c r="Q55" s="27"/>
      <c r="R55" s="27"/>
      <c r="S55" s="27"/>
      <c r="T55" s="27">
        <f>IF(LEFT(Control_Achizitii!$E55,4)="Fact",1,0)</f>
        <v>0</v>
      </c>
      <c r="U55" s="27">
        <f>IF(Control_Achizitii!$C55="",0,IF(ISNUMBER(Control_Achizitii!$B55),0,1))</f>
        <v>0</v>
      </c>
      <c r="V55" s="27">
        <f>IF(Control_Achizitii!$C55="",0,IF($Z$2&lt;&gt;"OK",0,IF(AND(ISNUMBER(Control_Achizitii!$B55),Control_Achizitii!$B55&gt;=$E$5,Control_Achizitii!$B55&lt;$J$5+1,OR($O$5="Toate proiectele",Control_Achizitii!$Q55=$O$5)),1,0)))</f>
        <v>0</v>
      </c>
      <c r="W55" s="27">
        <f>IF(AND(V55=1,OR(Control_Achizitii!$J55&lt;&gt;"DOSAR COMPLET",Control_Achizitii!$K55&lt;&gt;"")),ROW(),1000000000)</f>
        <v>1000000000</v>
      </c>
      <c r="X55" s="27">
        <f>IF(AND(V55=1,LEFT(Control_Achizitii!$E55,4)="Fact",NOT(ISNUMBER(Control_Achizitii!$P55))),1,0)</f>
        <v>0</v>
      </c>
      <c r="Y55" s="27">
        <f>IF(V55=0,0,IF(Control_Achizitii!$J55="DOSAR COMPLET",1,IF(LEFT(Control_Achizitii!$J55,9)="INCOMPLET",2,3)))</f>
        <v>0</v>
      </c>
      <c r="Z55" s="27"/>
      <c r="AA55" s="27"/>
      <c r="AB55" s="27"/>
      <c r="AC55" s="27"/>
      <c r="AD55" s="27"/>
      <c r="AE55" s="27"/>
      <c r="AF55" s="27"/>
      <c r="AG55" s="27"/>
      <c r="AH55" s="27">
        <f>IF(AND(V55=1,Control_Achizitii!$J55="DOSAR COMPLET",Control_Achizitii!$K55&lt;&gt;""),1,0)</f>
        <v>0</v>
      </c>
    </row>
    <row r="56" spans="1:34">
      <c r="A56" s="27"/>
      <c r="B56" s="27"/>
      <c r="C56" s="27"/>
      <c r="D56" s="27"/>
      <c r="E56" s="27"/>
      <c r="F56" s="27"/>
      <c r="G56" s="27"/>
      <c r="H56" s="27"/>
      <c r="I56" s="27"/>
      <c r="J56" s="27"/>
      <c r="K56" s="27"/>
      <c r="L56" s="27"/>
      <c r="M56" s="27"/>
      <c r="N56" s="27"/>
      <c r="O56" s="27"/>
      <c r="P56" s="27"/>
      <c r="Q56" s="27"/>
      <c r="R56" s="27"/>
      <c r="S56" s="27"/>
      <c r="T56" s="27">
        <f>IF(LEFT(Control_Achizitii!$E56,4)="Fact",1,0)</f>
        <v>0</v>
      </c>
      <c r="U56" s="27">
        <f>IF(Control_Achizitii!$C56="",0,IF(ISNUMBER(Control_Achizitii!$B56),0,1))</f>
        <v>0</v>
      </c>
      <c r="V56" s="27">
        <f>IF(Control_Achizitii!$C56="",0,IF($Z$2&lt;&gt;"OK",0,IF(AND(ISNUMBER(Control_Achizitii!$B56),Control_Achizitii!$B56&gt;=$E$5,Control_Achizitii!$B56&lt;$J$5+1,OR($O$5="Toate proiectele",Control_Achizitii!$Q56=$O$5)),1,0)))</f>
        <v>0</v>
      </c>
      <c r="W56" s="27">
        <f>IF(AND(V56=1,OR(Control_Achizitii!$J56&lt;&gt;"DOSAR COMPLET",Control_Achizitii!$K56&lt;&gt;"")),ROW(),1000000000)</f>
        <v>1000000000</v>
      </c>
      <c r="X56" s="27">
        <f>IF(AND(V56=1,LEFT(Control_Achizitii!$E56,4)="Fact",NOT(ISNUMBER(Control_Achizitii!$P56))),1,0)</f>
        <v>0</v>
      </c>
      <c r="Y56" s="27">
        <f>IF(V56=0,0,IF(Control_Achizitii!$J56="DOSAR COMPLET",1,IF(LEFT(Control_Achizitii!$J56,9)="INCOMPLET",2,3)))</f>
        <v>0</v>
      </c>
      <c r="Z56" s="27"/>
      <c r="AA56" s="27"/>
      <c r="AB56" s="27"/>
      <c r="AC56" s="27"/>
      <c r="AD56" s="27"/>
      <c r="AE56" s="27"/>
      <c r="AF56" s="27"/>
      <c r="AG56" s="27"/>
      <c r="AH56" s="27">
        <f>IF(AND(V56=1,Control_Achizitii!$J56="DOSAR COMPLET",Control_Achizitii!$K56&lt;&gt;""),1,0)</f>
        <v>0</v>
      </c>
    </row>
    <row r="57" spans="1:34">
      <c r="A57" s="27"/>
      <c r="B57" s="27"/>
      <c r="C57" s="27"/>
      <c r="D57" s="27"/>
      <c r="E57" s="27"/>
      <c r="F57" s="27"/>
      <c r="G57" s="27"/>
      <c r="H57" s="27"/>
      <c r="I57" s="27"/>
      <c r="J57" s="27"/>
      <c r="K57" s="27"/>
      <c r="L57" s="27"/>
      <c r="M57" s="27"/>
      <c r="N57" s="27"/>
      <c r="O57" s="27"/>
      <c r="P57" s="27"/>
      <c r="Q57" s="27"/>
      <c r="R57" s="27"/>
      <c r="S57" s="27"/>
      <c r="T57" s="27">
        <f>IF(LEFT(Control_Achizitii!$E57,4)="Fact",1,0)</f>
        <v>0</v>
      </c>
      <c r="U57" s="27">
        <f>IF(Control_Achizitii!$C57="",0,IF(ISNUMBER(Control_Achizitii!$B57),0,1))</f>
        <v>0</v>
      </c>
      <c r="V57" s="27">
        <f>IF(Control_Achizitii!$C57="",0,IF($Z$2&lt;&gt;"OK",0,IF(AND(ISNUMBER(Control_Achizitii!$B57),Control_Achizitii!$B57&gt;=$E$5,Control_Achizitii!$B57&lt;$J$5+1,OR($O$5="Toate proiectele",Control_Achizitii!$Q57=$O$5)),1,0)))</f>
        <v>0</v>
      </c>
      <c r="W57" s="27">
        <f>IF(AND(V57=1,OR(Control_Achizitii!$J57&lt;&gt;"DOSAR COMPLET",Control_Achizitii!$K57&lt;&gt;"")),ROW(),1000000000)</f>
        <v>1000000000</v>
      </c>
      <c r="X57" s="27">
        <f>IF(AND(V57=1,LEFT(Control_Achizitii!$E57,4)="Fact",NOT(ISNUMBER(Control_Achizitii!$P57))),1,0)</f>
        <v>0</v>
      </c>
      <c r="Y57" s="27">
        <f>IF(V57=0,0,IF(Control_Achizitii!$J57="DOSAR COMPLET",1,IF(LEFT(Control_Achizitii!$J57,9)="INCOMPLET",2,3)))</f>
        <v>0</v>
      </c>
      <c r="Z57" s="27"/>
      <c r="AA57" s="27"/>
      <c r="AB57" s="27"/>
      <c r="AC57" s="27"/>
      <c r="AD57" s="27"/>
      <c r="AE57" s="27"/>
      <c r="AF57" s="27"/>
      <c r="AG57" s="27"/>
      <c r="AH57" s="27">
        <f>IF(AND(V57=1,Control_Achizitii!$J57="DOSAR COMPLET",Control_Achizitii!$K57&lt;&gt;""),1,0)</f>
        <v>0</v>
      </c>
    </row>
    <row r="58" spans="1:34">
      <c r="A58" s="27"/>
      <c r="B58" s="27"/>
      <c r="C58" s="27"/>
      <c r="D58" s="27"/>
      <c r="E58" s="27"/>
      <c r="F58" s="27"/>
      <c r="G58" s="27"/>
      <c r="H58" s="27"/>
      <c r="I58" s="27"/>
      <c r="J58" s="27"/>
      <c r="K58" s="27"/>
      <c r="L58" s="27"/>
      <c r="M58" s="27"/>
      <c r="N58" s="27"/>
      <c r="O58" s="27"/>
      <c r="P58" s="27"/>
      <c r="Q58" s="27"/>
      <c r="R58" s="27"/>
      <c r="S58" s="27"/>
      <c r="T58" s="27">
        <f>IF(LEFT(Control_Achizitii!$E58,4)="Fact",1,0)</f>
        <v>0</v>
      </c>
      <c r="U58" s="27">
        <f>IF(Control_Achizitii!$C58="",0,IF(ISNUMBER(Control_Achizitii!$B58),0,1))</f>
        <v>0</v>
      </c>
      <c r="V58" s="27">
        <f>IF(Control_Achizitii!$C58="",0,IF($Z$2&lt;&gt;"OK",0,IF(AND(ISNUMBER(Control_Achizitii!$B58),Control_Achizitii!$B58&gt;=$E$5,Control_Achizitii!$B58&lt;$J$5+1,OR($O$5="Toate proiectele",Control_Achizitii!$Q58=$O$5)),1,0)))</f>
        <v>0</v>
      </c>
      <c r="W58" s="27">
        <f>IF(AND(V58=1,OR(Control_Achizitii!$J58&lt;&gt;"DOSAR COMPLET",Control_Achizitii!$K58&lt;&gt;"")),ROW(),1000000000)</f>
        <v>1000000000</v>
      </c>
      <c r="X58" s="27">
        <f>IF(AND(V58=1,LEFT(Control_Achizitii!$E58,4)="Fact",NOT(ISNUMBER(Control_Achizitii!$P58))),1,0)</f>
        <v>0</v>
      </c>
      <c r="Y58" s="27">
        <f>IF(V58=0,0,IF(Control_Achizitii!$J58="DOSAR COMPLET",1,IF(LEFT(Control_Achizitii!$J58,9)="INCOMPLET",2,3)))</f>
        <v>0</v>
      </c>
      <c r="Z58" s="27"/>
      <c r="AA58" s="27"/>
      <c r="AB58" s="27"/>
      <c r="AC58" s="27"/>
      <c r="AD58" s="27"/>
      <c r="AE58" s="27"/>
      <c r="AF58" s="27"/>
      <c r="AG58" s="27"/>
      <c r="AH58" s="27">
        <f>IF(AND(V58=1,Control_Achizitii!$J58="DOSAR COMPLET",Control_Achizitii!$K58&lt;&gt;""),1,0)</f>
        <v>0</v>
      </c>
    </row>
    <row r="59" spans="1:34">
      <c r="A59" s="27"/>
      <c r="B59" s="27"/>
      <c r="C59" s="27"/>
      <c r="D59" s="27"/>
      <c r="E59" s="27"/>
      <c r="F59" s="27"/>
      <c r="G59" s="27"/>
      <c r="H59" s="27"/>
      <c r="I59" s="27"/>
      <c r="J59" s="27"/>
      <c r="K59" s="27"/>
      <c r="L59" s="27"/>
      <c r="M59" s="27"/>
      <c r="N59" s="27"/>
      <c r="O59" s="27"/>
      <c r="P59" s="27"/>
      <c r="Q59" s="27"/>
      <c r="R59" s="27"/>
      <c r="S59" s="27"/>
      <c r="T59" s="27">
        <f>IF(LEFT(Control_Achizitii!$E59,4)="Fact",1,0)</f>
        <v>0</v>
      </c>
      <c r="U59" s="27">
        <f>IF(Control_Achizitii!$C59="",0,IF(ISNUMBER(Control_Achizitii!$B59),0,1))</f>
        <v>0</v>
      </c>
      <c r="V59" s="27">
        <f>IF(Control_Achizitii!$C59="",0,IF($Z$2&lt;&gt;"OK",0,IF(AND(ISNUMBER(Control_Achizitii!$B59),Control_Achizitii!$B59&gt;=$E$5,Control_Achizitii!$B59&lt;$J$5+1,OR($O$5="Toate proiectele",Control_Achizitii!$Q59=$O$5)),1,0)))</f>
        <v>0</v>
      </c>
      <c r="W59" s="27">
        <f>IF(AND(V59=1,OR(Control_Achizitii!$J59&lt;&gt;"DOSAR COMPLET",Control_Achizitii!$K59&lt;&gt;"")),ROW(),1000000000)</f>
        <v>1000000000</v>
      </c>
      <c r="X59" s="27">
        <f>IF(AND(V59=1,LEFT(Control_Achizitii!$E59,4)="Fact",NOT(ISNUMBER(Control_Achizitii!$P59))),1,0)</f>
        <v>0</v>
      </c>
      <c r="Y59" s="27">
        <f>IF(V59=0,0,IF(Control_Achizitii!$J59="DOSAR COMPLET",1,IF(LEFT(Control_Achizitii!$J59,9)="INCOMPLET",2,3)))</f>
        <v>0</v>
      </c>
      <c r="Z59" s="27"/>
      <c r="AA59" s="27"/>
      <c r="AB59" s="27"/>
      <c r="AC59" s="27"/>
      <c r="AD59" s="27"/>
      <c r="AE59" s="27"/>
      <c r="AF59" s="27"/>
      <c r="AG59" s="27"/>
      <c r="AH59" s="27">
        <f>IF(AND(V59=1,Control_Achizitii!$J59="DOSAR COMPLET",Control_Achizitii!$K59&lt;&gt;""),1,0)</f>
        <v>0</v>
      </c>
    </row>
    <row r="60" spans="1:34">
      <c r="A60" s="27"/>
      <c r="B60" s="27"/>
      <c r="C60" s="27"/>
      <c r="D60" s="27"/>
      <c r="E60" s="27"/>
      <c r="F60" s="27"/>
      <c r="G60" s="27"/>
      <c r="H60" s="27"/>
      <c r="I60" s="27"/>
      <c r="J60" s="27"/>
      <c r="K60" s="27"/>
      <c r="L60" s="27"/>
      <c r="M60" s="27"/>
      <c r="N60" s="27"/>
      <c r="O60" s="27"/>
      <c r="P60" s="27"/>
      <c r="Q60" s="27"/>
      <c r="R60" s="27"/>
      <c r="S60" s="27"/>
      <c r="T60" s="27">
        <f>IF(LEFT(Control_Achizitii!$E60,4)="Fact",1,0)</f>
        <v>0</v>
      </c>
      <c r="U60" s="27">
        <f>IF(Control_Achizitii!$C60="",0,IF(ISNUMBER(Control_Achizitii!$B60),0,1))</f>
        <v>0</v>
      </c>
      <c r="V60" s="27">
        <f>IF(Control_Achizitii!$C60="",0,IF($Z$2&lt;&gt;"OK",0,IF(AND(ISNUMBER(Control_Achizitii!$B60),Control_Achizitii!$B60&gt;=$E$5,Control_Achizitii!$B60&lt;$J$5+1,OR($O$5="Toate proiectele",Control_Achizitii!$Q60=$O$5)),1,0)))</f>
        <v>0</v>
      </c>
      <c r="W60" s="27">
        <f>IF(AND(V60=1,OR(Control_Achizitii!$J60&lt;&gt;"DOSAR COMPLET",Control_Achizitii!$K60&lt;&gt;"")),ROW(),1000000000)</f>
        <v>1000000000</v>
      </c>
      <c r="X60" s="27">
        <f>IF(AND(V60=1,LEFT(Control_Achizitii!$E60,4)="Fact",NOT(ISNUMBER(Control_Achizitii!$P60))),1,0)</f>
        <v>0</v>
      </c>
      <c r="Y60" s="27">
        <f>IF(V60=0,0,IF(Control_Achizitii!$J60="DOSAR COMPLET",1,IF(LEFT(Control_Achizitii!$J60,9)="INCOMPLET",2,3)))</f>
        <v>0</v>
      </c>
      <c r="Z60" s="27"/>
      <c r="AA60" s="27"/>
      <c r="AB60" s="27"/>
      <c r="AC60" s="27"/>
      <c r="AD60" s="27"/>
      <c r="AE60" s="27"/>
      <c r="AF60" s="27"/>
      <c r="AG60" s="27"/>
      <c r="AH60" s="27">
        <f>IF(AND(V60=1,Control_Achizitii!$J60="DOSAR COMPLET",Control_Achizitii!$K60&lt;&gt;""),1,0)</f>
        <v>0</v>
      </c>
    </row>
    <row r="61" spans="1:34">
      <c r="A61" s="27"/>
      <c r="B61" s="27"/>
      <c r="C61" s="27"/>
      <c r="D61" s="27"/>
      <c r="E61" s="27"/>
      <c r="F61" s="27"/>
      <c r="G61" s="27"/>
      <c r="H61" s="27"/>
      <c r="I61" s="27"/>
      <c r="J61" s="27"/>
      <c r="K61" s="27"/>
      <c r="L61" s="27"/>
      <c r="M61" s="27"/>
      <c r="N61" s="27"/>
      <c r="O61" s="27"/>
      <c r="P61" s="27"/>
      <c r="Q61" s="27"/>
      <c r="R61" s="27"/>
      <c r="S61" s="27"/>
      <c r="T61" s="27">
        <f>IF(LEFT(Control_Achizitii!$E61,4)="Fact",1,0)</f>
        <v>0</v>
      </c>
      <c r="U61" s="27">
        <f>IF(Control_Achizitii!$C61="",0,IF(ISNUMBER(Control_Achizitii!$B61),0,1))</f>
        <v>0</v>
      </c>
      <c r="V61" s="27">
        <f>IF(Control_Achizitii!$C61="",0,IF($Z$2&lt;&gt;"OK",0,IF(AND(ISNUMBER(Control_Achizitii!$B61),Control_Achizitii!$B61&gt;=$E$5,Control_Achizitii!$B61&lt;$J$5+1,OR($O$5="Toate proiectele",Control_Achizitii!$Q61=$O$5)),1,0)))</f>
        <v>0</v>
      </c>
      <c r="W61" s="27">
        <f>IF(AND(V61=1,OR(Control_Achizitii!$J61&lt;&gt;"DOSAR COMPLET",Control_Achizitii!$K61&lt;&gt;"")),ROW(),1000000000)</f>
        <v>1000000000</v>
      </c>
      <c r="X61" s="27">
        <f>IF(AND(V61=1,LEFT(Control_Achizitii!$E61,4)="Fact",NOT(ISNUMBER(Control_Achizitii!$P61))),1,0)</f>
        <v>0</v>
      </c>
      <c r="Y61" s="27">
        <f>IF(V61=0,0,IF(Control_Achizitii!$J61="DOSAR COMPLET",1,IF(LEFT(Control_Achizitii!$J61,9)="INCOMPLET",2,3)))</f>
        <v>0</v>
      </c>
      <c r="Z61" s="27"/>
      <c r="AA61" s="27"/>
      <c r="AB61" s="27"/>
      <c r="AC61" s="27"/>
      <c r="AD61" s="27"/>
      <c r="AE61" s="27"/>
      <c r="AF61" s="27"/>
      <c r="AG61" s="27"/>
      <c r="AH61" s="27">
        <f>IF(AND(V61=1,Control_Achizitii!$J61="DOSAR COMPLET",Control_Achizitii!$K61&lt;&gt;""),1,0)</f>
        <v>0</v>
      </c>
    </row>
    <row r="62" spans="1:34">
      <c r="A62" s="27"/>
      <c r="B62" s="27"/>
      <c r="C62" s="27"/>
      <c r="D62" s="27"/>
      <c r="E62" s="27"/>
      <c r="F62" s="27"/>
      <c r="G62" s="27"/>
      <c r="H62" s="27"/>
      <c r="I62" s="27"/>
      <c r="J62" s="27"/>
      <c r="K62" s="27"/>
      <c r="L62" s="27"/>
      <c r="M62" s="27"/>
      <c r="N62" s="27"/>
      <c r="O62" s="27"/>
      <c r="P62" s="27"/>
      <c r="Q62" s="27"/>
      <c r="R62" s="27"/>
      <c r="S62" s="27"/>
      <c r="T62" s="27">
        <f>IF(LEFT(Control_Achizitii!$E62,4)="Fact",1,0)</f>
        <v>0</v>
      </c>
      <c r="U62" s="27">
        <f>IF(Control_Achizitii!$C62="",0,IF(ISNUMBER(Control_Achizitii!$B62),0,1))</f>
        <v>0</v>
      </c>
      <c r="V62" s="27">
        <f>IF(Control_Achizitii!$C62="",0,IF($Z$2&lt;&gt;"OK",0,IF(AND(ISNUMBER(Control_Achizitii!$B62),Control_Achizitii!$B62&gt;=$E$5,Control_Achizitii!$B62&lt;$J$5+1,OR($O$5="Toate proiectele",Control_Achizitii!$Q62=$O$5)),1,0)))</f>
        <v>0</v>
      </c>
      <c r="W62" s="27">
        <f>IF(AND(V62=1,OR(Control_Achizitii!$J62&lt;&gt;"DOSAR COMPLET",Control_Achizitii!$K62&lt;&gt;"")),ROW(),1000000000)</f>
        <v>1000000000</v>
      </c>
      <c r="X62" s="27">
        <f>IF(AND(V62=1,LEFT(Control_Achizitii!$E62,4)="Fact",NOT(ISNUMBER(Control_Achizitii!$P62))),1,0)</f>
        <v>0</v>
      </c>
      <c r="Y62" s="27">
        <f>IF(V62=0,0,IF(Control_Achizitii!$J62="DOSAR COMPLET",1,IF(LEFT(Control_Achizitii!$J62,9)="INCOMPLET",2,3)))</f>
        <v>0</v>
      </c>
      <c r="Z62" s="27"/>
      <c r="AA62" s="27"/>
      <c r="AB62" s="27"/>
      <c r="AC62" s="27"/>
      <c r="AD62" s="27"/>
      <c r="AE62" s="27"/>
      <c r="AF62" s="27"/>
      <c r="AG62" s="27"/>
      <c r="AH62" s="27">
        <f>IF(AND(V62=1,Control_Achizitii!$J62="DOSAR COMPLET",Control_Achizitii!$K62&lt;&gt;""),1,0)</f>
        <v>0</v>
      </c>
    </row>
    <row r="63" spans="1:34">
      <c r="A63" s="27"/>
      <c r="B63" s="27"/>
      <c r="C63" s="27"/>
      <c r="D63" s="27"/>
      <c r="E63" s="27"/>
      <c r="F63" s="27"/>
      <c r="G63" s="27"/>
      <c r="H63" s="27"/>
      <c r="I63" s="27"/>
      <c r="J63" s="27"/>
      <c r="K63" s="27"/>
      <c r="L63" s="27"/>
      <c r="M63" s="27"/>
      <c r="N63" s="27"/>
      <c r="O63" s="27"/>
      <c r="P63" s="27"/>
      <c r="Q63" s="27"/>
      <c r="R63" s="27"/>
      <c r="S63" s="27"/>
      <c r="T63" s="27">
        <f>IF(LEFT(Control_Achizitii!$E63,4)="Fact",1,0)</f>
        <v>0</v>
      </c>
      <c r="U63" s="27">
        <f>IF(Control_Achizitii!$C63="",0,IF(ISNUMBER(Control_Achizitii!$B63),0,1))</f>
        <v>0</v>
      </c>
      <c r="V63" s="27">
        <f>IF(Control_Achizitii!$C63="",0,IF($Z$2&lt;&gt;"OK",0,IF(AND(ISNUMBER(Control_Achizitii!$B63),Control_Achizitii!$B63&gt;=$E$5,Control_Achizitii!$B63&lt;$J$5+1,OR($O$5="Toate proiectele",Control_Achizitii!$Q63=$O$5)),1,0)))</f>
        <v>0</v>
      </c>
      <c r="W63" s="27">
        <f>IF(AND(V63=1,OR(Control_Achizitii!$J63&lt;&gt;"DOSAR COMPLET",Control_Achizitii!$K63&lt;&gt;"")),ROW(),1000000000)</f>
        <v>1000000000</v>
      </c>
      <c r="X63" s="27">
        <f>IF(AND(V63=1,LEFT(Control_Achizitii!$E63,4)="Fact",NOT(ISNUMBER(Control_Achizitii!$P63))),1,0)</f>
        <v>0</v>
      </c>
      <c r="Y63" s="27">
        <f>IF(V63=0,0,IF(Control_Achizitii!$J63="DOSAR COMPLET",1,IF(LEFT(Control_Achizitii!$J63,9)="INCOMPLET",2,3)))</f>
        <v>0</v>
      </c>
      <c r="Z63" s="27"/>
      <c r="AA63" s="27"/>
      <c r="AB63" s="27"/>
      <c r="AC63" s="27"/>
      <c r="AD63" s="27"/>
      <c r="AE63" s="27"/>
      <c r="AF63" s="27"/>
      <c r="AG63" s="27"/>
      <c r="AH63" s="27">
        <f>IF(AND(V63=1,Control_Achizitii!$J63="DOSAR COMPLET",Control_Achizitii!$K63&lt;&gt;""),1,0)</f>
        <v>0</v>
      </c>
    </row>
    <row r="64" spans="1:34">
      <c r="A64" s="27"/>
      <c r="B64" s="27"/>
      <c r="C64" s="27"/>
      <c r="D64" s="27"/>
      <c r="E64" s="27"/>
      <c r="F64" s="27"/>
      <c r="G64" s="27"/>
      <c r="H64" s="27"/>
      <c r="I64" s="27"/>
      <c r="J64" s="27"/>
      <c r="K64" s="27"/>
      <c r="L64" s="27"/>
      <c r="M64" s="27"/>
      <c r="N64" s="27"/>
      <c r="O64" s="27"/>
      <c r="P64" s="27"/>
      <c r="Q64" s="27"/>
      <c r="R64" s="27"/>
      <c r="S64" s="27"/>
      <c r="T64" s="27">
        <f>IF(LEFT(Control_Achizitii!$E64,4)="Fact",1,0)</f>
        <v>0</v>
      </c>
      <c r="U64" s="27">
        <f>IF(Control_Achizitii!$C64="",0,IF(ISNUMBER(Control_Achizitii!$B64),0,1))</f>
        <v>0</v>
      </c>
      <c r="V64" s="27">
        <f>IF(Control_Achizitii!$C64="",0,IF($Z$2&lt;&gt;"OK",0,IF(AND(ISNUMBER(Control_Achizitii!$B64),Control_Achizitii!$B64&gt;=$E$5,Control_Achizitii!$B64&lt;$J$5+1,OR($O$5="Toate proiectele",Control_Achizitii!$Q64=$O$5)),1,0)))</f>
        <v>0</v>
      </c>
      <c r="W64" s="27">
        <f>IF(AND(V64=1,OR(Control_Achizitii!$J64&lt;&gt;"DOSAR COMPLET",Control_Achizitii!$K64&lt;&gt;"")),ROW(),1000000000)</f>
        <v>1000000000</v>
      </c>
      <c r="X64" s="27">
        <f>IF(AND(V64=1,LEFT(Control_Achizitii!$E64,4)="Fact",NOT(ISNUMBER(Control_Achizitii!$P64))),1,0)</f>
        <v>0</v>
      </c>
      <c r="Y64" s="27">
        <f>IF(V64=0,0,IF(Control_Achizitii!$J64="DOSAR COMPLET",1,IF(LEFT(Control_Achizitii!$J64,9)="INCOMPLET",2,3)))</f>
        <v>0</v>
      </c>
      <c r="Z64" s="27"/>
      <c r="AA64" s="27"/>
      <c r="AB64" s="27"/>
      <c r="AC64" s="27"/>
      <c r="AD64" s="27"/>
      <c r="AE64" s="27"/>
      <c r="AF64" s="27"/>
      <c r="AG64" s="27"/>
      <c r="AH64" s="27">
        <f>IF(AND(V64=1,Control_Achizitii!$J64="DOSAR COMPLET",Control_Achizitii!$K64&lt;&gt;""),1,0)</f>
        <v>0</v>
      </c>
    </row>
    <row r="65" spans="1:34">
      <c r="A65" s="27"/>
      <c r="B65" s="27"/>
      <c r="C65" s="27"/>
      <c r="D65" s="27"/>
      <c r="E65" s="27"/>
      <c r="F65" s="27"/>
      <c r="G65" s="27"/>
      <c r="H65" s="27"/>
      <c r="I65" s="27"/>
      <c r="J65" s="27"/>
      <c r="K65" s="27"/>
      <c r="L65" s="27"/>
      <c r="M65" s="27"/>
      <c r="N65" s="27"/>
      <c r="O65" s="27"/>
      <c r="P65" s="27"/>
      <c r="Q65" s="27"/>
      <c r="R65" s="27"/>
      <c r="S65" s="27"/>
      <c r="T65" s="27">
        <f>IF(LEFT(Control_Achizitii!$E65,4)="Fact",1,0)</f>
        <v>0</v>
      </c>
      <c r="U65" s="27">
        <f>IF(Control_Achizitii!$C65="",0,IF(ISNUMBER(Control_Achizitii!$B65),0,1))</f>
        <v>0</v>
      </c>
      <c r="V65" s="27">
        <f>IF(Control_Achizitii!$C65="",0,IF($Z$2&lt;&gt;"OK",0,IF(AND(ISNUMBER(Control_Achizitii!$B65),Control_Achizitii!$B65&gt;=$E$5,Control_Achizitii!$B65&lt;$J$5+1,OR($O$5="Toate proiectele",Control_Achizitii!$Q65=$O$5)),1,0)))</f>
        <v>0</v>
      </c>
      <c r="W65" s="27">
        <f>IF(AND(V65=1,OR(Control_Achizitii!$J65&lt;&gt;"DOSAR COMPLET",Control_Achizitii!$K65&lt;&gt;"")),ROW(),1000000000)</f>
        <v>1000000000</v>
      </c>
      <c r="X65" s="27">
        <f>IF(AND(V65=1,LEFT(Control_Achizitii!$E65,4)="Fact",NOT(ISNUMBER(Control_Achizitii!$P65))),1,0)</f>
        <v>0</v>
      </c>
      <c r="Y65" s="27">
        <f>IF(V65=0,0,IF(Control_Achizitii!$J65="DOSAR COMPLET",1,IF(LEFT(Control_Achizitii!$J65,9)="INCOMPLET",2,3)))</f>
        <v>0</v>
      </c>
      <c r="Z65" s="27"/>
      <c r="AA65" s="27"/>
      <c r="AB65" s="27"/>
      <c r="AC65" s="27"/>
      <c r="AD65" s="27"/>
      <c r="AE65" s="27"/>
      <c r="AF65" s="27"/>
      <c r="AG65" s="27"/>
      <c r="AH65" s="27">
        <f>IF(AND(V65=1,Control_Achizitii!$J65="DOSAR COMPLET",Control_Achizitii!$K65&lt;&gt;""),1,0)</f>
        <v>0</v>
      </c>
    </row>
    <row r="66" spans="1:34">
      <c r="A66" s="27"/>
      <c r="B66" s="27"/>
      <c r="C66" s="27"/>
      <c r="D66" s="27"/>
      <c r="E66" s="27"/>
      <c r="F66" s="27"/>
      <c r="G66" s="27"/>
      <c r="H66" s="27"/>
      <c r="I66" s="27"/>
      <c r="J66" s="27"/>
      <c r="K66" s="27"/>
      <c r="L66" s="27"/>
      <c r="M66" s="27"/>
      <c r="N66" s="27"/>
      <c r="O66" s="27"/>
      <c r="P66" s="27"/>
      <c r="Q66" s="27"/>
      <c r="R66" s="27"/>
      <c r="S66" s="27"/>
      <c r="T66" s="27">
        <f>IF(LEFT(Control_Achizitii!$E66,4)="Fact",1,0)</f>
        <v>0</v>
      </c>
      <c r="U66" s="27">
        <f>IF(Control_Achizitii!$C66="",0,IF(ISNUMBER(Control_Achizitii!$B66),0,1))</f>
        <v>0</v>
      </c>
      <c r="V66" s="27">
        <f>IF(Control_Achizitii!$C66="",0,IF($Z$2&lt;&gt;"OK",0,IF(AND(ISNUMBER(Control_Achizitii!$B66),Control_Achizitii!$B66&gt;=$E$5,Control_Achizitii!$B66&lt;$J$5+1,OR($O$5="Toate proiectele",Control_Achizitii!$Q66=$O$5)),1,0)))</f>
        <v>0</v>
      </c>
      <c r="W66" s="27">
        <f>IF(AND(V66=1,OR(Control_Achizitii!$J66&lt;&gt;"DOSAR COMPLET",Control_Achizitii!$K66&lt;&gt;"")),ROW(),1000000000)</f>
        <v>1000000000</v>
      </c>
      <c r="X66" s="27">
        <f>IF(AND(V66=1,LEFT(Control_Achizitii!$E66,4)="Fact",NOT(ISNUMBER(Control_Achizitii!$P66))),1,0)</f>
        <v>0</v>
      </c>
      <c r="Y66" s="27">
        <f>IF(V66=0,0,IF(Control_Achizitii!$J66="DOSAR COMPLET",1,IF(LEFT(Control_Achizitii!$J66,9)="INCOMPLET",2,3)))</f>
        <v>0</v>
      </c>
      <c r="Z66" s="27"/>
      <c r="AA66" s="27"/>
      <c r="AB66" s="27"/>
      <c r="AC66" s="27"/>
      <c r="AD66" s="27"/>
      <c r="AE66" s="27"/>
      <c r="AF66" s="27"/>
      <c r="AG66" s="27"/>
      <c r="AH66" s="27">
        <f>IF(AND(V66=1,Control_Achizitii!$J66="DOSAR COMPLET",Control_Achizitii!$K66&lt;&gt;""),1,0)</f>
        <v>0</v>
      </c>
    </row>
    <row r="67" spans="1:34">
      <c r="A67" s="27"/>
      <c r="B67" s="27"/>
      <c r="C67" s="27"/>
      <c r="D67" s="27"/>
      <c r="E67" s="27"/>
      <c r="F67" s="27"/>
      <c r="G67" s="27"/>
      <c r="H67" s="27"/>
      <c r="I67" s="27"/>
      <c r="J67" s="27"/>
      <c r="K67" s="27"/>
      <c r="L67" s="27"/>
      <c r="M67" s="27"/>
      <c r="N67" s="27"/>
      <c r="O67" s="27"/>
      <c r="P67" s="27"/>
      <c r="Q67" s="27"/>
      <c r="R67" s="27"/>
      <c r="S67" s="27"/>
      <c r="T67" s="27">
        <f>IF(LEFT(Control_Achizitii!$E67,4)="Fact",1,0)</f>
        <v>0</v>
      </c>
      <c r="U67" s="27">
        <f>IF(Control_Achizitii!$C67="",0,IF(ISNUMBER(Control_Achizitii!$B67),0,1))</f>
        <v>0</v>
      </c>
      <c r="V67" s="27">
        <f>IF(Control_Achizitii!$C67="",0,IF($Z$2&lt;&gt;"OK",0,IF(AND(ISNUMBER(Control_Achizitii!$B67),Control_Achizitii!$B67&gt;=$E$5,Control_Achizitii!$B67&lt;$J$5+1,OR($O$5="Toate proiectele",Control_Achizitii!$Q67=$O$5)),1,0)))</f>
        <v>0</v>
      </c>
      <c r="W67" s="27">
        <f>IF(AND(V67=1,OR(Control_Achizitii!$J67&lt;&gt;"DOSAR COMPLET",Control_Achizitii!$K67&lt;&gt;"")),ROW(),1000000000)</f>
        <v>1000000000</v>
      </c>
      <c r="X67" s="27">
        <f>IF(AND(V67=1,LEFT(Control_Achizitii!$E67,4)="Fact",NOT(ISNUMBER(Control_Achizitii!$P67))),1,0)</f>
        <v>0</v>
      </c>
      <c r="Y67" s="27">
        <f>IF(V67=0,0,IF(Control_Achizitii!$J67="DOSAR COMPLET",1,IF(LEFT(Control_Achizitii!$J67,9)="INCOMPLET",2,3)))</f>
        <v>0</v>
      </c>
      <c r="Z67" s="27"/>
      <c r="AA67" s="27"/>
      <c r="AB67" s="27"/>
      <c r="AC67" s="27"/>
      <c r="AD67" s="27"/>
      <c r="AE67" s="27"/>
      <c r="AF67" s="27"/>
      <c r="AG67" s="27"/>
      <c r="AH67" s="27">
        <f>IF(AND(V67=1,Control_Achizitii!$J67="DOSAR COMPLET",Control_Achizitii!$K67&lt;&gt;""),1,0)</f>
        <v>0</v>
      </c>
    </row>
    <row r="68" spans="1:34">
      <c r="A68" s="27"/>
      <c r="B68" s="27"/>
      <c r="C68" s="27"/>
      <c r="D68" s="27"/>
      <c r="E68" s="27"/>
      <c r="F68" s="27"/>
      <c r="G68" s="27"/>
      <c r="H68" s="27"/>
      <c r="I68" s="27"/>
      <c r="J68" s="27"/>
      <c r="K68" s="27"/>
      <c r="L68" s="27"/>
      <c r="M68" s="27"/>
      <c r="N68" s="27"/>
      <c r="O68" s="27"/>
      <c r="P68" s="27"/>
      <c r="Q68" s="27"/>
      <c r="R68" s="27"/>
      <c r="S68" s="27"/>
      <c r="T68" s="27">
        <f>IF(LEFT(Control_Achizitii!$E68,4)="Fact",1,0)</f>
        <v>0</v>
      </c>
      <c r="U68" s="27">
        <f>IF(Control_Achizitii!$C68="",0,IF(ISNUMBER(Control_Achizitii!$B68),0,1))</f>
        <v>0</v>
      </c>
      <c r="V68" s="27">
        <f>IF(Control_Achizitii!$C68="",0,IF($Z$2&lt;&gt;"OK",0,IF(AND(ISNUMBER(Control_Achizitii!$B68),Control_Achizitii!$B68&gt;=$E$5,Control_Achizitii!$B68&lt;$J$5+1,OR($O$5="Toate proiectele",Control_Achizitii!$Q68=$O$5)),1,0)))</f>
        <v>0</v>
      </c>
      <c r="W68" s="27">
        <f>IF(AND(V68=1,OR(Control_Achizitii!$J68&lt;&gt;"DOSAR COMPLET",Control_Achizitii!$K68&lt;&gt;"")),ROW(),1000000000)</f>
        <v>1000000000</v>
      </c>
      <c r="X68" s="27">
        <f>IF(AND(V68=1,LEFT(Control_Achizitii!$E68,4)="Fact",NOT(ISNUMBER(Control_Achizitii!$P68))),1,0)</f>
        <v>0</v>
      </c>
      <c r="Y68" s="27">
        <f>IF(V68=0,0,IF(Control_Achizitii!$J68="DOSAR COMPLET",1,IF(LEFT(Control_Achizitii!$J68,9)="INCOMPLET",2,3)))</f>
        <v>0</v>
      </c>
      <c r="Z68" s="27"/>
      <c r="AA68" s="27"/>
      <c r="AB68" s="27"/>
      <c r="AC68" s="27"/>
      <c r="AD68" s="27"/>
      <c r="AE68" s="27"/>
      <c r="AF68" s="27"/>
      <c r="AG68" s="27"/>
      <c r="AH68" s="27">
        <f>IF(AND(V68=1,Control_Achizitii!$J68="DOSAR COMPLET",Control_Achizitii!$K68&lt;&gt;""),1,0)</f>
        <v>0</v>
      </c>
    </row>
    <row r="69" spans="1:34">
      <c r="A69" s="27"/>
      <c r="B69" s="27"/>
      <c r="C69" s="27"/>
      <c r="D69" s="27"/>
      <c r="E69" s="27"/>
      <c r="F69" s="27"/>
      <c r="G69" s="27"/>
      <c r="H69" s="27"/>
      <c r="I69" s="27"/>
      <c r="J69" s="27"/>
      <c r="K69" s="27"/>
      <c r="L69" s="27"/>
      <c r="M69" s="27"/>
      <c r="N69" s="27"/>
      <c r="O69" s="27"/>
      <c r="P69" s="27"/>
      <c r="Q69" s="27"/>
      <c r="R69" s="27"/>
      <c r="S69" s="27"/>
      <c r="T69" s="27">
        <f>IF(LEFT(Control_Achizitii!$E69,4)="Fact",1,0)</f>
        <v>0</v>
      </c>
      <c r="U69" s="27">
        <f>IF(Control_Achizitii!$C69="",0,IF(ISNUMBER(Control_Achizitii!$B69),0,1))</f>
        <v>0</v>
      </c>
      <c r="V69" s="27">
        <f>IF(Control_Achizitii!$C69="",0,IF($Z$2&lt;&gt;"OK",0,IF(AND(ISNUMBER(Control_Achizitii!$B69),Control_Achizitii!$B69&gt;=$E$5,Control_Achizitii!$B69&lt;$J$5+1,OR($O$5="Toate proiectele",Control_Achizitii!$Q69=$O$5)),1,0)))</f>
        <v>0</v>
      </c>
      <c r="W69" s="27">
        <f>IF(AND(V69=1,OR(Control_Achizitii!$J69&lt;&gt;"DOSAR COMPLET",Control_Achizitii!$K69&lt;&gt;"")),ROW(),1000000000)</f>
        <v>1000000000</v>
      </c>
      <c r="X69" s="27">
        <f>IF(AND(V69=1,LEFT(Control_Achizitii!$E69,4)="Fact",NOT(ISNUMBER(Control_Achizitii!$P69))),1,0)</f>
        <v>0</v>
      </c>
      <c r="Y69" s="27">
        <f>IF(V69=0,0,IF(Control_Achizitii!$J69="DOSAR COMPLET",1,IF(LEFT(Control_Achizitii!$J69,9)="INCOMPLET",2,3)))</f>
        <v>0</v>
      </c>
      <c r="Z69" s="27"/>
      <c r="AA69" s="27"/>
      <c r="AB69" s="27"/>
      <c r="AC69" s="27"/>
      <c r="AD69" s="27"/>
      <c r="AE69" s="27"/>
      <c r="AF69" s="27"/>
      <c r="AG69" s="27"/>
      <c r="AH69" s="27">
        <f>IF(AND(V69=1,Control_Achizitii!$J69="DOSAR COMPLET",Control_Achizitii!$K69&lt;&gt;""),1,0)</f>
        <v>0</v>
      </c>
    </row>
    <row r="70" spans="1:34">
      <c r="A70" s="27"/>
      <c r="B70" s="27"/>
      <c r="C70" s="27"/>
      <c r="D70" s="27"/>
      <c r="E70" s="27"/>
      <c r="F70" s="27"/>
      <c r="G70" s="27"/>
      <c r="H70" s="27"/>
      <c r="I70" s="27"/>
      <c r="J70" s="27"/>
      <c r="K70" s="27"/>
      <c r="L70" s="27"/>
      <c r="M70" s="27"/>
      <c r="N70" s="27"/>
      <c r="O70" s="27"/>
      <c r="P70" s="27"/>
      <c r="Q70" s="27"/>
      <c r="R70" s="27"/>
      <c r="S70" s="27"/>
      <c r="T70" s="27">
        <f>IF(LEFT(Control_Achizitii!$E70,4)="Fact",1,0)</f>
        <v>0</v>
      </c>
      <c r="U70" s="27">
        <f>IF(Control_Achizitii!$C70="",0,IF(ISNUMBER(Control_Achizitii!$B70),0,1))</f>
        <v>0</v>
      </c>
      <c r="V70" s="27">
        <f>IF(Control_Achizitii!$C70="",0,IF($Z$2&lt;&gt;"OK",0,IF(AND(ISNUMBER(Control_Achizitii!$B70),Control_Achizitii!$B70&gt;=$E$5,Control_Achizitii!$B70&lt;$J$5+1,OR($O$5="Toate proiectele",Control_Achizitii!$Q70=$O$5)),1,0)))</f>
        <v>0</v>
      </c>
      <c r="W70" s="27">
        <f>IF(AND(V70=1,OR(Control_Achizitii!$J70&lt;&gt;"DOSAR COMPLET",Control_Achizitii!$K70&lt;&gt;"")),ROW(),1000000000)</f>
        <v>1000000000</v>
      </c>
      <c r="X70" s="27">
        <f>IF(AND(V70=1,LEFT(Control_Achizitii!$E70,4)="Fact",NOT(ISNUMBER(Control_Achizitii!$P70))),1,0)</f>
        <v>0</v>
      </c>
      <c r="Y70" s="27">
        <f>IF(V70=0,0,IF(Control_Achizitii!$J70="DOSAR COMPLET",1,IF(LEFT(Control_Achizitii!$J70,9)="INCOMPLET",2,3)))</f>
        <v>0</v>
      </c>
      <c r="Z70" s="27"/>
      <c r="AA70" s="27"/>
      <c r="AB70" s="27"/>
      <c r="AC70" s="27"/>
      <c r="AD70" s="27"/>
      <c r="AE70" s="27"/>
      <c r="AF70" s="27"/>
      <c r="AG70" s="27"/>
      <c r="AH70" s="27">
        <f>IF(AND(V70=1,Control_Achizitii!$J70="DOSAR COMPLET",Control_Achizitii!$K70&lt;&gt;""),1,0)</f>
        <v>0</v>
      </c>
    </row>
    <row r="71" spans="1:34">
      <c r="A71" s="27"/>
      <c r="B71" s="27"/>
      <c r="C71" s="27"/>
      <c r="D71" s="27"/>
      <c r="E71" s="27"/>
      <c r="F71" s="27"/>
      <c r="G71" s="27"/>
      <c r="H71" s="27"/>
      <c r="I71" s="27"/>
      <c r="J71" s="27"/>
      <c r="K71" s="27"/>
      <c r="L71" s="27"/>
      <c r="M71" s="27"/>
      <c r="N71" s="27"/>
      <c r="O71" s="27"/>
      <c r="P71" s="27"/>
      <c r="Q71" s="27"/>
      <c r="R71" s="27"/>
      <c r="S71" s="27"/>
      <c r="T71" s="27">
        <f>IF(LEFT(Control_Achizitii!$E71,4)="Fact",1,0)</f>
        <v>0</v>
      </c>
      <c r="U71" s="27">
        <f>IF(Control_Achizitii!$C71="",0,IF(ISNUMBER(Control_Achizitii!$B71),0,1))</f>
        <v>0</v>
      </c>
      <c r="V71" s="27">
        <f>IF(Control_Achizitii!$C71="",0,IF($Z$2&lt;&gt;"OK",0,IF(AND(ISNUMBER(Control_Achizitii!$B71),Control_Achizitii!$B71&gt;=$E$5,Control_Achizitii!$B71&lt;$J$5+1,OR($O$5="Toate proiectele",Control_Achizitii!$Q71=$O$5)),1,0)))</f>
        <v>0</v>
      </c>
      <c r="W71" s="27">
        <f>IF(AND(V71=1,OR(Control_Achizitii!$J71&lt;&gt;"DOSAR COMPLET",Control_Achizitii!$K71&lt;&gt;"")),ROW(),1000000000)</f>
        <v>1000000000</v>
      </c>
      <c r="X71" s="27">
        <f>IF(AND(V71=1,LEFT(Control_Achizitii!$E71,4)="Fact",NOT(ISNUMBER(Control_Achizitii!$P71))),1,0)</f>
        <v>0</v>
      </c>
      <c r="Y71" s="27">
        <f>IF(V71=0,0,IF(Control_Achizitii!$J71="DOSAR COMPLET",1,IF(LEFT(Control_Achizitii!$J71,9)="INCOMPLET",2,3)))</f>
        <v>0</v>
      </c>
      <c r="Z71" s="27"/>
      <c r="AA71" s="27"/>
      <c r="AB71" s="27"/>
      <c r="AC71" s="27"/>
      <c r="AD71" s="27"/>
      <c r="AE71" s="27"/>
      <c r="AF71" s="27"/>
      <c r="AG71" s="27"/>
      <c r="AH71" s="27">
        <f>IF(AND(V71=1,Control_Achizitii!$J71="DOSAR COMPLET",Control_Achizitii!$K71&lt;&gt;""),1,0)</f>
        <v>0</v>
      </c>
    </row>
    <row r="72" spans="1:34">
      <c r="A72" s="27"/>
      <c r="B72" s="27"/>
      <c r="C72" s="27"/>
      <c r="D72" s="27"/>
      <c r="E72" s="27"/>
      <c r="F72" s="27"/>
      <c r="G72" s="27"/>
      <c r="H72" s="27"/>
      <c r="I72" s="27"/>
      <c r="J72" s="27"/>
      <c r="K72" s="27"/>
      <c r="L72" s="27"/>
      <c r="M72" s="27"/>
      <c r="N72" s="27"/>
      <c r="O72" s="27"/>
      <c r="P72" s="27"/>
      <c r="Q72" s="27"/>
      <c r="R72" s="27"/>
      <c r="S72" s="27"/>
      <c r="T72" s="27">
        <f>IF(LEFT(Control_Achizitii!$E72,4)="Fact",1,0)</f>
        <v>0</v>
      </c>
      <c r="U72" s="27">
        <f>IF(Control_Achizitii!$C72="",0,IF(ISNUMBER(Control_Achizitii!$B72),0,1))</f>
        <v>0</v>
      </c>
      <c r="V72" s="27">
        <f>IF(Control_Achizitii!$C72="",0,IF($Z$2&lt;&gt;"OK",0,IF(AND(ISNUMBER(Control_Achizitii!$B72),Control_Achizitii!$B72&gt;=$E$5,Control_Achizitii!$B72&lt;$J$5+1,OR($O$5="Toate proiectele",Control_Achizitii!$Q72=$O$5)),1,0)))</f>
        <v>0</v>
      </c>
      <c r="W72" s="27">
        <f>IF(AND(V72=1,OR(Control_Achizitii!$J72&lt;&gt;"DOSAR COMPLET",Control_Achizitii!$K72&lt;&gt;"")),ROW(),1000000000)</f>
        <v>1000000000</v>
      </c>
      <c r="X72" s="27">
        <f>IF(AND(V72=1,LEFT(Control_Achizitii!$E72,4)="Fact",NOT(ISNUMBER(Control_Achizitii!$P72))),1,0)</f>
        <v>0</v>
      </c>
      <c r="Y72" s="27">
        <f>IF(V72=0,0,IF(Control_Achizitii!$J72="DOSAR COMPLET",1,IF(LEFT(Control_Achizitii!$J72,9)="INCOMPLET",2,3)))</f>
        <v>0</v>
      </c>
      <c r="Z72" s="27"/>
      <c r="AA72" s="27"/>
      <c r="AB72" s="27"/>
      <c r="AC72" s="27"/>
      <c r="AD72" s="27"/>
      <c r="AE72" s="27"/>
      <c r="AF72" s="27"/>
      <c r="AG72" s="27"/>
      <c r="AH72" s="27">
        <f>IF(AND(V72=1,Control_Achizitii!$J72="DOSAR COMPLET",Control_Achizitii!$K72&lt;&gt;""),1,0)</f>
        <v>0</v>
      </c>
    </row>
    <row r="73" spans="1:34">
      <c r="A73" s="27"/>
      <c r="B73" s="27"/>
      <c r="C73" s="27"/>
      <c r="D73" s="27"/>
      <c r="E73" s="27"/>
      <c r="F73" s="27"/>
      <c r="G73" s="27"/>
      <c r="H73" s="27"/>
      <c r="I73" s="27"/>
      <c r="J73" s="27"/>
      <c r="K73" s="27"/>
      <c r="L73" s="27"/>
      <c r="M73" s="27"/>
      <c r="N73" s="27"/>
      <c r="O73" s="27"/>
      <c r="P73" s="27"/>
      <c r="Q73" s="27"/>
      <c r="R73" s="27"/>
      <c r="S73" s="27"/>
      <c r="T73" s="27">
        <f>IF(LEFT(Control_Achizitii!$E73,4)="Fact",1,0)</f>
        <v>0</v>
      </c>
      <c r="U73" s="27">
        <f>IF(Control_Achizitii!$C73="",0,IF(ISNUMBER(Control_Achizitii!$B73),0,1))</f>
        <v>0</v>
      </c>
      <c r="V73" s="27">
        <f>IF(Control_Achizitii!$C73="",0,IF($Z$2&lt;&gt;"OK",0,IF(AND(ISNUMBER(Control_Achizitii!$B73),Control_Achizitii!$B73&gt;=$E$5,Control_Achizitii!$B73&lt;$J$5+1,OR($O$5="Toate proiectele",Control_Achizitii!$Q73=$O$5)),1,0)))</f>
        <v>0</v>
      </c>
      <c r="W73" s="27">
        <f>IF(AND(V73=1,OR(Control_Achizitii!$J73&lt;&gt;"DOSAR COMPLET",Control_Achizitii!$K73&lt;&gt;"")),ROW(),1000000000)</f>
        <v>1000000000</v>
      </c>
      <c r="X73" s="27">
        <f>IF(AND(V73=1,LEFT(Control_Achizitii!$E73,4)="Fact",NOT(ISNUMBER(Control_Achizitii!$P73))),1,0)</f>
        <v>0</v>
      </c>
      <c r="Y73" s="27">
        <f>IF(V73=0,0,IF(Control_Achizitii!$J73="DOSAR COMPLET",1,IF(LEFT(Control_Achizitii!$J73,9)="INCOMPLET",2,3)))</f>
        <v>0</v>
      </c>
      <c r="Z73" s="27"/>
      <c r="AA73" s="27"/>
      <c r="AB73" s="27"/>
      <c r="AC73" s="27"/>
      <c r="AD73" s="27"/>
      <c r="AE73" s="27"/>
      <c r="AF73" s="27"/>
      <c r="AG73" s="27"/>
      <c r="AH73" s="27">
        <f>IF(AND(V73=1,Control_Achizitii!$J73="DOSAR COMPLET",Control_Achizitii!$K73&lt;&gt;""),1,0)</f>
        <v>0</v>
      </c>
    </row>
    <row r="74" spans="1:34">
      <c r="A74" s="27"/>
      <c r="B74" s="27"/>
      <c r="C74" s="27"/>
      <c r="D74" s="27"/>
      <c r="E74" s="27"/>
      <c r="F74" s="27"/>
      <c r="G74" s="27"/>
      <c r="H74" s="27"/>
      <c r="I74" s="27"/>
      <c r="J74" s="27"/>
      <c r="K74" s="27"/>
      <c r="L74" s="27"/>
      <c r="M74" s="27"/>
      <c r="N74" s="27"/>
      <c r="O74" s="27"/>
      <c r="P74" s="27"/>
      <c r="Q74" s="27"/>
      <c r="R74" s="27"/>
      <c r="S74" s="27"/>
      <c r="T74" s="27">
        <f>IF(LEFT(Control_Achizitii!$E74,4)="Fact",1,0)</f>
        <v>0</v>
      </c>
      <c r="U74" s="27">
        <f>IF(Control_Achizitii!$C74="",0,IF(ISNUMBER(Control_Achizitii!$B74),0,1))</f>
        <v>0</v>
      </c>
      <c r="V74" s="27">
        <f>IF(Control_Achizitii!$C74="",0,IF($Z$2&lt;&gt;"OK",0,IF(AND(ISNUMBER(Control_Achizitii!$B74),Control_Achizitii!$B74&gt;=$E$5,Control_Achizitii!$B74&lt;$J$5+1,OR($O$5="Toate proiectele",Control_Achizitii!$Q74=$O$5)),1,0)))</f>
        <v>0</v>
      </c>
      <c r="W74" s="27">
        <f>IF(AND(V74=1,OR(Control_Achizitii!$J74&lt;&gt;"DOSAR COMPLET",Control_Achizitii!$K74&lt;&gt;"")),ROW(),1000000000)</f>
        <v>1000000000</v>
      </c>
      <c r="X74" s="27">
        <f>IF(AND(V74=1,LEFT(Control_Achizitii!$E74,4)="Fact",NOT(ISNUMBER(Control_Achizitii!$P74))),1,0)</f>
        <v>0</v>
      </c>
      <c r="Y74" s="27">
        <f>IF(V74=0,0,IF(Control_Achizitii!$J74="DOSAR COMPLET",1,IF(LEFT(Control_Achizitii!$J74,9)="INCOMPLET",2,3)))</f>
        <v>0</v>
      </c>
      <c r="Z74" s="27"/>
      <c r="AA74" s="27"/>
      <c r="AB74" s="27"/>
      <c r="AC74" s="27"/>
      <c r="AD74" s="27"/>
      <c r="AE74" s="27"/>
      <c r="AF74" s="27"/>
      <c r="AG74" s="27"/>
      <c r="AH74" s="27">
        <f>IF(AND(V74=1,Control_Achizitii!$J74="DOSAR COMPLET",Control_Achizitii!$K74&lt;&gt;""),1,0)</f>
        <v>0</v>
      </c>
    </row>
    <row r="75" spans="1:34">
      <c r="A75" s="27"/>
      <c r="B75" s="27"/>
      <c r="C75" s="27"/>
      <c r="D75" s="27"/>
      <c r="E75" s="27"/>
      <c r="F75" s="27"/>
      <c r="G75" s="27"/>
      <c r="H75" s="27"/>
      <c r="I75" s="27"/>
      <c r="J75" s="27"/>
      <c r="K75" s="27"/>
      <c r="L75" s="27"/>
      <c r="M75" s="27"/>
      <c r="N75" s="27"/>
      <c r="O75" s="27"/>
      <c r="P75" s="27"/>
      <c r="Q75" s="27"/>
      <c r="R75" s="27"/>
      <c r="S75" s="27"/>
      <c r="T75" s="27">
        <f>IF(LEFT(Control_Achizitii!$E75,4)="Fact",1,0)</f>
        <v>0</v>
      </c>
      <c r="U75" s="27">
        <f>IF(Control_Achizitii!$C75="",0,IF(ISNUMBER(Control_Achizitii!$B75),0,1))</f>
        <v>0</v>
      </c>
      <c r="V75" s="27">
        <f>IF(Control_Achizitii!$C75="",0,IF($Z$2&lt;&gt;"OK",0,IF(AND(ISNUMBER(Control_Achizitii!$B75),Control_Achizitii!$B75&gt;=$E$5,Control_Achizitii!$B75&lt;$J$5+1,OR($O$5="Toate proiectele",Control_Achizitii!$Q75=$O$5)),1,0)))</f>
        <v>0</v>
      </c>
      <c r="W75" s="27">
        <f>IF(AND(V75=1,OR(Control_Achizitii!$J75&lt;&gt;"DOSAR COMPLET",Control_Achizitii!$K75&lt;&gt;"")),ROW(),1000000000)</f>
        <v>1000000000</v>
      </c>
      <c r="X75" s="27">
        <f>IF(AND(V75=1,LEFT(Control_Achizitii!$E75,4)="Fact",NOT(ISNUMBER(Control_Achizitii!$P75))),1,0)</f>
        <v>0</v>
      </c>
      <c r="Y75" s="27">
        <f>IF(V75=0,0,IF(Control_Achizitii!$J75="DOSAR COMPLET",1,IF(LEFT(Control_Achizitii!$J75,9)="INCOMPLET",2,3)))</f>
        <v>0</v>
      </c>
      <c r="Z75" s="27"/>
      <c r="AA75" s="27"/>
      <c r="AB75" s="27"/>
      <c r="AC75" s="27"/>
      <c r="AD75" s="27"/>
      <c r="AE75" s="27"/>
      <c r="AF75" s="27"/>
      <c r="AG75" s="27"/>
      <c r="AH75" s="27">
        <f>IF(AND(V75=1,Control_Achizitii!$J75="DOSAR COMPLET",Control_Achizitii!$K75&lt;&gt;""),1,0)</f>
        <v>0</v>
      </c>
    </row>
    <row r="76" spans="1:34">
      <c r="A76" s="27"/>
      <c r="B76" s="27"/>
      <c r="C76" s="27"/>
      <c r="D76" s="27"/>
      <c r="E76" s="27"/>
      <c r="F76" s="27"/>
      <c r="G76" s="27"/>
      <c r="H76" s="27"/>
      <c r="I76" s="27"/>
      <c r="J76" s="27"/>
      <c r="K76" s="27"/>
      <c r="L76" s="27"/>
      <c r="M76" s="27"/>
      <c r="N76" s="27"/>
      <c r="O76" s="27"/>
      <c r="P76" s="27"/>
      <c r="Q76" s="27"/>
      <c r="R76" s="27"/>
      <c r="S76" s="27"/>
      <c r="T76" s="27">
        <f>IF(LEFT(Control_Achizitii!$E76,4)="Fact",1,0)</f>
        <v>0</v>
      </c>
      <c r="U76" s="27">
        <f>IF(Control_Achizitii!$C76="",0,IF(ISNUMBER(Control_Achizitii!$B76),0,1))</f>
        <v>0</v>
      </c>
      <c r="V76" s="27">
        <f>IF(Control_Achizitii!$C76="",0,IF($Z$2&lt;&gt;"OK",0,IF(AND(ISNUMBER(Control_Achizitii!$B76),Control_Achizitii!$B76&gt;=$E$5,Control_Achizitii!$B76&lt;$J$5+1,OR($O$5="Toate proiectele",Control_Achizitii!$Q76=$O$5)),1,0)))</f>
        <v>0</v>
      </c>
      <c r="W76" s="27">
        <f>IF(AND(V76=1,OR(Control_Achizitii!$J76&lt;&gt;"DOSAR COMPLET",Control_Achizitii!$K76&lt;&gt;"")),ROW(),1000000000)</f>
        <v>1000000000</v>
      </c>
      <c r="X76" s="27">
        <f>IF(AND(V76=1,LEFT(Control_Achizitii!$E76,4)="Fact",NOT(ISNUMBER(Control_Achizitii!$P76))),1,0)</f>
        <v>0</v>
      </c>
      <c r="Y76" s="27">
        <f>IF(V76=0,0,IF(Control_Achizitii!$J76="DOSAR COMPLET",1,IF(LEFT(Control_Achizitii!$J76,9)="INCOMPLET",2,3)))</f>
        <v>0</v>
      </c>
      <c r="Z76" s="27"/>
      <c r="AA76" s="27"/>
      <c r="AB76" s="27"/>
      <c r="AC76" s="27"/>
      <c r="AD76" s="27"/>
      <c r="AE76" s="27"/>
      <c r="AF76" s="27"/>
      <c r="AG76" s="27"/>
      <c r="AH76" s="27">
        <f>IF(AND(V76=1,Control_Achizitii!$J76="DOSAR COMPLET",Control_Achizitii!$K76&lt;&gt;""),1,0)</f>
        <v>0</v>
      </c>
    </row>
    <row r="77" spans="1:34">
      <c r="A77" s="27"/>
      <c r="B77" s="27"/>
      <c r="C77" s="27"/>
      <c r="D77" s="27"/>
      <c r="E77" s="27"/>
      <c r="F77" s="27"/>
      <c r="G77" s="27"/>
      <c r="H77" s="27"/>
      <c r="I77" s="27"/>
      <c r="J77" s="27"/>
      <c r="K77" s="27"/>
      <c r="L77" s="27"/>
      <c r="M77" s="27"/>
      <c r="N77" s="27"/>
      <c r="O77" s="27"/>
      <c r="P77" s="27"/>
      <c r="Q77" s="27"/>
      <c r="R77" s="27"/>
      <c r="S77" s="27"/>
      <c r="T77" s="27">
        <f>IF(LEFT(Control_Achizitii!$E77,4)="Fact",1,0)</f>
        <v>0</v>
      </c>
      <c r="U77" s="27">
        <f>IF(Control_Achizitii!$C77="",0,IF(ISNUMBER(Control_Achizitii!$B77),0,1))</f>
        <v>0</v>
      </c>
      <c r="V77" s="27">
        <f>IF(Control_Achizitii!$C77="",0,IF($Z$2&lt;&gt;"OK",0,IF(AND(ISNUMBER(Control_Achizitii!$B77),Control_Achizitii!$B77&gt;=$E$5,Control_Achizitii!$B77&lt;$J$5+1,OR($O$5="Toate proiectele",Control_Achizitii!$Q77=$O$5)),1,0)))</f>
        <v>0</v>
      </c>
      <c r="W77" s="27">
        <f>IF(AND(V77=1,OR(Control_Achizitii!$J77&lt;&gt;"DOSAR COMPLET",Control_Achizitii!$K77&lt;&gt;"")),ROW(),1000000000)</f>
        <v>1000000000</v>
      </c>
      <c r="X77" s="27">
        <f>IF(AND(V77=1,LEFT(Control_Achizitii!$E77,4)="Fact",NOT(ISNUMBER(Control_Achizitii!$P77))),1,0)</f>
        <v>0</v>
      </c>
      <c r="Y77" s="27">
        <f>IF(V77=0,0,IF(Control_Achizitii!$J77="DOSAR COMPLET",1,IF(LEFT(Control_Achizitii!$J77,9)="INCOMPLET",2,3)))</f>
        <v>0</v>
      </c>
      <c r="Z77" s="27"/>
      <c r="AA77" s="27"/>
      <c r="AB77" s="27"/>
      <c r="AC77" s="27"/>
      <c r="AD77" s="27"/>
      <c r="AE77" s="27"/>
      <c r="AF77" s="27"/>
      <c r="AG77" s="27"/>
      <c r="AH77" s="27">
        <f>IF(AND(V77=1,Control_Achizitii!$J77="DOSAR COMPLET",Control_Achizitii!$K77&lt;&gt;""),1,0)</f>
        <v>0</v>
      </c>
    </row>
    <row r="78" spans="1:34">
      <c r="A78" s="27"/>
      <c r="B78" s="27"/>
      <c r="C78" s="27"/>
      <c r="D78" s="27"/>
      <c r="E78" s="27"/>
      <c r="F78" s="27"/>
      <c r="G78" s="27"/>
      <c r="H78" s="27"/>
      <c r="I78" s="27"/>
      <c r="J78" s="27"/>
      <c r="K78" s="27"/>
      <c r="L78" s="27"/>
      <c r="M78" s="27"/>
      <c r="N78" s="27"/>
      <c r="O78" s="27"/>
      <c r="P78" s="27"/>
      <c r="Q78" s="27"/>
      <c r="R78" s="27"/>
      <c r="S78" s="27"/>
      <c r="T78" s="27">
        <f>IF(LEFT(Control_Achizitii!$E78,4)="Fact",1,0)</f>
        <v>0</v>
      </c>
      <c r="U78" s="27">
        <f>IF(Control_Achizitii!$C78="",0,IF(ISNUMBER(Control_Achizitii!$B78),0,1))</f>
        <v>0</v>
      </c>
      <c r="V78" s="27">
        <f>IF(Control_Achizitii!$C78="",0,IF($Z$2&lt;&gt;"OK",0,IF(AND(ISNUMBER(Control_Achizitii!$B78),Control_Achizitii!$B78&gt;=$E$5,Control_Achizitii!$B78&lt;$J$5+1,OR($O$5="Toate proiectele",Control_Achizitii!$Q78=$O$5)),1,0)))</f>
        <v>0</v>
      </c>
      <c r="W78" s="27">
        <f>IF(AND(V78=1,OR(Control_Achizitii!$J78&lt;&gt;"DOSAR COMPLET",Control_Achizitii!$K78&lt;&gt;"")),ROW(),1000000000)</f>
        <v>1000000000</v>
      </c>
      <c r="X78" s="27">
        <f>IF(AND(V78=1,LEFT(Control_Achizitii!$E78,4)="Fact",NOT(ISNUMBER(Control_Achizitii!$P78))),1,0)</f>
        <v>0</v>
      </c>
      <c r="Y78" s="27">
        <f>IF(V78=0,0,IF(Control_Achizitii!$J78="DOSAR COMPLET",1,IF(LEFT(Control_Achizitii!$J78,9)="INCOMPLET",2,3)))</f>
        <v>0</v>
      </c>
      <c r="Z78" s="27"/>
      <c r="AA78" s="27"/>
      <c r="AB78" s="27"/>
      <c r="AC78" s="27"/>
      <c r="AD78" s="27"/>
      <c r="AE78" s="27"/>
      <c r="AF78" s="27"/>
      <c r="AG78" s="27"/>
      <c r="AH78" s="27">
        <f>IF(AND(V78=1,Control_Achizitii!$J78="DOSAR COMPLET",Control_Achizitii!$K78&lt;&gt;""),1,0)</f>
        <v>0</v>
      </c>
    </row>
    <row r="79" spans="1:34">
      <c r="A79" s="27"/>
      <c r="B79" s="27"/>
      <c r="C79" s="27"/>
      <c r="D79" s="27"/>
      <c r="E79" s="27"/>
      <c r="F79" s="27"/>
      <c r="G79" s="27"/>
      <c r="H79" s="27"/>
      <c r="I79" s="27"/>
      <c r="J79" s="27"/>
      <c r="K79" s="27"/>
      <c r="L79" s="27"/>
      <c r="M79" s="27"/>
      <c r="N79" s="27"/>
      <c r="O79" s="27"/>
      <c r="P79" s="27"/>
      <c r="Q79" s="27"/>
      <c r="R79" s="27"/>
      <c r="S79" s="27"/>
      <c r="T79" s="27">
        <f>IF(LEFT(Control_Achizitii!$E79,4)="Fact",1,0)</f>
        <v>0</v>
      </c>
      <c r="U79" s="27">
        <f>IF(Control_Achizitii!$C79="",0,IF(ISNUMBER(Control_Achizitii!$B79),0,1))</f>
        <v>0</v>
      </c>
      <c r="V79" s="27">
        <f>IF(Control_Achizitii!$C79="",0,IF($Z$2&lt;&gt;"OK",0,IF(AND(ISNUMBER(Control_Achizitii!$B79),Control_Achizitii!$B79&gt;=$E$5,Control_Achizitii!$B79&lt;$J$5+1,OR($O$5="Toate proiectele",Control_Achizitii!$Q79=$O$5)),1,0)))</f>
        <v>0</v>
      </c>
      <c r="W79" s="27">
        <f>IF(AND(V79=1,OR(Control_Achizitii!$J79&lt;&gt;"DOSAR COMPLET",Control_Achizitii!$K79&lt;&gt;"")),ROW(),1000000000)</f>
        <v>1000000000</v>
      </c>
      <c r="X79" s="27">
        <f>IF(AND(V79=1,LEFT(Control_Achizitii!$E79,4)="Fact",NOT(ISNUMBER(Control_Achizitii!$P79))),1,0)</f>
        <v>0</v>
      </c>
      <c r="Y79" s="27">
        <f>IF(V79=0,0,IF(Control_Achizitii!$J79="DOSAR COMPLET",1,IF(LEFT(Control_Achizitii!$J79,9)="INCOMPLET",2,3)))</f>
        <v>0</v>
      </c>
      <c r="Z79" s="27"/>
      <c r="AA79" s="27"/>
      <c r="AB79" s="27"/>
      <c r="AC79" s="27"/>
      <c r="AD79" s="27"/>
      <c r="AE79" s="27"/>
      <c r="AF79" s="27"/>
      <c r="AG79" s="27"/>
      <c r="AH79" s="27">
        <f>IF(AND(V79=1,Control_Achizitii!$J79="DOSAR COMPLET",Control_Achizitii!$K79&lt;&gt;""),1,0)</f>
        <v>0</v>
      </c>
    </row>
    <row r="80" spans="1:34">
      <c r="A80" s="27"/>
      <c r="B80" s="27"/>
      <c r="C80" s="27"/>
      <c r="D80" s="27"/>
      <c r="E80" s="27"/>
      <c r="F80" s="27"/>
      <c r="G80" s="27"/>
      <c r="H80" s="27"/>
      <c r="I80" s="27"/>
      <c r="J80" s="27"/>
      <c r="K80" s="27"/>
      <c r="L80" s="27"/>
      <c r="M80" s="27"/>
      <c r="N80" s="27"/>
      <c r="O80" s="27"/>
      <c r="P80" s="27"/>
      <c r="Q80" s="27"/>
      <c r="R80" s="27"/>
      <c r="S80" s="27"/>
      <c r="T80" s="27">
        <f>IF(LEFT(Control_Achizitii!$E80,4)="Fact",1,0)</f>
        <v>0</v>
      </c>
      <c r="U80" s="27">
        <f>IF(Control_Achizitii!$C80="",0,IF(ISNUMBER(Control_Achizitii!$B80),0,1))</f>
        <v>0</v>
      </c>
      <c r="V80" s="27">
        <f>IF(Control_Achizitii!$C80="",0,IF($Z$2&lt;&gt;"OK",0,IF(AND(ISNUMBER(Control_Achizitii!$B80),Control_Achizitii!$B80&gt;=$E$5,Control_Achizitii!$B80&lt;$J$5+1,OR($O$5="Toate proiectele",Control_Achizitii!$Q80=$O$5)),1,0)))</f>
        <v>0</v>
      </c>
      <c r="W80" s="27">
        <f>IF(AND(V80=1,OR(Control_Achizitii!$J80&lt;&gt;"DOSAR COMPLET",Control_Achizitii!$K80&lt;&gt;"")),ROW(),1000000000)</f>
        <v>1000000000</v>
      </c>
      <c r="X80" s="27">
        <f>IF(AND(V80=1,LEFT(Control_Achizitii!$E80,4)="Fact",NOT(ISNUMBER(Control_Achizitii!$P80))),1,0)</f>
        <v>0</v>
      </c>
      <c r="Y80" s="27">
        <f>IF(V80=0,0,IF(Control_Achizitii!$J80="DOSAR COMPLET",1,IF(LEFT(Control_Achizitii!$J80,9)="INCOMPLET",2,3)))</f>
        <v>0</v>
      </c>
      <c r="Z80" s="27"/>
      <c r="AA80" s="27"/>
      <c r="AB80" s="27"/>
      <c r="AC80" s="27"/>
      <c r="AD80" s="27"/>
      <c r="AE80" s="27"/>
      <c r="AF80" s="27"/>
      <c r="AG80" s="27"/>
      <c r="AH80" s="27">
        <f>IF(AND(V80=1,Control_Achizitii!$J80="DOSAR COMPLET",Control_Achizitii!$K80&lt;&gt;""),1,0)</f>
        <v>0</v>
      </c>
    </row>
    <row r="81" spans="1:34">
      <c r="A81" s="27"/>
      <c r="B81" s="27"/>
      <c r="C81" s="27"/>
      <c r="D81" s="27"/>
      <c r="E81" s="27"/>
      <c r="F81" s="27"/>
      <c r="G81" s="27"/>
      <c r="H81" s="27"/>
      <c r="I81" s="27"/>
      <c r="J81" s="27"/>
      <c r="K81" s="27"/>
      <c r="L81" s="27"/>
      <c r="M81" s="27"/>
      <c r="N81" s="27"/>
      <c r="O81" s="27"/>
      <c r="P81" s="27"/>
      <c r="Q81" s="27"/>
      <c r="R81" s="27"/>
      <c r="S81" s="27"/>
      <c r="T81" s="27">
        <f>IF(LEFT(Control_Achizitii!$E81,4)="Fact",1,0)</f>
        <v>0</v>
      </c>
      <c r="U81" s="27">
        <f>IF(Control_Achizitii!$C81="",0,IF(ISNUMBER(Control_Achizitii!$B81),0,1))</f>
        <v>0</v>
      </c>
      <c r="V81" s="27">
        <f>IF(Control_Achizitii!$C81="",0,IF($Z$2&lt;&gt;"OK",0,IF(AND(ISNUMBER(Control_Achizitii!$B81),Control_Achizitii!$B81&gt;=$E$5,Control_Achizitii!$B81&lt;$J$5+1,OR($O$5="Toate proiectele",Control_Achizitii!$Q81=$O$5)),1,0)))</f>
        <v>0</v>
      </c>
      <c r="W81" s="27">
        <f>IF(AND(V81=1,OR(Control_Achizitii!$J81&lt;&gt;"DOSAR COMPLET",Control_Achizitii!$K81&lt;&gt;"")),ROW(),1000000000)</f>
        <v>1000000000</v>
      </c>
      <c r="X81" s="27">
        <f>IF(AND(V81=1,LEFT(Control_Achizitii!$E81,4)="Fact",NOT(ISNUMBER(Control_Achizitii!$P81))),1,0)</f>
        <v>0</v>
      </c>
      <c r="Y81" s="27">
        <f>IF(V81=0,0,IF(Control_Achizitii!$J81="DOSAR COMPLET",1,IF(LEFT(Control_Achizitii!$J81,9)="INCOMPLET",2,3)))</f>
        <v>0</v>
      </c>
      <c r="Z81" s="27"/>
      <c r="AA81" s="27"/>
      <c r="AB81" s="27"/>
      <c r="AC81" s="27"/>
      <c r="AD81" s="27"/>
      <c r="AE81" s="27"/>
      <c r="AF81" s="27"/>
      <c r="AG81" s="27"/>
      <c r="AH81" s="27">
        <f>IF(AND(V81=1,Control_Achizitii!$J81="DOSAR COMPLET",Control_Achizitii!$K81&lt;&gt;""),1,0)</f>
        <v>0</v>
      </c>
    </row>
    <row r="82" spans="1:34">
      <c r="A82" s="27"/>
      <c r="B82" s="27"/>
      <c r="C82" s="27"/>
      <c r="D82" s="27"/>
      <c r="E82" s="27"/>
      <c r="F82" s="27"/>
      <c r="G82" s="27"/>
      <c r="H82" s="27"/>
      <c r="I82" s="27"/>
      <c r="J82" s="27"/>
      <c r="K82" s="27"/>
      <c r="L82" s="27"/>
      <c r="M82" s="27"/>
      <c r="N82" s="27"/>
      <c r="O82" s="27"/>
      <c r="P82" s="27"/>
      <c r="Q82" s="27"/>
      <c r="R82" s="27"/>
      <c r="S82" s="27"/>
      <c r="T82" s="27">
        <f>IF(LEFT(Control_Achizitii!$E82,4)="Fact",1,0)</f>
        <v>0</v>
      </c>
      <c r="U82" s="27">
        <f>IF(Control_Achizitii!$C82="",0,IF(ISNUMBER(Control_Achizitii!$B82),0,1))</f>
        <v>0</v>
      </c>
      <c r="V82" s="27">
        <f>IF(Control_Achizitii!$C82="",0,IF($Z$2&lt;&gt;"OK",0,IF(AND(ISNUMBER(Control_Achizitii!$B82),Control_Achizitii!$B82&gt;=$E$5,Control_Achizitii!$B82&lt;$J$5+1,OR($O$5="Toate proiectele",Control_Achizitii!$Q82=$O$5)),1,0)))</f>
        <v>0</v>
      </c>
      <c r="W82" s="27">
        <f>IF(AND(V82=1,OR(Control_Achizitii!$J82&lt;&gt;"DOSAR COMPLET",Control_Achizitii!$K82&lt;&gt;"")),ROW(),1000000000)</f>
        <v>1000000000</v>
      </c>
      <c r="X82" s="27">
        <f>IF(AND(V82=1,LEFT(Control_Achizitii!$E82,4)="Fact",NOT(ISNUMBER(Control_Achizitii!$P82))),1,0)</f>
        <v>0</v>
      </c>
      <c r="Y82" s="27">
        <f>IF(V82=0,0,IF(Control_Achizitii!$J82="DOSAR COMPLET",1,IF(LEFT(Control_Achizitii!$J82,9)="INCOMPLET",2,3)))</f>
        <v>0</v>
      </c>
      <c r="Z82" s="27"/>
      <c r="AA82" s="27"/>
      <c r="AB82" s="27"/>
      <c r="AC82" s="27"/>
      <c r="AD82" s="27"/>
      <c r="AE82" s="27"/>
      <c r="AF82" s="27"/>
      <c r="AG82" s="27"/>
      <c r="AH82" s="27">
        <f>IF(AND(V82=1,Control_Achizitii!$J82="DOSAR COMPLET",Control_Achizitii!$K82&lt;&gt;""),1,0)</f>
        <v>0</v>
      </c>
    </row>
    <row r="83" spans="1:34">
      <c r="A83" s="27"/>
      <c r="B83" s="27"/>
      <c r="C83" s="27"/>
      <c r="D83" s="27"/>
      <c r="E83" s="27"/>
      <c r="F83" s="27"/>
      <c r="G83" s="27"/>
      <c r="H83" s="27"/>
      <c r="I83" s="27"/>
      <c r="J83" s="27"/>
      <c r="K83" s="27"/>
      <c r="L83" s="27"/>
      <c r="M83" s="27"/>
      <c r="N83" s="27"/>
      <c r="O83" s="27"/>
      <c r="P83" s="27"/>
      <c r="Q83" s="27"/>
      <c r="R83" s="27"/>
      <c r="S83" s="27"/>
      <c r="T83" s="27">
        <f>IF(LEFT(Control_Achizitii!$E83,4)="Fact",1,0)</f>
        <v>0</v>
      </c>
      <c r="U83" s="27">
        <f>IF(Control_Achizitii!$C83="",0,IF(ISNUMBER(Control_Achizitii!$B83),0,1))</f>
        <v>0</v>
      </c>
      <c r="V83" s="27">
        <f>IF(Control_Achizitii!$C83="",0,IF($Z$2&lt;&gt;"OK",0,IF(AND(ISNUMBER(Control_Achizitii!$B83),Control_Achizitii!$B83&gt;=$E$5,Control_Achizitii!$B83&lt;$J$5+1,OR($O$5="Toate proiectele",Control_Achizitii!$Q83=$O$5)),1,0)))</f>
        <v>0</v>
      </c>
      <c r="W83" s="27">
        <f>IF(AND(V83=1,OR(Control_Achizitii!$J83&lt;&gt;"DOSAR COMPLET",Control_Achizitii!$K83&lt;&gt;"")),ROW(),1000000000)</f>
        <v>1000000000</v>
      </c>
      <c r="X83" s="27">
        <f>IF(AND(V83=1,LEFT(Control_Achizitii!$E83,4)="Fact",NOT(ISNUMBER(Control_Achizitii!$P83))),1,0)</f>
        <v>0</v>
      </c>
      <c r="Y83" s="27">
        <f>IF(V83=0,0,IF(Control_Achizitii!$J83="DOSAR COMPLET",1,IF(LEFT(Control_Achizitii!$J83,9)="INCOMPLET",2,3)))</f>
        <v>0</v>
      </c>
      <c r="Z83" s="27"/>
      <c r="AA83" s="27"/>
      <c r="AB83" s="27"/>
      <c r="AC83" s="27"/>
      <c r="AD83" s="27"/>
      <c r="AE83" s="27"/>
      <c r="AF83" s="27"/>
      <c r="AG83" s="27"/>
      <c r="AH83" s="27">
        <f>IF(AND(V83=1,Control_Achizitii!$J83="DOSAR COMPLET",Control_Achizitii!$K83&lt;&gt;""),1,0)</f>
        <v>0</v>
      </c>
    </row>
    <row r="84" spans="1:34">
      <c r="A84" s="27"/>
      <c r="B84" s="27"/>
      <c r="C84" s="27"/>
      <c r="D84" s="27"/>
      <c r="E84" s="27"/>
      <c r="F84" s="27"/>
      <c r="G84" s="27"/>
      <c r="H84" s="27"/>
      <c r="I84" s="27"/>
      <c r="J84" s="27"/>
      <c r="K84" s="27"/>
      <c r="L84" s="27"/>
      <c r="M84" s="27"/>
      <c r="N84" s="27"/>
      <c r="O84" s="27"/>
      <c r="P84" s="27"/>
      <c r="Q84" s="27"/>
      <c r="R84" s="27"/>
      <c r="S84" s="27"/>
      <c r="T84" s="27">
        <f>IF(LEFT(Control_Achizitii!$E84,4)="Fact",1,0)</f>
        <v>0</v>
      </c>
      <c r="U84" s="27">
        <f>IF(Control_Achizitii!$C84="",0,IF(ISNUMBER(Control_Achizitii!$B84),0,1))</f>
        <v>0</v>
      </c>
      <c r="V84" s="27">
        <f>IF(Control_Achizitii!$C84="",0,IF($Z$2&lt;&gt;"OK",0,IF(AND(ISNUMBER(Control_Achizitii!$B84),Control_Achizitii!$B84&gt;=$E$5,Control_Achizitii!$B84&lt;$J$5+1,OR($O$5="Toate proiectele",Control_Achizitii!$Q84=$O$5)),1,0)))</f>
        <v>0</v>
      </c>
      <c r="W84" s="27">
        <f>IF(AND(V84=1,OR(Control_Achizitii!$J84&lt;&gt;"DOSAR COMPLET",Control_Achizitii!$K84&lt;&gt;"")),ROW(),1000000000)</f>
        <v>1000000000</v>
      </c>
      <c r="X84" s="27">
        <f>IF(AND(V84=1,LEFT(Control_Achizitii!$E84,4)="Fact",NOT(ISNUMBER(Control_Achizitii!$P84))),1,0)</f>
        <v>0</v>
      </c>
      <c r="Y84" s="27">
        <f>IF(V84=0,0,IF(Control_Achizitii!$J84="DOSAR COMPLET",1,IF(LEFT(Control_Achizitii!$J84,9)="INCOMPLET",2,3)))</f>
        <v>0</v>
      </c>
      <c r="Z84" s="27"/>
      <c r="AA84" s="27"/>
      <c r="AB84" s="27"/>
      <c r="AC84" s="27"/>
      <c r="AD84" s="27"/>
      <c r="AE84" s="27"/>
      <c r="AF84" s="27"/>
      <c r="AG84" s="27"/>
      <c r="AH84" s="27">
        <f>IF(AND(V84=1,Control_Achizitii!$J84="DOSAR COMPLET",Control_Achizitii!$K84&lt;&gt;""),1,0)</f>
        <v>0</v>
      </c>
    </row>
    <row r="85" spans="1:34">
      <c r="A85" s="27"/>
      <c r="B85" s="27"/>
      <c r="C85" s="27"/>
      <c r="D85" s="27"/>
      <c r="E85" s="27"/>
      <c r="F85" s="27"/>
      <c r="G85" s="27"/>
      <c r="H85" s="27"/>
      <c r="I85" s="27"/>
      <c r="J85" s="27"/>
      <c r="K85" s="27"/>
      <c r="L85" s="27"/>
      <c r="M85" s="27"/>
      <c r="N85" s="27"/>
      <c r="O85" s="27"/>
      <c r="P85" s="27"/>
      <c r="Q85" s="27"/>
      <c r="R85" s="27"/>
      <c r="S85" s="27"/>
      <c r="T85" s="27">
        <f>IF(LEFT(Control_Achizitii!$E85,4)="Fact",1,0)</f>
        <v>0</v>
      </c>
      <c r="U85" s="27">
        <f>IF(Control_Achizitii!$C85="",0,IF(ISNUMBER(Control_Achizitii!$B85),0,1))</f>
        <v>0</v>
      </c>
      <c r="V85" s="27">
        <f>IF(Control_Achizitii!$C85="",0,IF($Z$2&lt;&gt;"OK",0,IF(AND(ISNUMBER(Control_Achizitii!$B85),Control_Achizitii!$B85&gt;=$E$5,Control_Achizitii!$B85&lt;$J$5+1,OR($O$5="Toate proiectele",Control_Achizitii!$Q85=$O$5)),1,0)))</f>
        <v>0</v>
      </c>
      <c r="W85" s="27">
        <f>IF(AND(V85=1,OR(Control_Achizitii!$J85&lt;&gt;"DOSAR COMPLET",Control_Achizitii!$K85&lt;&gt;"")),ROW(),1000000000)</f>
        <v>1000000000</v>
      </c>
      <c r="X85" s="27">
        <f>IF(AND(V85=1,LEFT(Control_Achizitii!$E85,4)="Fact",NOT(ISNUMBER(Control_Achizitii!$P85))),1,0)</f>
        <v>0</v>
      </c>
      <c r="Y85" s="27">
        <f>IF(V85=0,0,IF(Control_Achizitii!$J85="DOSAR COMPLET",1,IF(LEFT(Control_Achizitii!$J85,9)="INCOMPLET",2,3)))</f>
        <v>0</v>
      </c>
      <c r="Z85" s="27"/>
      <c r="AA85" s="27"/>
      <c r="AB85" s="27"/>
      <c r="AC85" s="27"/>
      <c r="AD85" s="27"/>
      <c r="AE85" s="27"/>
      <c r="AF85" s="27"/>
      <c r="AG85" s="27"/>
      <c r="AH85" s="27">
        <f>IF(AND(V85=1,Control_Achizitii!$J85="DOSAR COMPLET",Control_Achizitii!$K85&lt;&gt;""),1,0)</f>
        <v>0</v>
      </c>
    </row>
    <row r="86" spans="1:34">
      <c r="A86" s="27"/>
      <c r="B86" s="27"/>
      <c r="C86" s="27"/>
      <c r="D86" s="27"/>
      <c r="E86" s="27"/>
      <c r="F86" s="27"/>
      <c r="G86" s="27"/>
      <c r="H86" s="27"/>
      <c r="I86" s="27"/>
      <c r="J86" s="27"/>
      <c r="K86" s="27"/>
      <c r="L86" s="27"/>
      <c r="M86" s="27"/>
      <c r="N86" s="27"/>
      <c r="O86" s="27"/>
      <c r="P86" s="27"/>
      <c r="Q86" s="27"/>
      <c r="R86" s="27"/>
      <c r="S86" s="27"/>
      <c r="T86" s="27">
        <f>IF(LEFT(Control_Achizitii!$E86,4)="Fact",1,0)</f>
        <v>0</v>
      </c>
      <c r="U86" s="27">
        <f>IF(Control_Achizitii!$C86="",0,IF(ISNUMBER(Control_Achizitii!$B86),0,1))</f>
        <v>0</v>
      </c>
      <c r="V86" s="27">
        <f>IF(Control_Achizitii!$C86="",0,IF($Z$2&lt;&gt;"OK",0,IF(AND(ISNUMBER(Control_Achizitii!$B86),Control_Achizitii!$B86&gt;=$E$5,Control_Achizitii!$B86&lt;$J$5+1,OR($O$5="Toate proiectele",Control_Achizitii!$Q86=$O$5)),1,0)))</f>
        <v>0</v>
      </c>
      <c r="W86" s="27">
        <f>IF(AND(V86=1,OR(Control_Achizitii!$J86&lt;&gt;"DOSAR COMPLET",Control_Achizitii!$K86&lt;&gt;"")),ROW(),1000000000)</f>
        <v>1000000000</v>
      </c>
      <c r="X86" s="27">
        <f>IF(AND(V86=1,LEFT(Control_Achizitii!$E86,4)="Fact",NOT(ISNUMBER(Control_Achizitii!$P86))),1,0)</f>
        <v>0</v>
      </c>
      <c r="Y86" s="27">
        <f>IF(V86=0,0,IF(Control_Achizitii!$J86="DOSAR COMPLET",1,IF(LEFT(Control_Achizitii!$J86,9)="INCOMPLET",2,3)))</f>
        <v>0</v>
      </c>
      <c r="Z86" s="27"/>
      <c r="AA86" s="27"/>
      <c r="AB86" s="27"/>
      <c r="AC86" s="27"/>
      <c r="AD86" s="27"/>
      <c r="AE86" s="27"/>
      <c r="AF86" s="27"/>
      <c r="AG86" s="27"/>
      <c r="AH86" s="27">
        <f>IF(AND(V86=1,Control_Achizitii!$J86="DOSAR COMPLET",Control_Achizitii!$K86&lt;&gt;""),1,0)</f>
        <v>0</v>
      </c>
    </row>
    <row r="87" spans="1:34">
      <c r="A87" s="27"/>
      <c r="B87" s="27"/>
      <c r="C87" s="27"/>
      <c r="D87" s="27"/>
      <c r="E87" s="27"/>
      <c r="F87" s="27"/>
      <c r="G87" s="27"/>
      <c r="H87" s="27"/>
      <c r="I87" s="27"/>
      <c r="J87" s="27"/>
      <c r="K87" s="27"/>
      <c r="L87" s="27"/>
      <c r="M87" s="27"/>
      <c r="N87" s="27"/>
      <c r="O87" s="27"/>
      <c r="P87" s="27"/>
      <c r="Q87" s="27"/>
      <c r="R87" s="27"/>
      <c r="S87" s="27"/>
      <c r="T87" s="27">
        <f>IF(LEFT(Control_Achizitii!$E87,4)="Fact",1,0)</f>
        <v>0</v>
      </c>
      <c r="U87" s="27">
        <f>IF(Control_Achizitii!$C87="",0,IF(ISNUMBER(Control_Achizitii!$B87),0,1))</f>
        <v>0</v>
      </c>
      <c r="V87" s="27">
        <f>IF(Control_Achizitii!$C87="",0,IF($Z$2&lt;&gt;"OK",0,IF(AND(ISNUMBER(Control_Achizitii!$B87),Control_Achizitii!$B87&gt;=$E$5,Control_Achizitii!$B87&lt;$J$5+1,OR($O$5="Toate proiectele",Control_Achizitii!$Q87=$O$5)),1,0)))</f>
        <v>0</v>
      </c>
      <c r="W87" s="27">
        <f>IF(AND(V87=1,OR(Control_Achizitii!$J87&lt;&gt;"DOSAR COMPLET",Control_Achizitii!$K87&lt;&gt;"")),ROW(),1000000000)</f>
        <v>1000000000</v>
      </c>
      <c r="X87" s="27">
        <f>IF(AND(V87=1,LEFT(Control_Achizitii!$E87,4)="Fact",NOT(ISNUMBER(Control_Achizitii!$P87))),1,0)</f>
        <v>0</v>
      </c>
      <c r="Y87" s="27">
        <f>IF(V87=0,0,IF(Control_Achizitii!$J87="DOSAR COMPLET",1,IF(LEFT(Control_Achizitii!$J87,9)="INCOMPLET",2,3)))</f>
        <v>0</v>
      </c>
      <c r="Z87" s="27"/>
      <c r="AA87" s="27"/>
      <c r="AB87" s="27"/>
      <c r="AC87" s="27"/>
      <c r="AD87" s="27"/>
      <c r="AE87" s="27"/>
      <c r="AF87" s="27"/>
      <c r="AG87" s="27"/>
      <c r="AH87" s="27">
        <f>IF(AND(V87=1,Control_Achizitii!$J87="DOSAR COMPLET",Control_Achizitii!$K87&lt;&gt;""),1,0)</f>
        <v>0</v>
      </c>
    </row>
    <row r="88" spans="1:34">
      <c r="A88" s="27"/>
      <c r="B88" s="27"/>
      <c r="C88" s="27"/>
      <c r="D88" s="27"/>
      <c r="E88" s="27"/>
      <c r="F88" s="27"/>
      <c r="G88" s="27"/>
      <c r="H88" s="27"/>
      <c r="I88" s="27"/>
      <c r="J88" s="27"/>
      <c r="K88" s="27"/>
      <c r="L88" s="27"/>
      <c r="M88" s="27"/>
      <c r="N88" s="27"/>
      <c r="O88" s="27"/>
      <c r="P88" s="27"/>
      <c r="Q88" s="27"/>
      <c r="R88" s="27"/>
      <c r="S88" s="27"/>
      <c r="T88" s="27">
        <f>IF(LEFT(Control_Achizitii!$E88,4)="Fact",1,0)</f>
        <v>0</v>
      </c>
      <c r="U88" s="27">
        <f>IF(Control_Achizitii!$C88="",0,IF(ISNUMBER(Control_Achizitii!$B88),0,1))</f>
        <v>0</v>
      </c>
      <c r="V88" s="27">
        <f>IF(Control_Achizitii!$C88="",0,IF($Z$2&lt;&gt;"OK",0,IF(AND(ISNUMBER(Control_Achizitii!$B88),Control_Achizitii!$B88&gt;=$E$5,Control_Achizitii!$B88&lt;$J$5+1,OR($O$5="Toate proiectele",Control_Achizitii!$Q88=$O$5)),1,0)))</f>
        <v>0</v>
      </c>
      <c r="W88" s="27">
        <f>IF(AND(V88=1,OR(Control_Achizitii!$J88&lt;&gt;"DOSAR COMPLET",Control_Achizitii!$K88&lt;&gt;"")),ROW(),1000000000)</f>
        <v>1000000000</v>
      </c>
      <c r="X88" s="27">
        <f>IF(AND(V88=1,LEFT(Control_Achizitii!$E88,4)="Fact",NOT(ISNUMBER(Control_Achizitii!$P88))),1,0)</f>
        <v>0</v>
      </c>
      <c r="Y88" s="27">
        <f>IF(V88=0,0,IF(Control_Achizitii!$J88="DOSAR COMPLET",1,IF(LEFT(Control_Achizitii!$J88,9)="INCOMPLET",2,3)))</f>
        <v>0</v>
      </c>
      <c r="Z88" s="27"/>
      <c r="AA88" s="27"/>
      <c r="AB88" s="27"/>
      <c r="AC88" s="27"/>
      <c r="AD88" s="27"/>
      <c r="AE88" s="27"/>
      <c r="AF88" s="27"/>
      <c r="AG88" s="27"/>
      <c r="AH88" s="27">
        <f>IF(AND(V88=1,Control_Achizitii!$J88="DOSAR COMPLET",Control_Achizitii!$K88&lt;&gt;""),1,0)</f>
        <v>0</v>
      </c>
    </row>
    <row r="89" spans="1:34">
      <c r="A89" s="27"/>
      <c r="B89" s="27"/>
      <c r="C89" s="27"/>
      <c r="D89" s="27"/>
      <c r="E89" s="27"/>
      <c r="F89" s="27"/>
      <c r="G89" s="27"/>
      <c r="H89" s="27"/>
      <c r="I89" s="27"/>
      <c r="J89" s="27"/>
      <c r="K89" s="27"/>
      <c r="L89" s="27"/>
      <c r="M89" s="27"/>
      <c r="N89" s="27"/>
      <c r="O89" s="27"/>
      <c r="P89" s="27"/>
      <c r="Q89" s="27"/>
      <c r="R89" s="27"/>
      <c r="S89" s="27"/>
      <c r="T89" s="27">
        <f>IF(LEFT(Control_Achizitii!$E89,4)="Fact",1,0)</f>
        <v>0</v>
      </c>
      <c r="U89" s="27">
        <f>IF(Control_Achizitii!$C89="",0,IF(ISNUMBER(Control_Achizitii!$B89),0,1))</f>
        <v>0</v>
      </c>
      <c r="V89" s="27">
        <f>IF(Control_Achizitii!$C89="",0,IF($Z$2&lt;&gt;"OK",0,IF(AND(ISNUMBER(Control_Achizitii!$B89),Control_Achizitii!$B89&gt;=$E$5,Control_Achizitii!$B89&lt;$J$5+1,OR($O$5="Toate proiectele",Control_Achizitii!$Q89=$O$5)),1,0)))</f>
        <v>0</v>
      </c>
      <c r="W89" s="27">
        <f>IF(AND(V89=1,OR(Control_Achizitii!$J89&lt;&gt;"DOSAR COMPLET",Control_Achizitii!$K89&lt;&gt;"")),ROW(),1000000000)</f>
        <v>1000000000</v>
      </c>
      <c r="X89" s="27">
        <f>IF(AND(V89=1,LEFT(Control_Achizitii!$E89,4)="Fact",NOT(ISNUMBER(Control_Achizitii!$P89))),1,0)</f>
        <v>0</v>
      </c>
      <c r="Y89" s="27">
        <f>IF(V89=0,0,IF(Control_Achizitii!$J89="DOSAR COMPLET",1,IF(LEFT(Control_Achizitii!$J89,9)="INCOMPLET",2,3)))</f>
        <v>0</v>
      </c>
      <c r="Z89" s="27"/>
      <c r="AA89" s="27"/>
      <c r="AB89" s="27"/>
      <c r="AC89" s="27"/>
      <c r="AD89" s="27"/>
      <c r="AE89" s="27"/>
      <c r="AF89" s="27"/>
      <c r="AG89" s="27"/>
      <c r="AH89" s="27">
        <f>IF(AND(V89=1,Control_Achizitii!$J89="DOSAR COMPLET",Control_Achizitii!$K89&lt;&gt;""),1,0)</f>
        <v>0</v>
      </c>
    </row>
    <row r="90" spans="1:34">
      <c r="A90" s="27"/>
      <c r="B90" s="27"/>
      <c r="C90" s="27"/>
      <c r="D90" s="27"/>
      <c r="E90" s="27"/>
      <c r="F90" s="27"/>
      <c r="G90" s="27"/>
      <c r="H90" s="27"/>
      <c r="I90" s="27"/>
      <c r="J90" s="27"/>
      <c r="K90" s="27"/>
      <c r="L90" s="27"/>
      <c r="M90" s="27"/>
      <c r="N90" s="27"/>
      <c r="O90" s="27"/>
      <c r="P90" s="27"/>
      <c r="Q90" s="27"/>
      <c r="R90" s="27"/>
      <c r="S90" s="27"/>
      <c r="T90" s="27">
        <f>IF(LEFT(Control_Achizitii!$E90,4)="Fact",1,0)</f>
        <v>0</v>
      </c>
      <c r="U90" s="27">
        <f>IF(Control_Achizitii!$C90="",0,IF(ISNUMBER(Control_Achizitii!$B90),0,1))</f>
        <v>0</v>
      </c>
      <c r="V90" s="27">
        <f>IF(Control_Achizitii!$C90="",0,IF($Z$2&lt;&gt;"OK",0,IF(AND(ISNUMBER(Control_Achizitii!$B90),Control_Achizitii!$B90&gt;=$E$5,Control_Achizitii!$B90&lt;$J$5+1,OR($O$5="Toate proiectele",Control_Achizitii!$Q90=$O$5)),1,0)))</f>
        <v>0</v>
      </c>
      <c r="W90" s="27">
        <f>IF(AND(V90=1,OR(Control_Achizitii!$J90&lt;&gt;"DOSAR COMPLET",Control_Achizitii!$K90&lt;&gt;"")),ROW(),1000000000)</f>
        <v>1000000000</v>
      </c>
      <c r="X90" s="27">
        <f>IF(AND(V90=1,LEFT(Control_Achizitii!$E90,4)="Fact",NOT(ISNUMBER(Control_Achizitii!$P90))),1,0)</f>
        <v>0</v>
      </c>
      <c r="Y90" s="27">
        <f>IF(V90=0,0,IF(Control_Achizitii!$J90="DOSAR COMPLET",1,IF(LEFT(Control_Achizitii!$J90,9)="INCOMPLET",2,3)))</f>
        <v>0</v>
      </c>
      <c r="Z90" s="27"/>
      <c r="AA90" s="27"/>
      <c r="AB90" s="27"/>
      <c r="AC90" s="27"/>
      <c r="AD90" s="27"/>
      <c r="AE90" s="27"/>
      <c r="AF90" s="27"/>
      <c r="AG90" s="27"/>
      <c r="AH90" s="27">
        <f>IF(AND(V90=1,Control_Achizitii!$J90="DOSAR COMPLET",Control_Achizitii!$K90&lt;&gt;""),1,0)</f>
        <v>0</v>
      </c>
    </row>
    <row r="91" spans="1:34">
      <c r="A91" s="27"/>
      <c r="B91" s="27"/>
      <c r="C91" s="27"/>
      <c r="D91" s="27"/>
      <c r="E91" s="27"/>
      <c r="F91" s="27"/>
      <c r="G91" s="27"/>
      <c r="H91" s="27"/>
      <c r="I91" s="27"/>
      <c r="J91" s="27"/>
      <c r="K91" s="27"/>
      <c r="L91" s="27"/>
      <c r="M91" s="27"/>
      <c r="N91" s="27"/>
      <c r="O91" s="27"/>
      <c r="P91" s="27"/>
      <c r="Q91" s="27"/>
      <c r="R91" s="27"/>
      <c r="S91" s="27"/>
      <c r="T91" s="27">
        <f>IF(LEFT(Control_Achizitii!$E91,4)="Fact",1,0)</f>
        <v>0</v>
      </c>
      <c r="U91" s="27">
        <f>IF(Control_Achizitii!$C91="",0,IF(ISNUMBER(Control_Achizitii!$B91),0,1))</f>
        <v>0</v>
      </c>
      <c r="V91" s="27">
        <f>IF(Control_Achizitii!$C91="",0,IF($Z$2&lt;&gt;"OK",0,IF(AND(ISNUMBER(Control_Achizitii!$B91),Control_Achizitii!$B91&gt;=$E$5,Control_Achizitii!$B91&lt;$J$5+1,OR($O$5="Toate proiectele",Control_Achizitii!$Q91=$O$5)),1,0)))</f>
        <v>0</v>
      </c>
      <c r="W91" s="27">
        <f>IF(AND(V91=1,OR(Control_Achizitii!$J91&lt;&gt;"DOSAR COMPLET",Control_Achizitii!$K91&lt;&gt;"")),ROW(),1000000000)</f>
        <v>1000000000</v>
      </c>
      <c r="X91" s="27">
        <f>IF(AND(V91=1,LEFT(Control_Achizitii!$E91,4)="Fact",NOT(ISNUMBER(Control_Achizitii!$P91))),1,0)</f>
        <v>0</v>
      </c>
      <c r="Y91" s="27">
        <f>IF(V91=0,0,IF(Control_Achizitii!$J91="DOSAR COMPLET",1,IF(LEFT(Control_Achizitii!$J91,9)="INCOMPLET",2,3)))</f>
        <v>0</v>
      </c>
      <c r="Z91" s="27"/>
      <c r="AA91" s="27"/>
      <c r="AB91" s="27"/>
      <c r="AC91" s="27"/>
      <c r="AD91" s="27"/>
      <c r="AE91" s="27"/>
      <c r="AF91" s="27"/>
      <c r="AG91" s="27"/>
      <c r="AH91" s="27">
        <f>IF(AND(V91=1,Control_Achizitii!$J91="DOSAR COMPLET",Control_Achizitii!$K91&lt;&gt;""),1,0)</f>
        <v>0</v>
      </c>
    </row>
    <row r="92" spans="1:34">
      <c r="A92" s="27"/>
      <c r="B92" s="27"/>
      <c r="C92" s="27"/>
      <c r="D92" s="27"/>
      <c r="E92" s="27"/>
      <c r="F92" s="27"/>
      <c r="G92" s="27"/>
      <c r="H92" s="27"/>
      <c r="I92" s="27"/>
      <c r="J92" s="27"/>
      <c r="K92" s="27"/>
      <c r="L92" s="27"/>
      <c r="M92" s="27"/>
      <c r="N92" s="27"/>
      <c r="O92" s="27"/>
      <c r="P92" s="27"/>
      <c r="Q92" s="27"/>
      <c r="R92" s="27"/>
      <c r="S92" s="27"/>
      <c r="T92" s="27">
        <f>IF(LEFT(Control_Achizitii!$E92,4)="Fact",1,0)</f>
        <v>0</v>
      </c>
      <c r="U92" s="27">
        <f>IF(Control_Achizitii!$C92="",0,IF(ISNUMBER(Control_Achizitii!$B92),0,1))</f>
        <v>0</v>
      </c>
      <c r="V92" s="27">
        <f>IF(Control_Achizitii!$C92="",0,IF($Z$2&lt;&gt;"OK",0,IF(AND(ISNUMBER(Control_Achizitii!$B92),Control_Achizitii!$B92&gt;=$E$5,Control_Achizitii!$B92&lt;$J$5+1,OR($O$5="Toate proiectele",Control_Achizitii!$Q92=$O$5)),1,0)))</f>
        <v>0</v>
      </c>
      <c r="W92" s="27">
        <f>IF(AND(V92=1,OR(Control_Achizitii!$J92&lt;&gt;"DOSAR COMPLET",Control_Achizitii!$K92&lt;&gt;"")),ROW(),1000000000)</f>
        <v>1000000000</v>
      </c>
      <c r="X92" s="27">
        <f>IF(AND(V92=1,LEFT(Control_Achizitii!$E92,4)="Fact",NOT(ISNUMBER(Control_Achizitii!$P92))),1,0)</f>
        <v>0</v>
      </c>
      <c r="Y92" s="27">
        <f>IF(V92=0,0,IF(Control_Achizitii!$J92="DOSAR COMPLET",1,IF(LEFT(Control_Achizitii!$J92,9)="INCOMPLET",2,3)))</f>
        <v>0</v>
      </c>
      <c r="Z92" s="27"/>
      <c r="AA92" s="27"/>
      <c r="AB92" s="27"/>
      <c r="AC92" s="27"/>
      <c r="AD92" s="27"/>
      <c r="AE92" s="27"/>
      <c r="AF92" s="27"/>
      <c r="AG92" s="27"/>
      <c r="AH92" s="27">
        <f>IF(AND(V92=1,Control_Achizitii!$J92="DOSAR COMPLET",Control_Achizitii!$K92&lt;&gt;""),1,0)</f>
        <v>0</v>
      </c>
    </row>
    <row r="93" spans="1:34">
      <c r="A93" s="27"/>
      <c r="B93" s="27"/>
      <c r="C93" s="27"/>
      <c r="D93" s="27"/>
      <c r="E93" s="27"/>
      <c r="F93" s="27"/>
      <c r="G93" s="27"/>
      <c r="H93" s="27"/>
      <c r="I93" s="27"/>
      <c r="J93" s="27"/>
      <c r="K93" s="27"/>
      <c r="L93" s="27"/>
      <c r="M93" s="27"/>
      <c r="N93" s="27"/>
      <c r="O93" s="27"/>
      <c r="P93" s="27"/>
      <c r="Q93" s="27"/>
      <c r="R93" s="27"/>
      <c r="S93" s="27"/>
      <c r="T93" s="27">
        <f>IF(LEFT(Control_Achizitii!$E93,4)="Fact",1,0)</f>
        <v>0</v>
      </c>
      <c r="U93" s="27">
        <f>IF(Control_Achizitii!$C93="",0,IF(ISNUMBER(Control_Achizitii!$B93),0,1))</f>
        <v>0</v>
      </c>
      <c r="V93" s="27">
        <f>IF(Control_Achizitii!$C93="",0,IF($Z$2&lt;&gt;"OK",0,IF(AND(ISNUMBER(Control_Achizitii!$B93),Control_Achizitii!$B93&gt;=$E$5,Control_Achizitii!$B93&lt;$J$5+1,OR($O$5="Toate proiectele",Control_Achizitii!$Q93=$O$5)),1,0)))</f>
        <v>0</v>
      </c>
      <c r="W93" s="27">
        <f>IF(AND(V93=1,OR(Control_Achizitii!$J93&lt;&gt;"DOSAR COMPLET",Control_Achizitii!$K93&lt;&gt;"")),ROW(),1000000000)</f>
        <v>1000000000</v>
      </c>
      <c r="X93" s="27">
        <f>IF(AND(V93=1,LEFT(Control_Achizitii!$E93,4)="Fact",NOT(ISNUMBER(Control_Achizitii!$P93))),1,0)</f>
        <v>0</v>
      </c>
      <c r="Y93" s="27">
        <f>IF(V93=0,0,IF(Control_Achizitii!$J93="DOSAR COMPLET",1,IF(LEFT(Control_Achizitii!$J93,9)="INCOMPLET",2,3)))</f>
        <v>0</v>
      </c>
      <c r="Z93" s="27"/>
      <c r="AA93" s="27"/>
      <c r="AB93" s="27"/>
      <c r="AC93" s="27"/>
      <c r="AD93" s="27"/>
      <c r="AE93" s="27"/>
      <c r="AF93" s="27"/>
      <c r="AG93" s="27"/>
      <c r="AH93" s="27">
        <f>IF(AND(V93=1,Control_Achizitii!$J93="DOSAR COMPLET",Control_Achizitii!$K93&lt;&gt;""),1,0)</f>
        <v>0</v>
      </c>
    </row>
    <row r="94" spans="1:34">
      <c r="A94" s="27"/>
      <c r="B94" s="27"/>
      <c r="C94" s="27"/>
      <c r="D94" s="27"/>
      <c r="E94" s="27"/>
      <c r="F94" s="27"/>
      <c r="G94" s="27"/>
      <c r="H94" s="27"/>
      <c r="I94" s="27"/>
      <c r="J94" s="27"/>
      <c r="K94" s="27"/>
      <c r="L94" s="27"/>
      <c r="M94" s="27"/>
      <c r="N94" s="27"/>
      <c r="O94" s="27"/>
      <c r="P94" s="27"/>
      <c r="Q94" s="27"/>
      <c r="R94" s="27"/>
      <c r="S94" s="27"/>
      <c r="T94" s="27">
        <f>IF(LEFT(Control_Achizitii!$E94,4)="Fact",1,0)</f>
        <v>0</v>
      </c>
      <c r="U94" s="27">
        <f>IF(Control_Achizitii!$C94="",0,IF(ISNUMBER(Control_Achizitii!$B94),0,1))</f>
        <v>0</v>
      </c>
      <c r="V94" s="27">
        <f>IF(Control_Achizitii!$C94="",0,IF($Z$2&lt;&gt;"OK",0,IF(AND(ISNUMBER(Control_Achizitii!$B94),Control_Achizitii!$B94&gt;=$E$5,Control_Achizitii!$B94&lt;$J$5+1,OR($O$5="Toate proiectele",Control_Achizitii!$Q94=$O$5)),1,0)))</f>
        <v>0</v>
      </c>
      <c r="W94" s="27">
        <f>IF(AND(V94=1,OR(Control_Achizitii!$J94&lt;&gt;"DOSAR COMPLET",Control_Achizitii!$K94&lt;&gt;"")),ROW(),1000000000)</f>
        <v>1000000000</v>
      </c>
      <c r="X94" s="27">
        <f>IF(AND(V94=1,LEFT(Control_Achizitii!$E94,4)="Fact",NOT(ISNUMBER(Control_Achizitii!$P94))),1,0)</f>
        <v>0</v>
      </c>
      <c r="Y94" s="27">
        <f>IF(V94=0,0,IF(Control_Achizitii!$J94="DOSAR COMPLET",1,IF(LEFT(Control_Achizitii!$J94,9)="INCOMPLET",2,3)))</f>
        <v>0</v>
      </c>
      <c r="Z94" s="27"/>
      <c r="AA94" s="27"/>
      <c r="AB94" s="27"/>
      <c r="AC94" s="27"/>
      <c r="AD94" s="27"/>
      <c r="AE94" s="27"/>
      <c r="AF94" s="27"/>
      <c r="AG94" s="27"/>
      <c r="AH94" s="27">
        <f>IF(AND(V94=1,Control_Achizitii!$J94="DOSAR COMPLET",Control_Achizitii!$K94&lt;&gt;""),1,0)</f>
        <v>0</v>
      </c>
    </row>
    <row r="95" spans="1:34">
      <c r="A95" s="27"/>
      <c r="B95" s="27"/>
      <c r="C95" s="27"/>
      <c r="D95" s="27"/>
      <c r="E95" s="27"/>
      <c r="F95" s="27"/>
      <c r="G95" s="27"/>
      <c r="H95" s="27"/>
      <c r="I95" s="27"/>
      <c r="J95" s="27"/>
      <c r="K95" s="27"/>
      <c r="L95" s="27"/>
      <c r="M95" s="27"/>
      <c r="N95" s="27"/>
      <c r="O95" s="27"/>
      <c r="P95" s="27"/>
      <c r="Q95" s="27"/>
      <c r="R95" s="27"/>
      <c r="S95" s="27"/>
      <c r="T95" s="27">
        <f>IF(LEFT(Control_Achizitii!$E95,4)="Fact",1,0)</f>
        <v>0</v>
      </c>
      <c r="U95" s="27">
        <f>IF(Control_Achizitii!$C95="",0,IF(ISNUMBER(Control_Achizitii!$B95),0,1))</f>
        <v>0</v>
      </c>
      <c r="V95" s="27">
        <f>IF(Control_Achizitii!$C95="",0,IF($Z$2&lt;&gt;"OK",0,IF(AND(ISNUMBER(Control_Achizitii!$B95),Control_Achizitii!$B95&gt;=$E$5,Control_Achizitii!$B95&lt;$J$5+1,OR($O$5="Toate proiectele",Control_Achizitii!$Q95=$O$5)),1,0)))</f>
        <v>0</v>
      </c>
      <c r="W95" s="27">
        <f>IF(AND(V95=1,OR(Control_Achizitii!$J95&lt;&gt;"DOSAR COMPLET",Control_Achizitii!$K95&lt;&gt;"")),ROW(),1000000000)</f>
        <v>1000000000</v>
      </c>
      <c r="X95" s="27">
        <f>IF(AND(V95=1,LEFT(Control_Achizitii!$E95,4)="Fact",NOT(ISNUMBER(Control_Achizitii!$P95))),1,0)</f>
        <v>0</v>
      </c>
      <c r="Y95" s="27">
        <f>IF(V95=0,0,IF(Control_Achizitii!$J95="DOSAR COMPLET",1,IF(LEFT(Control_Achizitii!$J95,9)="INCOMPLET",2,3)))</f>
        <v>0</v>
      </c>
      <c r="Z95" s="27"/>
      <c r="AA95" s="27"/>
      <c r="AB95" s="27"/>
      <c r="AC95" s="27"/>
      <c r="AD95" s="27"/>
      <c r="AE95" s="27"/>
      <c r="AF95" s="27"/>
      <c r="AG95" s="27"/>
      <c r="AH95" s="27">
        <f>IF(AND(V95=1,Control_Achizitii!$J95="DOSAR COMPLET",Control_Achizitii!$K95&lt;&gt;""),1,0)</f>
        <v>0</v>
      </c>
    </row>
    <row r="96" spans="1:34">
      <c r="A96" s="27"/>
      <c r="B96" s="27"/>
      <c r="C96" s="27"/>
      <c r="D96" s="27"/>
      <c r="E96" s="27"/>
      <c r="F96" s="27"/>
      <c r="G96" s="27"/>
      <c r="H96" s="27"/>
      <c r="I96" s="27"/>
      <c r="J96" s="27"/>
      <c r="K96" s="27"/>
      <c r="L96" s="27"/>
      <c r="M96" s="27"/>
      <c r="N96" s="27"/>
      <c r="O96" s="27"/>
      <c r="P96" s="27"/>
      <c r="Q96" s="27"/>
      <c r="R96" s="27"/>
      <c r="S96" s="27"/>
      <c r="T96" s="27">
        <f>IF(LEFT(Control_Achizitii!$E96,4)="Fact",1,0)</f>
        <v>0</v>
      </c>
      <c r="U96" s="27">
        <f>IF(Control_Achizitii!$C96="",0,IF(ISNUMBER(Control_Achizitii!$B96),0,1))</f>
        <v>0</v>
      </c>
      <c r="V96" s="27">
        <f>IF(Control_Achizitii!$C96="",0,IF($Z$2&lt;&gt;"OK",0,IF(AND(ISNUMBER(Control_Achizitii!$B96),Control_Achizitii!$B96&gt;=$E$5,Control_Achizitii!$B96&lt;$J$5+1,OR($O$5="Toate proiectele",Control_Achizitii!$Q96=$O$5)),1,0)))</f>
        <v>0</v>
      </c>
      <c r="W96" s="27">
        <f>IF(AND(V96=1,OR(Control_Achizitii!$J96&lt;&gt;"DOSAR COMPLET",Control_Achizitii!$K96&lt;&gt;"")),ROW(),1000000000)</f>
        <v>1000000000</v>
      </c>
      <c r="X96" s="27">
        <f>IF(AND(V96=1,LEFT(Control_Achizitii!$E96,4)="Fact",NOT(ISNUMBER(Control_Achizitii!$P96))),1,0)</f>
        <v>0</v>
      </c>
      <c r="Y96" s="27">
        <f>IF(V96=0,0,IF(Control_Achizitii!$J96="DOSAR COMPLET",1,IF(LEFT(Control_Achizitii!$J96,9)="INCOMPLET",2,3)))</f>
        <v>0</v>
      </c>
      <c r="Z96" s="27"/>
      <c r="AA96" s="27"/>
      <c r="AB96" s="27"/>
      <c r="AC96" s="27"/>
      <c r="AD96" s="27"/>
      <c r="AE96" s="27"/>
      <c r="AF96" s="27"/>
      <c r="AG96" s="27"/>
      <c r="AH96" s="27">
        <f>IF(AND(V96=1,Control_Achizitii!$J96="DOSAR COMPLET",Control_Achizitii!$K96&lt;&gt;""),1,0)</f>
        <v>0</v>
      </c>
    </row>
    <row r="97" spans="1:34">
      <c r="A97" s="27"/>
      <c r="B97" s="27"/>
      <c r="C97" s="27"/>
      <c r="D97" s="27"/>
      <c r="E97" s="27"/>
      <c r="F97" s="27"/>
      <c r="G97" s="27"/>
      <c r="H97" s="27"/>
      <c r="I97" s="27"/>
      <c r="J97" s="27"/>
      <c r="K97" s="27"/>
      <c r="L97" s="27"/>
      <c r="M97" s="27"/>
      <c r="N97" s="27"/>
      <c r="O97" s="27"/>
      <c r="P97" s="27"/>
      <c r="Q97" s="27"/>
      <c r="R97" s="27"/>
      <c r="S97" s="27"/>
      <c r="T97" s="27">
        <f>IF(LEFT(Control_Achizitii!$E97,4)="Fact",1,0)</f>
        <v>0</v>
      </c>
      <c r="U97" s="27">
        <f>IF(Control_Achizitii!$C97="",0,IF(ISNUMBER(Control_Achizitii!$B97),0,1))</f>
        <v>0</v>
      </c>
      <c r="V97" s="27">
        <f>IF(Control_Achizitii!$C97="",0,IF($Z$2&lt;&gt;"OK",0,IF(AND(ISNUMBER(Control_Achizitii!$B97),Control_Achizitii!$B97&gt;=$E$5,Control_Achizitii!$B97&lt;$J$5+1,OR($O$5="Toate proiectele",Control_Achizitii!$Q97=$O$5)),1,0)))</f>
        <v>0</v>
      </c>
      <c r="W97" s="27">
        <f>IF(AND(V97=1,OR(Control_Achizitii!$J97&lt;&gt;"DOSAR COMPLET",Control_Achizitii!$K97&lt;&gt;"")),ROW(),1000000000)</f>
        <v>1000000000</v>
      </c>
      <c r="X97" s="27">
        <f>IF(AND(V97=1,LEFT(Control_Achizitii!$E97,4)="Fact",NOT(ISNUMBER(Control_Achizitii!$P97))),1,0)</f>
        <v>0</v>
      </c>
      <c r="Y97" s="27">
        <f>IF(V97=0,0,IF(Control_Achizitii!$J97="DOSAR COMPLET",1,IF(LEFT(Control_Achizitii!$J97,9)="INCOMPLET",2,3)))</f>
        <v>0</v>
      </c>
      <c r="Z97" s="27"/>
      <c r="AA97" s="27"/>
      <c r="AB97" s="27"/>
      <c r="AC97" s="27"/>
      <c r="AD97" s="27"/>
      <c r="AE97" s="27"/>
      <c r="AF97" s="27"/>
      <c r="AG97" s="27"/>
      <c r="AH97" s="27">
        <f>IF(AND(V97=1,Control_Achizitii!$J97="DOSAR COMPLET",Control_Achizitii!$K97&lt;&gt;""),1,0)</f>
        <v>0</v>
      </c>
    </row>
    <row r="98" spans="1:34">
      <c r="A98" s="27"/>
      <c r="B98" s="27"/>
      <c r="C98" s="27"/>
      <c r="D98" s="27"/>
      <c r="E98" s="27"/>
      <c r="F98" s="27"/>
      <c r="G98" s="27"/>
      <c r="H98" s="27"/>
      <c r="I98" s="27"/>
      <c r="J98" s="27"/>
      <c r="K98" s="27"/>
      <c r="L98" s="27"/>
      <c r="M98" s="27"/>
      <c r="N98" s="27"/>
      <c r="O98" s="27"/>
      <c r="P98" s="27"/>
      <c r="Q98" s="27"/>
      <c r="R98" s="27"/>
      <c r="S98" s="27"/>
      <c r="T98" s="27">
        <f>IF(LEFT(Control_Achizitii!$E98,4)="Fact",1,0)</f>
        <v>0</v>
      </c>
      <c r="U98" s="27">
        <f>IF(Control_Achizitii!$C98="",0,IF(ISNUMBER(Control_Achizitii!$B98),0,1))</f>
        <v>0</v>
      </c>
      <c r="V98" s="27">
        <f>IF(Control_Achizitii!$C98="",0,IF($Z$2&lt;&gt;"OK",0,IF(AND(ISNUMBER(Control_Achizitii!$B98),Control_Achizitii!$B98&gt;=$E$5,Control_Achizitii!$B98&lt;$J$5+1,OR($O$5="Toate proiectele",Control_Achizitii!$Q98=$O$5)),1,0)))</f>
        <v>0</v>
      </c>
      <c r="W98" s="27">
        <f>IF(AND(V98=1,OR(Control_Achizitii!$J98&lt;&gt;"DOSAR COMPLET",Control_Achizitii!$K98&lt;&gt;"")),ROW(),1000000000)</f>
        <v>1000000000</v>
      </c>
      <c r="X98" s="27">
        <f>IF(AND(V98=1,LEFT(Control_Achizitii!$E98,4)="Fact",NOT(ISNUMBER(Control_Achizitii!$P98))),1,0)</f>
        <v>0</v>
      </c>
      <c r="Y98" s="27">
        <f>IF(V98=0,0,IF(Control_Achizitii!$J98="DOSAR COMPLET",1,IF(LEFT(Control_Achizitii!$J98,9)="INCOMPLET",2,3)))</f>
        <v>0</v>
      </c>
      <c r="Z98" s="27"/>
      <c r="AA98" s="27"/>
      <c r="AB98" s="27"/>
      <c r="AC98" s="27"/>
      <c r="AD98" s="27"/>
      <c r="AE98" s="27"/>
      <c r="AF98" s="27"/>
      <c r="AG98" s="27"/>
      <c r="AH98" s="27">
        <f>IF(AND(V98=1,Control_Achizitii!$J98="DOSAR COMPLET",Control_Achizitii!$K98&lt;&gt;""),1,0)</f>
        <v>0</v>
      </c>
    </row>
    <row r="99" spans="1:34">
      <c r="A99" s="27"/>
      <c r="B99" s="27"/>
      <c r="C99" s="27"/>
      <c r="D99" s="27"/>
      <c r="E99" s="27"/>
      <c r="F99" s="27"/>
      <c r="G99" s="27"/>
      <c r="H99" s="27"/>
      <c r="I99" s="27"/>
      <c r="J99" s="27"/>
      <c r="K99" s="27"/>
      <c r="L99" s="27"/>
      <c r="M99" s="27"/>
      <c r="N99" s="27"/>
      <c r="O99" s="27"/>
      <c r="P99" s="27"/>
      <c r="Q99" s="27"/>
      <c r="R99" s="27"/>
      <c r="S99" s="27"/>
      <c r="T99" s="27">
        <f>IF(LEFT(Control_Achizitii!$E99,4)="Fact",1,0)</f>
        <v>0</v>
      </c>
      <c r="U99" s="27">
        <f>IF(Control_Achizitii!$C99="",0,IF(ISNUMBER(Control_Achizitii!$B99),0,1))</f>
        <v>0</v>
      </c>
      <c r="V99" s="27">
        <f>IF(Control_Achizitii!$C99="",0,IF($Z$2&lt;&gt;"OK",0,IF(AND(ISNUMBER(Control_Achizitii!$B99),Control_Achizitii!$B99&gt;=$E$5,Control_Achizitii!$B99&lt;$J$5+1,OR($O$5="Toate proiectele",Control_Achizitii!$Q99=$O$5)),1,0)))</f>
        <v>0</v>
      </c>
      <c r="W99" s="27">
        <f>IF(AND(V99=1,OR(Control_Achizitii!$J99&lt;&gt;"DOSAR COMPLET",Control_Achizitii!$K99&lt;&gt;"")),ROW(),1000000000)</f>
        <v>1000000000</v>
      </c>
      <c r="X99" s="27">
        <f>IF(AND(V99=1,LEFT(Control_Achizitii!$E99,4)="Fact",NOT(ISNUMBER(Control_Achizitii!$P99))),1,0)</f>
        <v>0</v>
      </c>
      <c r="Y99" s="27">
        <f>IF(V99=0,0,IF(Control_Achizitii!$J99="DOSAR COMPLET",1,IF(LEFT(Control_Achizitii!$J99,9)="INCOMPLET",2,3)))</f>
        <v>0</v>
      </c>
      <c r="Z99" s="27"/>
      <c r="AA99" s="27"/>
      <c r="AB99" s="27"/>
      <c r="AC99" s="27"/>
      <c r="AD99" s="27"/>
      <c r="AE99" s="27"/>
      <c r="AF99" s="27"/>
      <c r="AG99" s="27"/>
      <c r="AH99" s="27">
        <f>IF(AND(V99=1,Control_Achizitii!$J99="DOSAR COMPLET",Control_Achizitii!$K99&lt;&gt;""),1,0)</f>
        <v>0</v>
      </c>
    </row>
    <row r="100" spans="1:34">
      <c r="A100" s="27"/>
      <c r="B100" s="27"/>
      <c r="C100" s="27"/>
      <c r="D100" s="27"/>
      <c r="E100" s="27"/>
      <c r="F100" s="27"/>
      <c r="G100" s="27"/>
      <c r="H100" s="27"/>
      <c r="I100" s="27"/>
      <c r="J100" s="27"/>
      <c r="K100" s="27"/>
      <c r="L100" s="27"/>
      <c r="M100" s="27"/>
      <c r="N100" s="27"/>
      <c r="O100" s="27"/>
      <c r="P100" s="27"/>
      <c r="Q100" s="27"/>
      <c r="R100" s="27"/>
      <c r="S100" s="27"/>
      <c r="T100" s="27">
        <f>IF(LEFT(Control_Achizitii!$E100,4)="Fact",1,0)</f>
        <v>0</v>
      </c>
      <c r="U100" s="27">
        <f>IF(Control_Achizitii!$C100="",0,IF(ISNUMBER(Control_Achizitii!$B100),0,1))</f>
        <v>0</v>
      </c>
      <c r="V100" s="27">
        <f>IF(Control_Achizitii!$C100="",0,IF($Z$2&lt;&gt;"OK",0,IF(AND(ISNUMBER(Control_Achizitii!$B100),Control_Achizitii!$B100&gt;=$E$5,Control_Achizitii!$B100&lt;$J$5+1,OR($O$5="Toate proiectele",Control_Achizitii!$Q100=$O$5)),1,0)))</f>
        <v>0</v>
      </c>
      <c r="W100" s="27">
        <f>IF(AND(V100=1,OR(Control_Achizitii!$J100&lt;&gt;"DOSAR COMPLET",Control_Achizitii!$K100&lt;&gt;"")),ROW(),1000000000)</f>
        <v>1000000000</v>
      </c>
      <c r="X100" s="27">
        <f>IF(AND(V100=1,LEFT(Control_Achizitii!$E100,4)="Fact",NOT(ISNUMBER(Control_Achizitii!$P100))),1,0)</f>
        <v>0</v>
      </c>
      <c r="Y100" s="27">
        <f>IF(V100=0,0,IF(Control_Achizitii!$J100="DOSAR COMPLET",1,IF(LEFT(Control_Achizitii!$J100,9)="INCOMPLET",2,3)))</f>
        <v>0</v>
      </c>
      <c r="Z100" s="27"/>
      <c r="AA100" s="27"/>
      <c r="AB100" s="27"/>
      <c r="AC100" s="27"/>
      <c r="AD100" s="27"/>
      <c r="AE100" s="27"/>
      <c r="AF100" s="27"/>
      <c r="AG100" s="27"/>
      <c r="AH100" s="27">
        <f>IF(AND(V100=1,Control_Achizitii!$J100="DOSAR COMPLET",Control_Achizitii!$K100&lt;&gt;""),1,0)</f>
        <v>0</v>
      </c>
    </row>
    <row r="101" spans="1:34">
      <c r="A101" s="27"/>
      <c r="B101" s="27"/>
      <c r="C101" s="27"/>
      <c r="D101" s="27"/>
      <c r="E101" s="27"/>
      <c r="F101" s="27"/>
      <c r="G101" s="27"/>
      <c r="H101" s="27"/>
      <c r="I101" s="27"/>
      <c r="J101" s="27"/>
      <c r="K101" s="27"/>
      <c r="L101" s="27"/>
      <c r="M101" s="27"/>
      <c r="N101" s="27"/>
      <c r="O101" s="27"/>
      <c r="P101" s="27"/>
      <c r="Q101" s="27"/>
      <c r="R101" s="27"/>
      <c r="S101" s="27"/>
      <c r="T101" s="27">
        <f>IF(LEFT(Control_Achizitii!$E101,4)="Fact",1,0)</f>
        <v>0</v>
      </c>
      <c r="U101" s="27">
        <f>IF(Control_Achizitii!$C101="",0,IF(ISNUMBER(Control_Achizitii!$B101),0,1))</f>
        <v>0</v>
      </c>
      <c r="V101" s="27">
        <f>IF(Control_Achizitii!$C101="",0,IF($Z$2&lt;&gt;"OK",0,IF(AND(ISNUMBER(Control_Achizitii!$B101),Control_Achizitii!$B101&gt;=$E$5,Control_Achizitii!$B101&lt;$J$5+1,OR($O$5="Toate proiectele",Control_Achizitii!$Q101=$O$5)),1,0)))</f>
        <v>0</v>
      </c>
      <c r="W101" s="27">
        <f>IF(AND(V101=1,OR(Control_Achizitii!$J101&lt;&gt;"DOSAR COMPLET",Control_Achizitii!$K101&lt;&gt;"")),ROW(),1000000000)</f>
        <v>1000000000</v>
      </c>
      <c r="X101" s="27">
        <f>IF(AND(V101=1,LEFT(Control_Achizitii!$E101,4)="Fact",NOT(ISNUMBER(Control_Achizitii!$P101))),1,0)</f>
        <v>0</v>
      </c>
      <c r="Y101" s="27">
        <f>IF(V101=0,0,IF(Control_Achizitii!$J101="DOSAR COMPLET",1,IF(LEFT(Control_Achizitii!$J101,9)="INCOMPLET",2,3)))</f>
        <v>0</v>
      </c>
      <c r="Z101" s="27"/>
      <c r="AA101" s="27"/>
      <c r="AB101" s="27"/>
      <c r="AC101" s="27"/>
      <c r="AD101" s="27"/>
      <c r="AE101" s="27"/>
      <c r="AF101" s="27"/>
      <c r="AG101" s="27"/>
      <c r="AH101" s="27">
        <f>IF(AND(V101=1,Control_Achizitii!$J101="DOSAR COMPLET",Control_Achizitii!$K101&lt;&gt;""),1,0)</f>
        <v>0</v>
      </c>
    </row>
    <row r="102" spans="1:34">
      <c r="A102" s="27"/>
      <c r="B102" s="27"/>
      <c r="C102" s="27"/>
      <c r="D102" s="27"/>
      <c r="E102" s="27"/>
      <c r="F102" s="27"/>
      <c r="G102" s="27"/>
      <c r="H102" s="27"/>
      <c r="I102" s="27"/>
      <c r="J102" s="27"/>
      <c r="K102" s="27"/>
      <c r="L102" s="27"/>
      <c r="M102" s="27"/>
      <c r="N102" s="27"/>
      <c r="O102" s="27"/>
      <c r="P102" s="27"/>
      <c r="Q102" s="27"/>
      <c r="R102" s="27"/>
      <c r="S102" s="27"/>
      <c r="T102" s="27">
        <f>IF(LEFT(Control_Achizitii!$E102,4)="Fact",1,0)</f>
        <v>0</v>
      </c>
      <c r="U102" s="27">
        <f>IF(Control_Achizitii!$C102="",0,IF(ISNUMBER(Control_Achizitii!$B102),0,1))</f>
        <v>0</v>
      </c>
      <c r="V102" s="27">
        <f>IF(Control_Achizitii!$C102="",0,IF($Z$2&lt;&gt;"OK",0,IF(AND(ISNUMBER(Control_Achizitii!$B102),Control_Achizitii!$B102&gt;=$E$5,Control_Achizitii!$B102&lt;$J$5+1,OR($O$5="Toate proiectele",Control_Achizitii!$Q102=$O$5)),1,0)))</f>
        <v>0</v>
      </c>
      <c r="W102" s="27">
        <f>IF(AND(V102=1,OR(Control_Achizitii!$J102&lt;&gt;"DOSAR COMPLET",Control_Achizitii!$K102&lt;&gt;"")),ROW(),1000000000)</f>
        <v>1000000000</v>
      </c>
      <c r="X102" s="27">
        <f>IF(AND(V102=1,LEFT(Control_Achizitii!$E102,4)="Fact",NOT(ISNUMBER(Control_Achizitii!$P102))),1,0)</f>
        <v>0</v>
      </c>
      <c r="Y102" s="27">
        <f>IF(V102=0,0,IF(Control_Achizitii!$J102="DOSAR COMPLET",1,IF(LEFT(Control_Achizitii!$J102,9)="INCOMPLET",2,3)))</f>
        <v>0</v>
      </c>
      <c r="Z102" s="27"/>
      <c r="AA102" s="27"/>
      <c r="AB102" s="27"/>
      <c r="AC102" s="27"/>
      <c r="AD102" s="27"/>
      <c r="AE102" s="27"/>
      <c r="AF102" s="27"/>
      <c r="AG102" s="27"/>
      <c r="AH102" s="27">
        <f>IF(AND(V102=1,Control_Achizitii!$J102="DOSAR COMPLET",Control_Achizitii!$K102&lt;&gt;""),1,0)</f>
        <v>0</v>
      </c>
    </row>
    <row r="103" spans="1:34">
      <c r="A103" s="27"/>
      <c r="B103" s="27"/>
      <c r="C103" s="27"/>
      <c r="D103" s="27"/>
      <c r="E103" s="27"/>
      <c r="F103" s="27"/>
      <c r="G103" s="27"/>
      <c r="H103" s="27"/>
      <c r="I103" s="27"/>
      <c r="J103" s="27"/>
      <c r="K103" s="27"/>
      <c r="L103" s="27"/>
      <c r="M103" s="27"/>
      <c r="N103" s="27"/>
      <c r="O103" s="27"/>
      <c r="P103" s="27"/>
      <c r="Q103" s="27"/>
      <c r="R103" s="27"/>
      <c r="S103" s="27"/>
      <c r="T103" s="27">
        <f>IF(LEFT(Control_Achizitii!$E103,4)="Fact",1,0)</f>
        <v>0</v>
      </c>
      <c r="U103" s="27">
        <f>IF(Control_Achizitii!$C103="",0,IF(ISNUMBER(Control_Achizitii!$B103),0,1))</f>
        <v>0</v>
      </c>
      <c r="V103" s="27">
        <f>IF(Control_Achizitii!$C103="",0,IF($Z$2&lt;&gt;"OK",0,IF(AND(ISNUMBER(Control_Achizitii!$B103),Control_Achizitii!$B103&gt;=$E$5,Control_Achizitii!$B103&lt;$J$5+1,OR($O$5="Toate proiectele",Control_Achizitii!$Q103=$O$5)),1,0)))</f>
        <v>0</v>
      </c>
      <c r="W103" s="27">
        <f>IF(AND(V103=1,OR(Control_Achizitii!$J103&lt;&gt;"DOSAR COMPLET",Control_Achizitii!$K103&lt;&gt;"")),ROW(),1000000000)</f>
        <v>1000000000</v>
      </c>
      <c r="X103" s="27">
        <f>IF(AND(V103=1,LEFT(Control_Achizitii!$E103,4)="Fact",NOT(ISNUMBER(Control_Achizitii!$P103))),1,0)</f>
        <v>0</v>
      </c>
      <c r="Y103" s="27">
        <f>IF(V103=0,0,IF(Control_Achizitii!$J103="DOSAR COMPLET",1,IF(LEFT(Control_Achizitii!$J103,9)="INCOMPLET",2,3)))</f>
        <v>0</v>
      </c>
      <c r="Z103" s="27"/>
      <c r="AA103" s="27"/>
      <c r="AB103" s="27"/>
      <c r="AC103" s="27"/>
      <c r="AD103" s="27"/>
      <c r="AE103" s="27"/>
      <c r="AF103" s="27"/>
      <c r="AG103" s="27"/>
      <c r="AH103" s="27">
        <f>IF(AND(V103=1,Control_Achizitii!$J103="DOSAR COMPLET",Control_Achizitii!$K103&lt;&gt;""),1,0)</f>
        <v>0</v>
      </c>
    </row>
    <row r="104" spans="1:34">
      <c r="A104" s="27"/>
      <c r="B104" s="27"/>
      <c r="C104" s="27"/>
      <c r="D104" s="27"/>
      <c r="E104" s="27"/>
      <c r="F104" s="27"/>
      <c r="G104" s="27"/>
      <c r="H104" s="27"/>
      <c r="I104" s="27"/>
      <c r="J104" s="27"/>
      <c r="K104" s="27"/>
      <c r="L104" s="27"/>
      <c r="M104" s="27"/>
      <c r="N104" s="27"/>
      <c r="O104" s="27"/>
      <c r="P104" s="27"/>
      <c r="Q104" s="27"/>
      <c r="R104" s="27"/>
      <c r="S104" s="27"/>
      <c r="T104" s="27">
        <f>IF(LEFT(Control_Achizitii!$E104,4)="Fact",1,0)</f>
        <v>0</v>
      </c>
      <c r="U104" s="27">
        <f>IF(Control_Achizitii!$C104="",0,IF(ISNUMBER(Control_Achizitii!$B104),0,1))</f>
        <v>0</v>
      </c>
      <c r="V104" s="27">
        <f>IF(Control_Achizitii!$C104="",0,IF($Z$2&lt;&gt;"OK",0,IF(AND(ISNUMBER(Control_Achizitii!$B104),Control_Achizitii!$B104&gt;=$E$5,Control_Achizitii!$B104&lt;$J$5+1,OR($O$5="Toate proiectele",Control_Achizitii!$Q104=$O$5)),1,0)))</f>
        <v>0</v>
      </c>
      <c r="W104" s="27">
        <f>IF(AND(V104=1,OR(Control_Achizitii!$J104&lt;&gt;"DOSAR COMPLET",Control_Achizitii!$K104&lt;&gt;"")),ROW(),1000000000)</f>
        <v>1000000000</v>
      </c>
      <c r="X104" s="27">
        <f>IF(AND(V104=1,LEFT(Control_Achizitii!$E104,4)="Fact",NOT(ISNUMBER(Control_Achizitii!$P104))),1,0)</f>
        <v>0</v>
      </c>
      <c r="Y104" s="27">
        <f>IF(V104=0,0,IF(Control_Achizitii!$J104="DOSAR COMPLET",1,IF(LEFT(Control_Achizitii!$J104,9)="INCOMPLET",2,3)))</f>
        <v>0</v>
      </c>
      <c r="Z104" s="27"/>
      <c r="AA104" s="27"/>
      <c r="AB104" s="27"/>
      <c r="AC104" s="27"/>
      <c r="AD104" s="27"/>
      <c r="AE104" s="27"/>
      <c r="AF104" s="27"/>
      <c r="AG104" s="27"/>
      <c r="AH104" s="27">
        <f>IF(AND(V104=1,Control_Achizitii!$J104="DOSAR COMPLET",Control_Achizitii!$K104&lt;&gt;""),1,0)</f>
        <v>0</v>
      </c>
    </row>
    <row r="105" spans="1:34">
      <c r="A105" s="27"/>
      <c r="B105" s="27"/>
      <c r="C105" s="27"/>
      <c r="D105" s="27"/>
      <c r="E105" s="27"/>
      <c r="F105" s="27"/>
      <c r="G105" s="27"/>
      <c r="H105" s="27"/>
      <c r="I105" s="27"/>
      <c r="J105" s="27"/>
      <c r="K105" s="27"/>
      <c r="L105" s="27"/>
      <c r="M105" s="27"/>
      <c r="N105" s="27"/>
      <c r="O105" s="27"/>
      <c r="P105" s="27"/>
      <c r="Q105" s="27"/>
      <c r="R105" s="27"/>
      <c r="S105" s="27"/>
      <c r="T105" s="27">
        <f>IF(LEFT(Control_Achizitii!$E105,4)="Fact",1,0)</f>
        <v>0</v>
      </c>
      <c r="U105" s="27">
        <f>IF(Control_Achizitii!$C105="",0,IF(ISNUMBER(Control_Achizitii!$B105),0,1))</f>
        <v>0</v>
      </c>
      <c r="V105" s="27">
        <f>IF(Control_Achizitii!$C105="",0,IF($Z$2&lt;&gt;"OK",0,IF(AND(ISNUMBER(Control_Achizitii!$B105),Control_Achizitii!$B105&gt;=$E$5,Control_Achizitii!$B105&lt;$J$5+1,OR($O$5="Toate proiectele",Control_Achizitii!$Q105=$O$5)),1,0)))</f>
        <v>0</v>
      </c>
      <c r="W105" s="27">
        <f>IF(AND(V105=1,OR(Control_Achizitii!$J105&lt;&gt;"DOSAR COMPLET",Control_Achizitii!$K105&lt;&gt;"")),ROW(),1000000000)</f>
        <v>1000000000</v>
      </c>
      <c r="X105" s="27">
        <f>IF(AND(V105=1,LEFT(Control_Achizitii!$E105,4)="Fact",NOT(ISNUMBER(Control_Achizitii!$P105))),1,0)</f>
        <v>0</v>
      </c>
      <c r="Y105" s="27">
        <f>IF(V105=0,0,IF(Control_Achizitii!$J105="DOSAR COMPLET",1,IF(LEFT(Control_Achizitii!$J105,9)="INCOMPLET",2,3)))</f>
        <v>0</v>
      </c>
      <c r="Z105" s="27"/>
      <c r="AA105" s="27"/>
      <c r="AB105" s="27"/>
      <c r="AC105" s="27"/>
      <c r="AD105" s="27"/>
      <c r="AE105" s="27"/>
      <c r="AF105" s="27"/>
      <c r="AG105" s="27"/>
      <c r="AH105" s="27">
        <f>IF(AND(V105=1,Control_Achizitii!$J105="DOSAR COMPLET",Control_Achizitii!$K105&lt;&gt;""),1,0)</f>
        <v>0</v>
      </c>
    </row>
    <row r="106" spans="1:34">
      <c r="A106" s="27"/>
      <c r="B106" s="27"/>
      <c r="C106" s="27"/>
      <c r="D106" s="27"/>
      <c r="E106" s="27"/>
      <c r="F106" s="27"/>
      <c r="G106" s="27"/>
      <c r="H106" s="27"/>
      <c r="I106" s="27"/>
      <c r="J106" s="27"/>
      <c r="K106" s="27"/>
      <c r="L106" s="27"/>
      <c r="M106" s="27"/>
      <c r="N106" s="27"/>
      <c r="O106" s="27"/>
      <c r="P106" s="27"/>
      <c r="Q106" s="27"/>
      <c r="R106" s="27"/>
      <c r="S106" s="27"/>
      <c r="T106" s="27">
        <f>IF(LEFT(Control_Achizitii!$E106,4)="Fact",1,0)</f>
        <v>0</v>
      </c>
      <c r="U106" s="27">
        <f>IF(Control_Achizitii!$C106="",0,IF(ISNUMBER(Control_Achizitii!$B106),0,1))</f>
        <v>0</v>
      </c>
      <c r="V106" s="27">
        <f>IF(Control_Achizitii!$C106="",0,IF($Z$2&lt;&gt;"OK",0,IF(AND(ISNUMBER(Control_Achizitii!$B106),Control_Achizitii!$B106&gt;=$E$5,Control_Achizitii!$B106&lt;$J$5+1,OR($O$5="Toate proiectele",Control_Achizitii!$Q106=$O$5)),1,0)))</f>
        <v>0</v>
      </c>
      <c r="W106" s="27">
        <f>IF(AND(V106=1,OR(Control_Achizitii!$J106&lt;&gt;"DOSAR COMPLET",Control_Achizitii!$K106&lt;&gt;"")),ROW(),1000000000)</f>
        <v>1000000000</v>
      </c>
      <c r="X106" s="27">
        <f>IF(AND(V106=1,LEFT(Control_Achizitii!$E106,4)="Fact",NOT(ISNUMBER(Control_Achizitii!$P106))),1,0)</f>
        <v>0</v>
      </c>
      <c r="Y106" s="27">
        <f>IF(V106=0,0,IF(Control_Achizitii!$J106="DOSAR COMPLET",1,IF(LEFT(Control_Achizitii!$J106,9)="INCOMPLET",2,3)))</f>
        <v>0</v>
      </c>
      <c r="Z106" s="27"/>
      <c r="AA106" s="27"/>
      <c r="AB106" s="27"/>
      <c r="AC106" s="27"/>
      <c r="AD106" s="27"/>
      <c r="AE106" s="27"/>
      <c r="AF106" s="27"/>
      <c r="AG106" s="27"/>
      <c r="AH106" s="27">
        <f>IF(AND(V106=1,Control_Achizitii!$J106="DOSAR COMPLET",Control_Achizitii!$K106&lt;&gt;""),1,0)</f>
        <v>0</v>
      </c>
    </row>
    <row r="107" spans="1:34">
      <c r="A107" s="27"/>
      <c r="B107" s="27"/>
      <c r="C107" s="27"/>
      <c r="D107" s="27"/>
      <c r="E107" s="27"/>
      <c r="F107" s="27"/>
      <c r="G107" s="27"/>
      <c r="H107" s="27"/>
      <c r="I107" s="27"/>
      <c r="J107" s="27"/>
      <c r="K107" s="27"/>
      <c r="L107" s="27"/>
      <c r="M107" s="27"/>
      <c r="N107" s="27"/>
      <c r="O107" s="27"/>
      <c r="P107" s="27"/>
      <c r="Q107" s="27"/>
      <c r="R107" s="27"/>
      <c r="S107" s="27"/>
      <c r="T107" s="27">
        <f>IF(LEFT(Control_Achizitii!$E107,4)="Fact",1,0)</f>
        <v>0</v>
      </c>
      <c r="U107" s="27">
        <f>IF(Control_Achizitii!$C107="",0,IF(ISNUMBER(Control_Achizitii!$B107),0,1))</f>
        <v>0</v>
      </c>
      <c r="V107" s="27">
        <f>IF(Control_Achizitii!$C107="",0,IF($Z$2&lt;&gt;"OK",0,IF(AND(ISNUMBER(Control_Achizitii!$B107),Control_Achizitii!$B107&gt;=$E$5,Control_Achizitii!$B107&lt;$J$5+1,OR($O$5="Toate proiectele",Control_Achizitii!$Q107=$O$5)),1,0)))</f>
        <v>0</v>
      </c>
      <c r="W107" s="27">
        <f>IF(AND(V107=1,OR(Control_Achizitii!$J107&lt;&gt;"DOSAR COMPLET",Control_Achizitii!$K107&lt;&gt;"")),ROW(),1000000000)</f>
        <v>1000000000</v>
      </c>
      <c r="X107" s="27">
        <f>IF(AND(V107=1,LEFT(Control_Achizitii!$E107,4)="Fact",NOT(ISNUMBER(Control_Achizitii!$P107))),1,0)</f>
        <v>0</v>
      </c>
      <c r="Y107" s="27">
        <f>IF(V107=0,0,IF(Control_Achizitii!$J107="DOSAR COMPLET",1,IF(LEFT(Control_Achizitii!$J107,9)="INCOMPLET",2,3)))</f>
        <v>0</v>
      </c>
      <c r="Z107" s="27"/>
      <c r="AA107" s="27"/>
      <c r="AB107" s="27"/>
      <c r="AC107" s="27"/>
      <c r="AD107" s="27"/>
      <c r="AE107" s="27"/>
      <c r="AF107" s="27"/>
      <c r="AG107" s="27"/>
      <c r="AH107" s="27">
        <f>IF(AND(V107=1,Control_Achizitii!$J107="DOSAR COMPLET",Control_Achizitii!$K107&lt;&gt;""),1,0)</f>
        <v>0</v>
      </c>
    </row>
    <row r="108" spans="1:34">
      <c r="A108" s="27"/>
      <c r="B108" s="27"/>
      <c r="C108" s="27"/>
      <c r="D108" s="27"/>
      <c r="E108" s="27"/>
      <c r="F108" s="27"/>
      <c r="G108" s="27"/>
      <c r="H108" s="27"/>
      <c r="I108" s="27"/>
      <c r="J108" s="27"/>
      <c r="K108" s="27"/>
      <c r="L108" s="27"/>
      <c r="M108" s="27"/>
      <c r="N108" s="27"/>
      <c r="O108" s="27"/>
      <c r="P108" s="27"/>
      <c r="Q108" s="27"/>
      <c r="R108" s="27"/>
      <c r="S108" s="27"/>
      <c r="T108" s="27">
        <f>IF(LEFT(Control_Achizitii!$E108,4)="Fact",1,0)</f>
        <v>0</v>
      </c>
      <c r="U108" s="27">
        <f>IF(Control_Achizitii!$C108="",0,IF(ISNUMBER(Control_Achizitii!$B108),0,1))</f>
        <v>0</v>
      </c>
      <c r="V108" s="27">
        <f>IF(Control_Achizitii!$C108="",0,IF($Z$2&lt;&gt;"OK",0,IF(AND(ISNUMBER(Control_Achizitii!$B108),Control_Achizitii!$B108&gt;=$E$5,Control_Achizitii!$B108&lt;$J$5+1,OR($O$5="Toate proiectele",Control_Achizitii!$Q108=$O$5)),1,0)))</f>
        <v>0</v>
      </c>
      <c r="W108" s="27">
        <f>IF(AND(V108=1,OR(Control_Achizitii!$J108&lt;&gt;"DOSAR COMPLET",Control_Achizitii!$K108&lt;&gt;"")),ROW(),1000000000)</f>
        <v>1000000000</v>
      </c>
      <c r="X108" s="27">
        <f>IF(AND(V108=1,LEFT(Control_Achizitii!$E108,4)="Fact",NOT(ISNUMBER(Control_Achizitii!$P108))),1,0)</f>
        <v>0</v>
      </c>
      <c r="Y108" s="27">
        <f>IF(V108=0,0,IF(Control_Achizitii!$J108="DOSAR COMPLET",1,IF(LEFT(Control_Achizitii!$J108,9)="INCOMPLET",2,3)))</f>
        <v>0</v>
      </c>
      <c r="Z108" s="27"/>
      <c r="AA108" s="27"/>
      <c r="AB108" s="27"/>
      <c r="AC108" s="27"/>
      <c r="AD108" s="27"/>
      <c r="AE108" s="27"/>
      <c r="AF108" s="27"/>
      <c r="AG108" s="27"/>
      <c r="AH108" s="27">
        <f>IF(AND(V108=1,Control_Achizitii!$J108="DOSAR COMPLET",Control_Achizitii!$K108&lt;&gt;""),1,0)</f>
        <v>0</v>
      </c>
    </row>
    <row r="109" spans="1:34">
      <c r="A109" s="27"/>
      <c r="B109" s="27"/>
      <c r="C109" s="27"/>
      <c r="D109" s="27"/>
      <c r="E109" s="27"/>
      <c r="F109" s="27"/>
      <c r="G109" s="27"/>
      <c r="H109" s="27"/>
      <c r="I109" s="27"/>
      <c r="J109" s="27"/>
      <c r="K109" s="27"/>
      <c r="L109" s="27"/>
      <c r="M109" s="27"/>
      <c r="N109" s="27"/>
      <c r="O109" s="27"/>
      <c r="P109" s="27"/>
      <c r="Q109" s="27"/>
      <c r="R109" s="27"/>
      <c r="S109" s="27"/>
      <c r="T109" s="27">
        <f>IF(LEFT(Control_Achizitii!$E109,4)="Fact",1,0)</f>
        <v>0</v>
      </c>
      <c r="U109" s="27">
        <f>IF(Control_Achizitii!$C109="",0,IF(ISNUMBER(Control_Achizitii!$B109),0,1))</f>
        <v>0</v>
      </c>
      <c r="V109" s="27">
        <f>IF(Control_Achizitii!$C109="",0,IF($Z$2&lt;&gt;"OK",0,IF(AND(ISNUMBER(Control_Achizitii!$B109),Control_Achizitii!$B109&gt;=$E$5,Control_Achizitii!$B109&lt;$J$5+1,OR($O$5="Toate proiectele",Control_Achizitii!$Q109=$O$5)),1,0)))</f>
        <v>0</v>
      </c>
      <c r="W109" s="27">
        <f>IF(AND(V109=1,OR(Control_Achizitii!$J109&lt;&gt;"DOSAR COMPLET",Control_Achizitii!$K109&lt;&gt;"")),ROW(),1000000000)</f>
        <v>1000000000</v>
      </c>
      <c r="X109" s="27">
        <f>IF(AND(V109=1,LEFT(Control_Achizitii!$E109,4)="Fact",NOT(ISNUMBER(Control_Achizitii!$P109))),1,0)</f>
        <v>0</v>
      </c>
      <c r="Y109" s="27">
        <f>IF(V109=0,0,IF(Control_Achizitii!$J109="DOSAR COMPLET",1,IF(LEFT(Control_Achizitii!$J109,9)="INCOMPLET",2,3)))</f>
        <v>0</v>
      </c>
      <c r="Z109" s="27"/>
      <c r="AA109" s="27"/>
      <c r="AB109" s="27"/>
      <c r="AC109" s="27"/>
      <c r="AD109" s="27"/>
      <c r="AE109" s="27"/>
      <c r="AF109" s="27"/>
      <c r="AG109" s="27"/>
      <c r="AH109" s="27">
        <f>IF(AND(V109=1,Control_Achizitii!$J109="DOSAR COMPLET",Control_Achizitii!$K109&lt;&gt;""),1,0)</f>
        <v>0</v>
      </c>
    </row>
    <row r="110" spans="1:34">
      <c r="A110" s="27"/>
      <c r="B110" s="27"/>
      <c r="C110" s="27"/>
      <c r="D110" s="27"/>
      <c r="E110" s="27"/>
      <c r="F110" s="27"/>
      <c r="G110" s="27"/>
      <c r="H110" s="27"/>
      <c r="I110" s="27"/>
      <c r="J110" s="27"/>
      <c r="K110" s="27"/>
      <c r="L110" s="27"/>
      <c r="M110" s="27"/>
      <c r="N110" s="27"/>
      <c r="O110" s="27"/>
      <c r="P110" s="27"/>
      <c r="Q110" s="27"/>
      <c r="R110" s="27"/>
      <c r="S110" s="27"/>
      <c r="T110" s="27">
        <f>IF(LEFT(Control_Achizitii!$E110,4)="Fact",1,0)</f>
        <v>0</v>
      </c>
      <c r="U110" s="27">
        <f>IF(Control_Achizitii!$C110="",0,IF(ISNUMBER(Control_Achizitii!$B110),0,1))</f>
        <v>0</v>
      </c>
      <c r="V110" s="27">
        <f>IF(Control_Achizitii!$C110="",0,IF($Z$2&lt;&gt;"OK",0,IF(AND(ISNUMBER(Control_Achizitii!$B110),Control_Achizitii!$B110&gt;=$E$5,Control_Achizitii!$B110&lt;$J$5+1,OR($O$5="Toate proiectele",Control_Achizitii!$Q110=$O$5)),1,0)))</f>
        <v>0</v>
      </c>
      <c r="W110" s="27">
        <f>IF(AND(V110=1,OR(Control_Achizitii!$J110&lt;&gt;"DOSAR COMPLET",Control_Achizitii!$K110&lt;&gt;"")),ROW(),1000000000)</f>
        <v>1000000000</v>
      </c>
      <c r="X110" s="27">
        <f>IF(AND(V110=1,LEFT(Control_Achizitii!$E110,4)="Fact",NOT(ISNUMBER(Control_Achizitii!$P110))),1,0)</f>
        <v>0</v>
      </c>
      <c r="Y110" s="27">
        <f>IF(V110=0,0,IF(Control_Achizitii!$J110="DOSAR COMPLET",1,IF(LEFT(Control_Achizitii!$J110,9)="INCOMPLET",2,3)))</f>
        <v>0</v>
      </c>
      <c r="Z110" s="27"/>
      <c r="AA110" s="27"/>
      <c r="AB110" s="27"/>
      <c r="AC110" s="27"/>
      <c r="AD110" s="27"/>
      <c r="AE110" s="27"/>
      <c r="AF110" s="27"/>
      <c r="AG110" s="27"/>
      <c r="AH110" s="27">
        <f>IF(AND(V110=1,Control_Achizitii!$J110="DOSAR COMPLET",Control_Achizitii!$K110&lt;&gt;""),1,0)</f>
        <v>0</v>
      </c>
    </row>
    <row r="111" spans="1:34">
      <c r="A111" s="27"/>
      <c r="B111" s="27"/>
      <c r="C111" s="27"/>
      <c r="D111" s="27"/>
      <c r="E111" s="27"/>
      <c r="F111" s="27"/>
      <c r="G111" s="27"/>
      <c r="H111" s="27"/>
      <c r="I111" s="27"/>
      <c r="J111" s="27"/>
      <c r="K111" s="27"/>
      <c r="L111" s="27"/>
      <c r="M111" s="27"/>
      <c r="N111" s="27"/>
      <c r="O111" s="27"/>
      <c r="P111" s="27"/>
      <c r="Q111" s="27"/>
      <c r="R111" s="27"/>
      <c r="S111" s="27"/>
      <c r="T111" s="27">
        <f>IF(LEFT(Control_Achizitii!$E111,4)="Fact",1,0)</f>
        <v>0</v>
      </c>
      <c r="U111" s="27">
        <f>IF(Control_Achizitii!$C111="",0,IF(ISNUMBER(Control_Achizitii!$B111),0,1))</f>
        <v>0</v>
      </c>
      <c r="V111" s="27">
        <f>IF(Control_Achizitii!$C111="",0,IF($Z$2&lt;&gt;"OK",0,IF(AND(ISNUMBER(Control_Achizitii!$B111),Control_Achizitii!$B111&gt;=$E$5,Control_Achizitii!$B111&lt;$J$5+1,OR($O$5="Toate proiectele",Control_Achizitii!$Q111=$O$5)),1,0)))</f>
        <v>0</v>
      </c>
      <c r="W111" s="27">
        <f>IF(AND(V111=1,OR(Control_Achizitii!$J111&lt;&gt;"DOSAR COMPLET",Control_Achizitii!$K111&lt;&gt;"")),ROW(),1000000000)</f>
        <v>1000000000</v>
      </c>
      <c r="X111" s="27">
        <f>IF(AND(V111=1,LEFT(Control_Achizitii!$E111,4)="Fact",NOT(ISNUMBER(Control_Achizitii!$P111))),1,0)</f>
        <v>0</v>
      </c>
      <c r="Y111" s="27">
        <f>IF(V111=0,0,IF(Control_Achizitii!$J111="DOSAR COMPLET",1,IF(LEFT(Control_Achizitii!$J111,9)="INCOMPLET",2,3)))</f>
        <v>0</v>
      </c>
      <c r="Z111" s="27"/>
      <c r="AA111" s="27"/>
      <c r="AB111" s="27"/>
      <c r="AC111" s="27"/>
      <c r="AD111" s="27"/>
      <c r="AE111" s="27"/>
      <c r="AF111" s="27"/>
      <c r="AG111" s="27"/>
      <c r="AH111" s="27">
        <f>IF(AND(V111=1,Control_Achizitii!$J111="DOSAR COMPLET",Control_Achizitii!$K111&lt;&gt;""),1,0)</f>
        <v>0</v>
      </c>
    </row>
    <row r="112" spans="1:34">
      <c r="A112" s="27"/>
      <c r="B112" s="27"/>
      <c r="C112" s="27"/>
      <c r="D112" s="27"/>
      <c r="E112" s="27"/>
      <c r="F112" s="27"/>
      <c r="G112" s="27"/>
      <c r="H112" s="27"/>
      <c r="I112" s="27"/>
      <c r="J112" s="27"/>
      <c r="K112" s="27"/>
      <c r="L112" s="27"/>
      <c r="M112" s="27"/>
      <c r="N112" s="27"/>
      <c r="O112" s="27"/>
      <c r="P112" s="27"/>
      <c r="Q112" s="27"/>
      <c r="R112" s="27"/>
      <c r="S112" s="27"/>
      <c r="T112" s="27">
        <f>IF(LEFT(Control_Achizitii!$E112,4)="Fact",1,0)</f>
        <v>0</v>
      </c>
      <c r="U112" s="27">
        <f>IF(Control_Achizitii!$C112="",0,IF(ISNUMBER(Control_Achizitii!$B112),0,1))</f>
        <v>0</v>
      </c>
      <c r="V112" s="27">
        <f>IF(Control_Achizitii!$C112="",0,IF($Z$2&lt;&gt;"OK",0,IF(AND(ISNUMBER(Control_Achizitii!$B112),Control_Achizitii!$B112&gt;=$E$5,Control_Achizitii!$B112&lt;$J$5+1,OR($O$5="Toate proiectele",Control_Achizitii!$Q112=$O$5)),1,0)))</f>
        <v>0</v>
      </c>
      <c r="W112" s="27">
        <f>IF(AND(V112=1,OR(Control_Achizitii!$J112&lt;&gt;"DOSAR COMPLET",Control_Achizitii!$K112&lt;&gt;"")),ROW(),1000000000)</f>
        <v>1000000000</v>
      </c>
      <c r="X112" s="27">
        <f>IF(AND(V112=1,LEFT(Control_Achizitii!$E112,4)="Fact",NOT(ISNUMBER(Control_Achizitii!$P112))),1,0)</f>
        <v>0</v>
      </c>
      <c r="Y112" s="27">
        <f>IF(V112=0,0,IF(Control_Achizitii!$J112="DOSAR COMPLET",1,IF(LEFT(Control_Achizitii!$J112,9)="INCOMPLET",2,3)))</f>
        <v>0</v>
      </c>
      <c r="Z112" s="27"/>
      <c r="AA112" s="27"/>
      <c r="AB112" s="27"/>
      <c r="AC112" s="27"/>
      <c r="AD112" s="27"/>
      <c r="AE112" s="27"/>
      <c r="AF112" s="27"/>
      <c r="AG112" s="27"/>
      <c r="AH112" s="27">
        <f>IF(AND(V112=1,Control_Achizitii!$J112="DOSAR COMPLET",Control_Achizitii!$K112&lt;&gt;""),1,0)</f>
        <v>0</v>
      </c>
    </row>
    <row r="113" spans="1:34">
      <c r="A113" s="27"/>
      <c r="B113" s="27"/>
      <c r="C113" s="27"/>
      <c r="D113" s="27"/>
      <c r="E113" s="27"/>
      <c r="F113" s="27"/>
      <c r="G113" s="27"/>
      <c r="H113" s="27"/>
      <c r="I113" s="27"/>
      <c r="J113" s="27"/>
      <c r="K113" s="27"/>
      <c r="L113" s="27"/>
      <c r="M113" s="27"/>
      <c r="N113" s="27"/>
      <c r="O113" s="27"/>
      <c r="P113" s="27"/>
      <c r="Q113" s="27"/>
      <c r="R113" s="27"/>
      <c r="S113" s="27"/>
      <c r="T113" s="27">
        <f>IF(LEFT(Control_Achizitii!$E113,4)="Fact",1,0)</f>
        <v>0</v>
      </c>
      <c r="U113" s="27">
        <f>IF(Control_Achizitii!$C113="",0,IF(ISNUMBER(Control_Achizitii!$B113),0,1))</f>
        <v>0</v>
      </c>
      <c r="V113" s="27">
        <f>IF(Control_Achizitii!$C113="",0,IF($Z$2&lt;&gt;"OK",0,IF(AND(ISNUMBER(Control_Achizitii!$B113),Control_Achizitii!$B113&gt;=$E$5,Control_Achizitii!$B113&lt;$J$5+1,OR($O$5="Toate proiectele",Control_Achizitii!$Q113=$O$5)),1,0)))</f>
        <v>0</v>
      </c>
      <c r="W113" s="27">
        <f>IF(AND(V113=1,OR(Control_Achizitii!$J113&lt;&gt;"DOSAR COMPLET",Control_Achizitii!$K113&lt;&gt;"")),ROW(),1000000000)</f>
        <v>1000000000</v>
      </c>
      <c r="X113" s="27">
        <f>IF(AND(V113=1,LEFT(Control_Achizitii!$E113,4)="Fact",NOT(ISNUMBER(Control_Achizitii!$P113))),1,0)</f>
        <v>0</v>
      </c>
      <c r="Y113" s="27">
        <f>IF(V113=0,0,IF(Control_Achizitii!$J113="DOSAR COMPLET",1,IF(LEFT(Control_Achizitii!$J113,9)="INCOMPLET",2,3)))</f>
        <v>0</v>
      </c>
      <c r="Z113" s="27"/>
      <c r="AA113" s="27"/>
      <c r="AB113" s="27"/>
      <c r="AC113" s="27"/>
      <c r="AD113" s="27"/>
      <c r="AE113" s="27"/>
      <c r="AF113" s="27"/>
      <c r="AG113" s="27"/>
      <c r="AH113" s="27">
        <f>IF(AND(V113=1,Control_Achizitii!$J113="DOSAR COMPLET",Control_Achizitii!$K113&lt;&gt;""),1,0)</f>
        <v>0</v>
      </c>
    </row>
    <row r="114" spans="1:34">
      <c r="A114" s="27"/>
      <c r="B114" s="27"/>
      <c r="C114" s="27"/>
      <c r="D114" s="27"/>
      <c r="E114" s="27"/>
      <c r="F114" s="27"/>
      <c r="G114" s="27"/>
      <c r="H114" s="27"/>
      <c r="I114" s="27"/>
      <c r="J114" s="27"/>
      <c r="K114" s="27"/>
      <c r="L114" s="27"/>
      <c r="M114" s="27"/>
      <c r="N114" s="27"/>
      <c r="O114" s="27"/>
      <c r="P114" s="27"/>
      <c r="Q114" s="27"/>
      <c r="R114" s="27"/>
      <c r="S114" s="27"/>
      <c r="T114" s="27">
        <f>IF(LEFT(Control_Achizitii!$E114,4)="Fact",1,0)</f>
        <v>0</v>
      </c>
      <c r="U114" s="27">
        <f>IF(Control_Achizitii!$C114="",0,IF(ISNUMBER(Control_Achizitii!$B114),0,1))</f>
        <v>0</v>
      </c>
      <c r="V114" s="27">
        <f>IF(Control_Achizitii!$C114="",0,IF($Z$2&lt;&gt;"OK",0,IF(AND(ISNUMBER(Control_Achizitii!$B114),Control_Achizitii!$B114&gt;=$E$5,Control_Achizitii!$B114&lt;$J$5+1,OR($O$5="Toate proiectele",Control_Achizitii!$Q114=$O$5)),1,0)))</f>
        <v>0</v>
      </c>
      <c r="W114" s="27">
        <f>IF(AND(V114=1,OR(Control_Achizitii!$J114&lt;&gt;"DOSAR COMPLET",Control_Achizitii!$K114&lt;&gt;"")),ROW(),1000000000)</f>
        <v>1000000000</v>
      </c>
      <c r="X114" s="27">
        <f>IF(AND(V114=1,LEFT(Control_Achizitii!$E114,4)="Fact",NOT(ISNUMBER(Control_Achizitii!$P114))),1,0)</f>
        <v>0</v>
      </c>
      <c r="Y114" s="27">
        <f>IF(V114=0,0,IF(Control_Achizitii!$J114="DOSAR COMPLET",1,IF(LEFT(Control_Achizitii!$J114,9)="INCOMPLET",2,3)))</f>
        <v>0</v>
      </c>
      <c r="Z114" s="27"/>
      <c r="AA114" s="27"/>
      <c r="AB114" s="27"/>
      <c r="AC114" s="27"/>
      <c r="AD114" s="27"/>
      <c r="AE114" s="27"/>
      <c r="AF114" s="27"/>
      <c r="AG114" s="27"/>
      <c r="AH114" s="27">
        <f>IF(AND(V114=1,Control_Achizitii!$J114="DOSAR COMPLET",Control_Achizitii!$K114&lt;&gt;""),1,0)</f>
        <v>0</v>
      </c>
    </row>
    <row r="115" spans="1:34">
      <c r="A115" s="27"/>
      <c r="B115" s="27"/>
      <c r="C115" s="27"/>
      <c r="D115" s="27"/>
      <c r="E115" s="27"/>
      <c r="F115" s="27"/>
      <c r="G115" s="27"/>
      <c r="H115" s="27"/>
      <c r="I115" s="27"/>
      <c r="J115" s="27"/>
      <c r="K115" s="27"/>
      <c r="L115" s="27"/>
      <c r="M115" s="27"/>
      <c r="N115" s="27"/>
      <c r="O115" s="27"/>
      <c r="P115" s="27"/>
      <c r="Q115" s="27"/>
      <c r="R115" s="27"/>
      <c r="S115" s="27"/>
      <c r="T115" s="27">
        <f>IF(LEFT(Control_Achizitii!$E115,4)="Fact",1,0)</f>
        <v>0</v>
      </c>
      <c r="U115" s="27">
        <f>IF(Control_Achizitii!$C115="",0,IF(ISNUMBER(Control_Achizitii!$B115),0,1))</f>
        <v>0</v>
      </c>
      <c r="V115" s="27">
        <f>IF(Control_Achizitii!$C115="",0,IF($Z$2&lt;&gt;"OK",0,IF(AND(ISNUMBER(Control_Achizitii!$B115),Control_Achizitii!$B115&gt;=$E$5,Control_Achizitii!$B115&lt;$J$5+1,OR($O$5="Toate proiectele",Control_Achizitii!$Q115=$O$5)),1,0)))</f>
        <v>0</v>
      </c>
      <c r="W115" s="27">
        <f>IF(AND(V115=1,OR(Control_Achizitii!$J115&lt;&gt;"DOSAR COMPLET",Control_Achizitii!$K115&lt;&gt;"")),ROW(),1000000000)</f>
        <v>1000000000</v>
      </c>
      <c r="X115" s="27">
        <f>IF(AND(V115=1,LEFT(Control_Achizitii!$E115,4)="Fact",NOT(ISNUMBER(Control_Achizitii!$P115))),1,0)</f>
        <v>0</v>
      </c>
      <c r="Y115" s="27">
        <f>IF(V115=0,0,IF(Control_Achizitii!$J115="DOSAR COMPLET",1,IF(LEFT(Control_Achizitii!$J115,9)="INCOMPLET",2,3)))</f>
        <v>0</v>
      </c>
      <c r="Z115" s="27"/>
      <c r="AA115" s="27"/>
      <c r="AB115" s="27"/>
      <c r="AC115" s="27"/>
      <c r="AD115" s="27"/>
      <c r="AE115" s="27"/>
      <c r="AF115" s="27"/>
      <c r="AG115" s="27"/>
      <c r="AH115" s="27">
        <f>IF(AND(V115=1,Control_Achizitii!$J115="DOSAR COMPLET",Control_Achizitii!$K115&lt;&gt;""),1,0)</f>
        <v>0</v>
      </c>
    </row>
    <row r="116" spans="1:34">
      <c r="A116" s="27"/>
      <c r="B116" s="27"/>
      <c r="C116" s="27"/>
      <c r="D116" s="27"/>
      <c r="E116" s="27"/>
      <c r="F116" s="27"/>
      <c r="G116" s="27"/>
      <c r="H116" s="27"/>
      <c r="I116" s="27"/>
      <c r="J116" s="27"/>
      <c r="K116" s="27"/>
      <c r="L116" s="27"/>
      <c r="M116" s="27"/>
      <c r="N116" s="27"/>
      <c r="O116" s="27"/>
      <c r="P116" s="27"/>
      <c r="Q116" s="27"/>
      <c r="R116" s="27"/>
      <c r="S116" s="27"/>
      <c r="T116" s="27">
        <f>IF(LEFT(Control_Achizitii!$E116,4)="Fact",1,0)</f>
        <v>0</v>
      </c>
      <c r="U116" s="27">
        <f>IF(Control_Achizitii!$C116="",0,IF(ISNUMBER(Control_Achizitii!$B116),0,1))</f>
        <v>0</v>
      </c>
      <c r="V116" s="27">
        <f>IF(Control_Achizitii!$C116="",0,IF($Z$2&lt;&gt;"OK",0,IF(AND(ISNUMBER(Control_Achizitii!$B116),Control_Achizitii!$B116&gt;=$E$5,Control_Achizitii!$B116&lt;$J$5+1,OR($O$5="Toate proiectele",Control_Achizitii!$Q116=$O$5)),1,0)))</f>
        <v>0</v>
      </c>
      <c r="W116" s="27">
        <f>IF(AND(V116=1,OR(Control_Achizitii!$J116&lt;&gt;"DOSAR COMPLET",Control_Achizitii!$K116&lt;&gt;"")),ROW(),1000000000)</f>
        <v>1000000000</v>
      </c>
      <c r="X116" s="27">
        <f>IF(AND(V116=1,LEFT(Control_Achizitii!$E116,4)="Fact",NOT(ISNUMBER(Control_Achizitii!$P116))),1,0)</f>
        <v>0</v>
      </c>
      <c r="Y116" s="27">
        <f>IF(V116=0,0,IF(Control_Achizitii!$J116="DOSAR COMPLET",1,IF(LEFT(Control_Achizitii!$J116,9)="INCOMPLET",2,3)))</f>
        <v>0</v>
      </c>
      <c r="Z116" s="27"/>
      <c r="AA116" s="27"/>
      <c r="AB116" s="27"/>
      <c r="AC116" s="27"/>
      <c r="AD116" s="27"/>
      <c r="AE116" s="27"/>
      <c r="AF116" s="27"/>
      <c r="AG116" s="27"/>
      <c r="AH116" s="27">
        <f>IF(AND(V116=1,Control_Achizitii!$J116="DOSAR COMPLET",Control_Achizitii!$K116&lt;&gt;""),1,0)</f>
        <v>0</v>
      </c>
    </row>
    <row r="117" spans="1:34">
      <c r="A117" s="27"/>
      <c r="B117" s="27"/>
      <c r="C117" s="27"/>
      <c r="D117" s="27"/>
      <c r="E117" s="27"/>
      <c r="F117" s="27"/>
      <c r="G117" s="27"/>
      <c r="H117" s="27"/>
      <c r="I117" s="27"/>
      <c r="J117" s="27"/>
      <c r="K117" s="27"/>
      <c r="L117" s="27"/>
      <c r="M117" s="27"/>
      <c r="N117" s="27"/>
      <c r="O117" s="27"/>
      <c r="P117" s="27"/>
      <c r="Q117" s="27"/>
      <c r="R117" s="27"/>
      <c r="S117" s="27"/>
      <c r="T117" s="27">
        <f>IF(LEFT(Control_Achizitii!$E117,4)="Fact",1,0)</f>
        <v>0</v>
      </c>
      <c r="U117" s="27">
        <f>IF(Control_Achizitii!$C117="",0,IF(ISNUMBER(Control_Achizitii!$B117),0,1))</f>
        <v>0</v>
      </c>
      <c r="V117" s="27">
        <f>IF(Control_Achizitii!$C117="",0,IF($Z$2&lt;&gt;"OK",0,IF(AND(ISNUMBER(Control_Achizitii!$B117),Control_Achizitii!$B117&gt;=$E$5,Control_Achizitii!$B117&lt;$J$5+1,OR($O$5="Toate proiectele",Control_Achizitii!$Q117=$O$5)),1,0)))</f>
        <v>0</v>
      </c>
      <c r="W117" s="27">
        <f>IF(AND(V117=1,OR(Control_Achizitii!$J117&lt;&gt;"DOSAR COMPLET",Control_Achizitii!$K117&lt;&gt;"")),ROW(),1000000000)</f>
        <v>1000000000</v>
      </c>
      <c r="X117" s="27">
        <f>IF(AND(V117=1,LEFT(Control_Achizitii!$E117,4)="Fact",NOT(ISNUMBER(Control_Achizitii!$P117))),1,0)</f>
        <v>0</v>
      </c>
      <c r="Y117" s="27">
        <f>IF(V117=0,0,IF(Control_Achizitii!$J117="DOSAR COMPLET",1,IF(LEFT(Control_Achizitii!$J117,9)="INCOMPLET",2,3)))</f>
        <v>0</v>
      </c>
      <c r="Z117" s="27"/>
      <c r="AA117" s="27"/>
      <c r="AB117" s="27"/>
      <c r="AC117" s="27"/>
      <c r="AD117" s="27"/>
      <c r="AE117" s="27"/>
      <c r="AF117" s="27"/>
      <c r="AG117" s="27"/>
      <c r="AH117" s="27">
        <f>IF(AND(V117=1,Control_Achizitii!$J117="DOSAR COMPLET",Control_Achizitii!$K117&lt;&gt;""),1,0)</f>
        <v>0</v>
      </c>
    </row>
    <row r="118" spans="1:34">
      <c r="A118" s="27"/>
      <c r="B118" s="27"/>
      <c r="C118" s="27"/>
      <c r="D118" s="27"/>
      <c r="E118" s="27"/>
      <c r="F118" s="27"/>
      <c r="G118" s="27"/>
      <c r="H118" s="27"/>
      <c r="I118" s="27"/>
      <c r="J118" s="27"/>
      <c r="K118" s="27"/>
      <c r="L118" s="27"/>
      <c r="M118" s="27"/>
      <c r="N118" s="27"/>
      <c r="O118" s="27"/>
      <c r="P118" s="27"/>
      <c r="Q118" s="27"/>
      <c r="R118" s="27"/>
      <c r="S118" s="27"/>
      <c r="T118" s="27">
        <f>IF(LEFT(Control_Achizitii!$E118,4)="Fact",1,0)</f>
        <v>0</v>
      </c>
      <c r="U118" s="27">
        <f>IF(Control_Achizitii!$C118="",0,IF(ISNUMBER(Control_Achizitii!$B118),0,1))</f>
        <v>0</v>
      </c>
      <c r="V118" s="27">
        <f>IF(Control_Achizitii!$C118="",0,IF($Z$2&lt;&gt;"OK",0,IF(AND(ISNUMBER(Control_Achizitii!$B118),Control_Achizitii!$B118&gt;=$E$5,Control_Achizitii!$B118&lt;$J$5+1,OR($O$5="Toate proiectele",Control_Achizitii!$Q118=$O$5)),1,0)))</f>
        <v>0</v>
      </c>
      <c r="W118" s="27">
        <f>IF(AND(V118=1,OR(Control_Achizitii!$J118&lt;&gt;"DOSAR COMPLET",Control_Achizitii!$K118&lt;&gt;"")),ROW(),1000000000)</f>
        <v>1000000000</v>
      </c>
      <c r="X118" s="27">
        <f>IF(AND(V118=1,LEFT(Control_Achizitii!$E118,4)="Fact",NOT(ISNUMBER(Control_Achizitii!$P118))),1,0)</f>
        <v>0</v>
      </c>
      <c r="Y118" s="27">
        <f>IF(V118=0,0,IF(Control_Achizitii!$J118="DOSAR COMPLET",1,IF(LEFT(Control_Achizitii!$J118,9)="INCOMPLET",2,3)))</f>
        <v>0</v>
      </c>
      <c r="Z118" s="27"/>
      <c r="AA118" s="27"/>
      <c r="AB118" s="27"/>
      <c r="AC118" s="27"/>
      <c r="AD118" s="27"/>
      <c r="AE118" s="27"/>
      <c r="AF118" s="27"/>
      <c r="AG118" s="27"/>
      <c r="AH118" s="27">
        <f>IF(AND(V118=1,Control_Achizitii!$J118="DOSAR COMPLET",Control_Achizitii!$K118&lt;&gt;""),1,0)</f>
        <v>0</v>
      </c>
    </row>
    <row r="119" spans="1:34">
      <c r="A119" s="27"/>
      <c r="B119" s="27"/>
      <c r="C119" s="27"/>
      <c r="D119" s="27"/>
      <c r="E119" s="27"/>
      <c r="F119" s="27"/>
      <c r="G119" s="27"/>
      <c r="H119" s="27"/>
      <c r="I119" s="27"/>
      <c r="J119" s="27"/>
      <c r="K119" s="27"/>
      <c r="L119" s="27"/>
      <c r="M119" s="27"/>
      <c r="N119" s="27"/>
      <c r="O119" s="27"/>
      <c r="P119" s="27"/>
      <c r="Q119" s="27"/>
      <c r="R119" s="27"/>
      <c r="S119" s="27"/>
      <c r="T119" s="27">
        <f>IF(LEFT(Control_Achizitii!$E119,4)="Fact",1,0)</f>
        <v>0</v>
      </c>
      <c r="U119" s="27">
        <f>IF(Control_Achizitii!$C119="",0,IF(ISNUMBER(Control_Achizitii!$B119),0,1))</f>
        <v>0</v>
      </c>
      <c r="V119" s="27">
        <f>IF(Control_Achizitii!$C119="",0,IF($Z$2&lt;&gt;"OK",0,IF(AND(ISNUMBER(Control_Achizitii!$B119),Control_Achizitii!$B119&gt;=$E$5,Control_Achizitii!$B119&lt;$J$5+1,OR($O$5="Toate proiectele",Control_Achizitii!$Q119=$O$5)),1,0)))</f>
        <v>0</v>
      </c>
      <c r="W119" s="27">
        <f>IF(AND(V119=1,OR(Control_Achizitii!$J119&lt;&gt;"DOSAR COMPLET",Control_Achizitii!$K119&lt;&gt;"")),ROW(),1000000000)</f>
        <v>1000000000</v>
      </c>
      <c r="X119" s="27">
        <f>IF(AND(V119=1,LEFT(Control_Achizitii!$E119,4)="Fact",NOT(ISNUMBER(Control_Achizitii!$P119))),1,0)</f>
        <v>0</v>
      </c>
      <c r="Y119" s="27">
        <f>IF(V119=0,0,IF(Control_Achizitii!$J119="DOSAR COMPLET",1,IF(LEFT(Control_Achizitii!$J119,9)="INCOMPLET",2,3)))</f>
        <v>0</v>
      </c>
      <c r="Z119" s="27"/>
      <c r="AA119" s="27"/>
      <c r="AB119" s="27"/>
      <c r="AC119" s="27"/>
      <c r="AD119" s="27"/>
      <c r="AE119" s="27"/>
      <c r="AF119" s="27"/>
      <c r="AG119" s="27"/>
      <c r="AH119" s="27">
        <f>IF(AND(V119=1,Control_Achizitii!$J119="DOSAR COMPLET",Control_Achizitii!$K119&lt;&gt;""),1,0)</f>
        <v>0</v>
      </c>
    </row>
    <row r="120" spans="1:34">
      <c r="A120" s="27"/>
      <c r="B120" s="27"/>
      <c r="C120" s="27"/>
      <c r="D120" s="27"/>
      <c r="E120" s="27"/>
      <c r="F120" s="27"/>
      <c r="G120" s="27"/>
      <c r="H120" s="27"/>
      <c r="I120" s="27"/>
      <c r="J120" s="27"/>
      <c r="K120" s="27"/>
      <c r="L120" s="27"/>
      <c r="M120" s="27"/>
      <c r="N120" s="27"/>
      <c r="O120" s="27"/>
      <c r="P120" s="27"/>
      <c r="Q120" s="27"/>
      <c r="R120" s="27"/>
      <c r="S120" s="27"/>
      <c r="T120" s="27">
        <f>IF(LEFT(Control_Achizitii!$E120,4)="Fact",1,0)</f>
        <v>0</v>
      </c>
      <c r="U120" s="27">
        <f>IF(Control_Achizitii!$C120="",0,IF(ISNUMBER(Control_Achizitii!$B120),0,1))</f>
        <v>0</v>
      </c>
      <c r="V120" s="27">
        <f>IF(Control_Achizitii!$C120="",0,IF($Z$2&lt;&gt;"OK",0,IF(AND(ISNUMBER(Control_Achizitii!$B120),Control_Achizitii!$B120&gt;=$E$5,Control_Achizitii!$B120&lt;$J$5+1,OR($O$5="Toate proiectele",Control_Achizitii!$Q120=$O$5)),1,0)))</f>
        <v>0</v>
      </c>
      <c r="W120" s="27">
        <f>IF(AND(V120=1,OR(Control_Achizitii!$J120&lt;&gt;"DOSAR COMPLET",Control_Achizitii!$K120&lt;&gt;"")),ROW(),1000000000)</f>
        <v>1000000000</v>
      </c>
      <c r="X120" s="27">
        <f>IF(AND(V120=1,LEFT(Control_Achizitii!$E120,4)="Fact",NOT(ISNUMBER(Control_Achizitii!$P120))),1,0)</f>
        <v>0</v>
      </c>
      <c r="Y120" s="27">
        <f>IF(V120=0,0,IF(Control_Achizitii!$J120="DOSAR COMPLET",1,IF(LEFT(Control_Achizitii!$J120,9)="INCOMPLET",2,3)))</f>
        <v>0</v>
      </c>
      <c r="Z120" s="27"/>
      <c r="AA120" s="27"/>
      <c r="AB120" s="27"/>
      <c r="AC120" s="27"/>
      <c r="AD120" s="27"/>
      <c r="AE120" s="27"/>
      <c r="AF120" s="27"/>
      <c r="AG120" s="27"/>
      <c r="AH120" s="27">
        <f>IF(AND(V120=1,Control_Achizitii!$J120="DOSAR COMPLET",Control_Achizitii!$K120&lt;&gt;""),1,0)</f>
        <v>0</v>
      </c>
    </row>
    <row r="121" spans="1:34">
      <c r="A121" s="27"/>
      <c r="B121" s="27"/>
      <c r="C121" s="27"/>
      <c r="D121" s="27"/>
      <c r="E121" s="27"/>
      <c r="F121" s="27"/>
      <c r="G121" s="27"/>
      <c r="H121" s="27"/>
      <c r="I121" s="27"/>
      <c r="J121" s="27"/>
      <c r="K121" s="27"/>
      <c r="L121" s="27"/>
      <c r="M121" s="27"/>
      <c r="N121" s="27"/>
      <c r="O121" s="27"/>
      <c r="P121" s="27"/>
      <c r="Q121" s="27"/>
      <c r="R121" s="27"/>
      <c r="S121" s="27"/>
      <c r="T121" s="27">
        <f>IF(LEFT(Control_Achizitii!$E121,4)="Fact",1,0)</f>
        <v>0</v>
      </c>
      <c r="U121" s="27">
        <f>IF(Control_Achizitii!$C121="",0,IF(ISNUMBER(Control_Achizitii!$B121),0,1))</f>
        <v>0</v>
      </c>
      <c r="V121" s="27">
        <f>IF(Control_Achizitii!$C121="",0,IF($Z$2&lt;&gt;"OK",0,IF(AND(ISNUMBER(Control_Achizitii!$B121),Control_Achizitii!$B121&gt;=$E$5,Control_Achizitii!$B121&lt;$J$5+1,OR($O$5="Toate proiectele",Control_Achizitii!$Q121=$O$5)),1,0)))</f>
        <v>0</v>
      </c>
      <c r="W121" s="27">
        <f>IF(AND(V121=1,OR(Control_Achizitii!$J121&lt;&gt;"DOSAR COMPLET",Control_Achizitii!$K121&lt;&gt;"")),ROW(),1000000000)</f>
        <v>1000000000</v>
      </c>
      <c r="X121" s="27">
        <f>IF(AND(V121=1,LEFT(Control_Achizitii!$E121,4)="Fact",NOT(ISNUMBER(Control_Achizitii!$P121))),1,0)</f>
        <v>0</v>
      </c>
      <c r="Y121" s="27">
        <f>IF(V121=0,0,IF(Control_Achizitii!$J121="DOSAR COMPLET",1,IF(LEFT(Control_Achizitii!$J121,9)="INCOMPLET",2,3)))</f>
        <v>0</v>
      </c>
      <c r="Z121" s="27"/>
      <c r="AA121" s="27"/>
      <c r="AB121" s="27"/>
      <c r="AC121" s="27"/>
      <c r="AD121" s="27"/>
      <c r="AE121" s="27"/>
      <c r="AF121" s="27"/>
      <c r="AG121" s="27"/>
      <c r="AH121" s="27">
        <f>IF(AND(V121=1,Control_Achizitii!$J121="DOSAR COMPLET",Control_Achizitii!$K121&lt;&gt;""),1,0)</f>
        <v>0</v>
      </c>
    </row>
    <row r="122" spans="1:34">
      <c r="A122" s="27"/>
      <c r="B122" s="27"/>
      <c r="C122" s="27"/>
      <c r="D122" s="27"/>
      <c r="E122" s="27"/>
      <c r="F122" s="27"/>
      <c r="G122" s="27"/>
      <c r="H122" s="27"/>
      <c r="I122" s="27"/>
      <c r="J122" s="27"/>
      <c r="K122" s="27"/>
      <c r="L122" s="27"/>
      <c r="M122" s="27"/>
      <c r="N122" s="27"/>
      <c r="O122" s="27"/>
      <c r="P122" s="27"/>
      <c r="Q122" s="27"/>
      <c r="R122" s="27"/>
      <c r="S122" s="27"/>
      <c r="T122" s="27">
        <f>IF(LEFT(Control_Achizitii!$E122,4)="Fact",1,0)</f>
        <v>0</v>
      </c>
      <c r="U122" s="27">
        <f>IF(Control_Achizitii!$C122="",0,IF(ISNUMBER(Control_Achizitii!$B122),0,1))</f>
        <v>0</v>
      </c>
      <c r="V122" s="27">
        <f>IF(Control_Achizitii!$C122="",0,IF($Z$2&lt;&gt;"OK",0,IF(AND(ISNUMBER(Control_Achizitii!$B122),Control_Achizitii!$B122&gt;=$E$5,Control_Achizitii!$B122&lt;$J$5+1,OR($O$5="Toate proiectele",Control_Achizitii!$Q122=$O$5)),1,0)))</f>
        <v>0</v>
      </c>
      <c r="W122" s="27">
        <f>IF(AND(V122=1,OR(Control_Achizitii!$J122&lt;&gt;"DOSAR COMPLET",Control_Achizitii!$K122&lt;&gt;"")),ROW(),1000000000)</f>
        <v>1000000000</v>
      </c>
      <c r="X122" s="27">
        <f>IF(AND(V122=1,LEFT(Control_Achizitii!$E122,4)="Fact",NOT(ISNUMBER(Control_Achizitii!$P122))),1,0)</f>
        <v>0</v>
      </c>
      <c r="Y122" s="27">
        <f>IF(V122=0,0,IF(Control_Achizitii!$J122="DOSAR COMPLET",1,IF(LEFT(Control_Achizitii!$J122,9)="INCOMPLET",2,3)))</f>
        <v>0</v>
      </c>
      <c r="Z122" s="27"/>
      <c r="AA122" s="27"/>
      <c r="AB122" s="27"/>
      <c r="AC122" s="27"/>
      <c r="AD122" s="27"/>
      <c r="AE122" s="27"/>
      <c r="AF122" s="27"/>
      <c r="AG122" s="27"/>
      <c r="AH122" s="27">
        <f>IF(AND(V122=1,Control_Achizitii!$J122="DOSAR COMPLET",Control_Achizitii!$K122&lt;&gt;""),1,0)</f>
        <v>0</v>
      </c>
    </row>
    <row r="123" spans="1:34">
      <c r="A123" s="27"/>
      <c r="B123" s="27"/>
      <c r="C123" s="27"/>
      <c r="D123" s="27"/>
      <c r="E123" s="27"/>
      <c r="F123" s="27"/>
      <c r="G123" s="27"/>
      <c r="H123" s="27"/>
      <c r="I123" s="27"/>
      <c r="J123" s="27"/>
      <c r="K123" s="27"/>
      <c r="L123" s="27"/>
      <c r="M123" s="27"/>
      <c r="N123" s="27"/>
      <c r="O123" s="27"/>
      <c r="P123" s="27"/>
      <c r="Q123" s="27"/>
      <c r="R123" s="27"/>
      <c r="S123" s="27"/>
      <c r="T123" s="27">
        <f>IF(LEFT(Control_Achizitii!$E123,4)="Fact",1,0)</f>
        <v>0</v>
      </c>
      <c r="U123" s="27">
        <f>IF(Control_Achizitii!$C123="",0,IF(ISNUMBER(Control_Achizitii!$B123),0,1))</f>
        <v>0</v>
      </c>
      <c r="V123" s="27">
        <f>IF(Control_Achizitii!$C123="",0,IF($Z$2&lt;&gt;"OK",0,IF(AND(ISNUMBER(Control_Achizitii!$B123),Control_Achizitii!$B123&gt;=$E$5,Control_Achizitii!$B123&lt;$J$5+1,OR($O$5="Toate proiectele",Control_Achizitii!$Q123=$O$5)),1,0)))</f>
        <v>0</v>
      </c>
      <c r="W123" s="27">
        <f>IF(AND(V123=1,OR(Control_Achizitii!$J123&lt;&gt;"DOSAR COMPLET",Control_Achizitii!$K123&lt;&gt;"")),ROW(),1000000000)</f>
        <v>1000000000</v>
      </c>
      <c r="X123" s="27">
        <f>IF(AND(V123=1,LEFT(Control_Achizitii!$E123,4)="Fact",NOT(ISNUMBER(Control_Achizitii!$P123))),1,0)</f>
        <v>0</v>
      </c>
      <c r="Y123" s="27">
        <f>IF(V123=0,0,IF(Control_Achizitii!$J123="DOSAR COMPLET",1,IF(LEFT(Control_Achizitii!$J123,9)="INCOMPLET",2,3)))</f>
        <v>0</v>
      </c>
      <c r="Z123" s="27"/>
      <c r="AA123" s="27"/>
      <c r="AB123" s="27"/>
      <c r="AC123" s="27"/>
      <c r="AD123" s="27"/>
      <c r="AE123" s="27"/>
      <c r="AF123" s="27"/>
      <c r="AG123" s="27"/>
      <c r="AH123" s="27">
        <f>IF(AND(V123=1,Control_Achizitii!$J123="DOSAR COMPLET",Control_Achizitii!$K123&lt;&gt;""),1,0)</f>
        <v>0</v>
      </c>
    </row>
    <row r="124" spans="1:34">
      <c r="A124" s="27"/>
      <c r="B124" s="27"/>
      <c r="C124" s="27"/>
      <c r="D124" s="27"/>
      <c r="E124" s="27"/>
      <c r="F124" s="27"/>
      <c r="G124" s="27"/>
      <c r="H124" s="27"/>
      <c r="I124" s="27"/>
      <c r="J124" s="27"/>
      <c r="K124" s="27"/>
      <c r="L124" s="27"/>
      <c r="M124" s="27"/>
      <c r="N124" s="27"/>
      <c r="O124" s="27"/>
      <c r="P124" s="27"/>
      <c r="Q124" s="27"/>
      <c r="R124" s="27"/>
      <c r="S124" s="27"/>
      <c r="T124" s="27">
        <f>IF(LEFT(Control_Achizitii!$E124,4)="Fact",1,0)</f>
        <v>0</v>
      </c>
      <c r="U124" s="27">
        <f>IF(Control_Achizitii!$C124="",0,IF(ISNUMBER(Control_Achizitii!$B124),0,1))</f>
        <v>0</v>
      </c>
      <c r="V124" s="27">
        <f>IF(Control_Achizitii!$C124="",0,IF($Z$2&lt;&gt;"OK",0,IF(AND(ISNUMBER(Control_Achizitii!$B124),Control_Achizitii!$B124&gt;=$E$5,Control_Achizitii!$B124&lt;$J$5+1,OR($O$5="Toate proiectele",Control_Achizitii!$Q124=$O$5)),1,0)))</f>
        <v>0</v>
      </c>
      <c r="W124" s="27">
        <f>IF(AND(V124=1,OR(Control_Achizitii!$J124&lt;&gt;"DOSAR COMPLET",Control_Achizitii!$K124&lt;&gt;"")),ROW(),1000000000)</f>
        <v>1000000000</v>
      </c>
      <c r="X124" s="27">
        <f>IF(AND(V124=1,LEFT(Control_Achizitii!$E124,4)="Fact",NOT(ISNUMBER(Control_Achizitii!$P124))),1,0)</f>
        <v>0</v>
      </c>
      <c r="Y124" s="27">
        <f>IF(V124=0,0,IF(Control_Achizitii!$J124="DOSAR COMPLET",1,IF(LEFT(Control_Achizitii!$J124,9)="INCOMPLET",2,3)))</f>
        <v>0</v>
      </c>
      <c r="Z124" s="27"/>
      <c r="AA124" s="27"/>
      <c r="AB124" s="27"/>
      <c r="AC124" s="27"/>
      <c r="AD124" s="27"/>
      <c r="AE124" s="27"/>
      <c r="AF124" s="27"/>
      <c r="AG124" s="27"/>
      <c r="AH124" s="27">
        <f>IF(AND(V124=1,Control_Achizitii!$J124="DOSAR COMPLET",Control_Achizitii!$K124&lt;&gt;""),1,0)</f>
        <v>0</v>
      </c>
    </row>
    <row r="125" spans="1:34">
      <c r="A125" s="27"/>
      <c r="B125" s="27"/>
      <c r="C125" s="27"/>
      <c r="D125" s="27"/>
      <c r="E125" s="27"/>
      <c r="F125" s="27"/>
      <c r="G125" s="27"/>
      <c r="H125" s="27"/>
      <c r="I125" s="27"/>
      <c r="J125" s="27"/>
      <c r="K125" s="27"/>
      <c r="L125" s="27"/>
      <c r="M125" s="27"/>
      <c r="N125" s="27"/>
      <c r="O125" s="27"/>
      <c r="P125" s="27"/>
      <c r="Q125" s="27"/>
      <c r="R125" s="27"/>
      <c r="S125" s="27"/>
      <c r="T125" s="27">
        <f>IF(LEFT(Control_Achizitii!$E125,4)="Fact",1,0)</f>
        <v>0</v>
      </c>
      <c r="U125" s="27">
        <f>IF(Control_Achizitii!$C125="",0,IF(ISNUMBER(Control_Achizitii!$B125),0,1))</f>
        <v>0</v>
      </c>
      <c r="V125" s="27">
        <f>IF(Control_Achizitii!$C125="",0,IF($Z$2&lt;&gt;"OK",0,IF(AND(ISNUMBER(Control_Achizitii!$B125),Control_Achizitii!$B125&gt;=$E$5,Control_Achizitii!$B125&lt;$J$5+1,OR($O$5="Toate proiectele",Control_Achizitii!$Q125=$O$5)),1,0)))</f>
        <v>0</v>
      </c>
      <c r="W125" s="27">
        <f>IF(AND(V125=1,OR(Control_Achizitii!$J125&lt;&gt;"DOSAR COMPLET",Control_Achizitii!$K125&lt;&gt;"")),ROW(),1000000000)</f>
        <v>1000000000</v>
      </c>
      <c r="X125" s="27">
        <f>IF(AND(V125=1,LEFT(Control_Achizitii!$E125,4)="Fact",NOT(ISNUMBER(Control_Achizitii!$P125))),1,0)</f>
        <v>0</v>
      </c>
      <c r="Y125" s="27">
        <f>IF(V125=0,0,IF(Control_Achizitii!$J125="DOSAR COMPLET",1,IF(LEFT(Control_Achizitii!$J125,9)="INCOMPLET",2,3)))</f>
        <v>0</v>
      </c>
      <c r="Z125" s="27"/>
      <c r="AA125" s="27"/>
      <c r="AB125" s="27"/>
      <c r="AC125" s="27"/>
      <c r="AD125" s="27"/>
      <c r="AE125" s="27"/>
      <c r="AF125" s="27"/>
      <c r="AG125" s="27"/>
      <c r="AH125" s="27">
        <f>IF(AND(V125=1,Control_Achizitii!$J125="DOSAR COMPLET",Control_Achizitii!$K125&lt;&gt;""),1,0)</f>
        <v>0</v>
      </c>
    </row>
    <row r="126" spans="1:34">
      <c r="A126" s="27"/>
      <c r="B126" s="27"/>
      <c r="C126" s="27"/>
      <c r="D126" s="27"/>
      <c r="E126" s="27"/>
      <c r="F126" s="27"/>
      <c r="G126" s="27"/>
      <c r="H126" s="27"/>
      <c r="I126" s="27"/>
      <c r="J126" s="27"/>
      <c r="K126" s="27"/>
      <c r="L126" s="27"/>
      <c r="M126" s="27"/>
      <c r="N126" s="27"/>
      <c r="O126" s="27"/>
      <c r="P126" s="27"/>
      <c r="Q126" s="27"/>
      <c r="R126" s="27"/>
      <c r="S126" s="27"/>
      <c r="T126" s="27">
        <f>IF(LEFT(Control_Achizitii!$E126,4)="Fact",1,0)</f>
        <v>0</v>
      </c>
      <c r="U126" s="27">
        <f>IF(Control_Achizitii!$C126="",0,IF(ISNUMBER(Control_Achizitii!$B126),0,1))</f>
        <v>0</v>
      </c>
      <c r="V126" s="27">
        <f>IF(Control_Achizitii!$C126="",0,IF($Z$2&lt;&gt;"OK",0,IF(AND(ISNUMBER(Control_Achizitii!$B126),Control_Achizitii!$B126&gt;=$E$5,Control_Achizitii!$B126&lt;$J$5+1,OR($O$5="Toate proiectele",Control_Achizitii!$Q126=$O$5)),1,0)))</f>
        <v>0</v>
      </c>
      <c r="W126" s="27">
        <f>IF(AND(V126=1,OR(Control_Achizitii!$J126&lt;&gt;"DOSAR COMPLET",Control_Achizitii!$K126&lt;&gt;"")),ROW(),1000000000)</f>
        <v>1000000000</v>
      </c>
      <c r="X126" s="27">
        <f>IF(AND(V126=1,LEFT(Control_Achizitii!$E126,4)="Fact",NOT(ISNUMBER(Control_Achizitii!$P126))),1,0)</f>
        <v>0</v>
      </c>
      <c r="Y126" s="27">
        <f>IF(V126=0,0,IF(Control_Achizitii!$J126="DOSAR COMPLET",1,IF(LEFT(Control_Achizitii!$J126,9)="INCOMPLET",2,3)))</f>
        <v>0</v>
      </c>
      <c r="Z126" s="27"/>
      <c r="AA126" s="27"/>
      <c r="AB126" s="27"/>
      <c r="AC126" s="27"/>
      <c r="AD126" s="27"/>
      <c r="AE126" s="27"/>
      <c r="AF126" s="27"/>
      <c r="AG126" s="27"/>
      <c r="AH126" s="27">
        <f>IF(AND(V126=1,Control_Achizitii!$J126="DOSAR COMPLET",Control_Achizitii!$K126&lt;&gt;""),1,0)</f>
        <v>0</v>
      </c>
    </row>
    <row r="127" spans="1:34">
      <c r="A127" s="27"/>
      <c r="B127" s="27"/>
      <c r="C127" s="27"/>
      <c r="D127" s="27"/>
      <c r="E127" s="27"/>
      <c r="F127" s="27"/>
      <c r="G127" s="27"/>
      <c r="H127" s="27"/>
      <c r="I127" s="27"/>
      <c r="J127" s="27"/>
      <c r="K127" s="27"/>
      <c r="L127" s="27"/>
      <c r="M127" s="27"/>
      <c r="N127" s="27"/>
      <c r="O127" s="27"/>
      <c r="P127" s="27"/>
      <c r="Q127" s="27"/>
      <c r="R127" s="27"/>
      <c r="S127" s="27"/>
      <c r="T127" s="27">
        <f>IF(LEFT(Control_Achizitii!$E127,4)="Fact",1,0)</f>
        <v>0</v>
      </c>
      <c r="U127" s="27">
        <f>IF(Control_Achizitii!$C127="",0,IF(ISNUMBER(Control_Achizitii!$B127),0,1))</f>
        <v>0</v>
      </c>
      <c r="V127" s="27">
        <f>IF(Control_Achizitii!$C127="",0,IF($Z$2&lt;&gt;"OK",0,IF(AND(ISNUMBER(Control_Achizitii!$B127),Control_Achizitii!$B127&gt;=$E$5,Control_Achizitii!$B127&lt;$J$5+1,OR($O$5="Toate proiectele",Control_Achizitii!$Q127=$O$5)),1,0)))</f>
        <v>0</v>
      </c>
      <c r="W127" s="27">
        <f>IF(AND(V127=1,OR(Control_Achizitii!$J127&lt;&gt;"DOSAR COMPLET",Control_Achizitii!$K127&lt;&gt;"")),ROW(),1000000000)</f>
        <v>1000000000</v>
      </c>
      <c r="X127" s="27">
        <f>IF(AND(V127=1,LEFT(Control_Achizitii!$E127,4)="Fact",NOT(ISNUMBER(Control_Achizitii!$P127))),1,0)</f>
        <v>0</v>
      </c>
      <c r="Y127" s="27">
        <f>IF(V127=0,0,IF(Control_Achizitii!$J127="DOSAR COMPLET",1,IF(LEFT(Control_Achizitii!$J127,9)="INCOMPLET",2,3)))</f>
        <v>0</v>
      </c>
      <c r="Z127" s="27"/>
      <c r="AA127" s="27"/>
      <c r="AB127" s="27"/>
      <c r="AC127" s="27"/>
      <c r="AD127" s="27"/>
      <c r="AE127" s="27"/>
      <c r="AF127" s="27"/>
      <c r="AG127" s="27"/>
      <c r="AH127" s="27">
        <f>IF(AND(V127=1,Control_Achizitii!$J127="DOSAR COMPLET",Control_Achizitii!$K127&lt;&gt;""),1,0)</f>
        <v>0</v>
      </c>
    </row>
    <row r="128" spans="1:34">
      <c r="A128" s="27"/>
      <c r="B128" s="27"/>
      <c r="C128" s="27"/>
      <c r="D128" s="27"/>
      <c r="E128" s="27"/>
      <c r="F128" s="27"/>
      <c r="G128" s="27"/>
      <c r="H128" s="27"/>
      <c r="I128" s="27"/>
      <c r="J128" s="27"/>
      <c r="K128" s="27"/>
      <c r="L128" s="27"/>
      <c r="M128" s="27"/>
      <c r="N128" s="27"/>
      <c r="O128" s="27"/>
      <c r="P128" s="27"/>
      <c r="Q128" s="27"/>
      <c r="R128" s="27"/>
      <c r="S128" s="27"/>
      <c r="T128" s="27">
        <f>IF(LEFT(Control_Achizitii!$E128,4)="Fact",1,0)</f>
        <v>0</v>
      </c>
      <c r="U128" s="27">
        <f>IF(Control_Achizitii!$C128="",0,IF(ISNUMBER(Control_Achizitii!$B128),0,1))</f>
        <v>0</v>
      </c>
      <c r="V128" s="27">
        <f>IF(Control_Achizitii!$C128="",0,IF($Z$2&lt;&gt;"OK",0,IF(AND(ISNUMBER(Control_Achizitii!$B128),Control_Achizitii!$B128&gt;=$E$5,Control_Achizitii!$B128&lt;$J$5+1,OR($O$5="Toate proiectele",Control_Achizitii!$Q128=$O$5)),1,0)))</f>
        <v>0</v>
      </c>
      <c r="W128" s="27">
        <f>IF(AND(V128=1,OR(Control_Achizitii!$J128&lt;&gt;"DOSAR COMPLET",Control_Achizitii!$K128&lt;&gt;"")),ROW(),1000000000)</f>
        <v>1000000000</v>
      </c>
      <c r="X128" s="27">
        <f>IF(AND(V128=1,LEFT(Control_Achizitii!$E128,4)="Fact",NOT(ISNUMBER(Control_Achizitii!$P128))),1,0)</f>
        <v>0</v>
      </c>
      <c r="Y128" s="27">
        <f>IF(V128=0,0,IF(Control_Achizitii!$J128="DOSAR COMPLET",1,IF(LEFT(Control_Achizitii!$J128,9)="INCOMPLET",2,3)))</f>
        <v>0</v>
      </c>
      <c r="Z128" s="27"/>
      <c r="AA128" s="27"/>
      <c r="AB128" s="27"/>
      <c r="AC128" s="27"/>
      <c r="AD128" s="27"/>
      <c r="AE128" s="27"/>
      <c r="AF128" s="27"/>
      <c r="AG128" s="27"/>
      <c r="AH128" s="27">
        <f>IF(AND(V128=1,Control_Achizitii!$J128="DOSAR COMPLET",Control_Achizitii!$K128&lt;&gt;""),1,0)</f>
        <v>0</v>
      </c>
    </row>
    <row r="129" spans="1:34">
      <c r="A129" s="27"/>
      <c r="B129" s="27"/>
      <c r="C129" s="27"/>
      <c r="D129" s="27"/>
      <c r="E129" s="27"/>
      <c r="F129" s="27"/>
      <c r="G129" s="27"/>
      <c r="H129" s="27"/>
      <c r="I129" s="27"/>
      <c r="J129" s="27"/>
      <c r="K129" s="27"/>
      <c r="L129" s="27"/>
      <c r="M129" s="27"/>
      <c r="N129" s="27"/>
      <c r="O129" s="27"/>
      <c r="P129" s="27"/>
      <c r="Q129" s="27"/>
      <c r="R129" s="27"/>
      <c r="S129" s="27"/>
      <c r="T129" s="27">
        <f>IF(LEFT(Control_Achizitii!$E129,4)="Fact",1,0)</f>
        <v>0</v>
      </c>
      <c r="U129" s="27">
        <f>IF(Control_Achizitii!$C129="",0,IF(ISNUMBER(Control_Achizitii!$B129),0,1))</f>
        <v>0</v>
      </c>
      <c r="V129" s="27">
        <f>IF(Control_Achizitii!$C129="",0,IF($Z$2&lt;&gt;"OK",0,IF(AND(ISNUMBER(Control_Achizitii!$B129),Control_Achizitii!$B129&gt;=$E$5,Control_Achizitii!$B129&lt;$J$5+1,OR($O$5="Toate proiectele",Control_Achizitii!$Q129=$O$5)),1,0)))</f>
        <v>0</v>
      </c>
      <c r="W129" s="27">
        <f>IF(AND(V129=1,OR(Control_Achizitii!$J129&lt;&gt;"DOSAR COMPLET",Control_Achizitii!$K129&lt;&gt;"")),ROW(),1000000000)</f>
        <v>1000000000</v>
      </c>
      <c r="X129" s="27">
        <f>IF(AND(V129=1,LEFT(Control_Achizitii!$E129,4)="Fact",NOT(ISNUMBER(Control_Achizitii!$P129))),1,0)</f>
        <v>0</v>
      </c>
      <c r="Y129" s="27">
        <f>IF(V129=0,0,IF(Control_Achizitii!$J129="DOSAR COMPLET",1,IF(LEFT(Control_Achizitii!$J129,9)="INCOMPLET",2,3)))</f>
        <v>0</v>
      </c>
      <c r="Z129" s="27"/>
      <c r="AA129" s="27"/>
      <c r="AB129" s="27"/>
      <c r="AC129" s="27"/>
      <c r="AD129" s="27"/>
      <c r="AE129" s="27"/>
      <c r="AF129" s="27"/>
      <c r="AG129" s="27"/>
      <c r="AH129" s="27">
        <f>IF(AND(V129=1,Control_Achizitii!$J129="DOSAR COMPLET",Control_Achizitii!$K129&lt;&gt;""),1,0)</f>
        <v>0</v>
      </c>
    </row>
    <row r="130" spans="1:34">
      <c r="A130" s="27"/>
      <c r="B130" s="27"/>
      <c r="C130" s="27"/>
      <c r="D130" s="27"/>
      <c r="E130" s="27"/>
      <c r="F130" s="27"/>
      <c r="G130" s="27"/>
      <c r="H130" s="27"/>
      <c r="I130" s="27"/>
      <c r="J130" s="27"/>
      <c r="K130" s="27"/>
      <c r="L130" s="27"/>
      <c r="M130" s="27"/>
      <c r="N130" s="27"/>
      <c r="O130" s="27"/>
      <c r="P130" s="27"/>
      <c r="Q130" s="27"/>
      <c r="R130" s="27"/>
      <c r="S130" s="27"/>
      <c r="T130" s="27">
        <f>IF(LEFT(Control_Achizitii!$E130,4)="Fact",1,0)</f>
        <v>0</v>
      </c>
      <c r="U130" s="27">
        <f>IF(Control_Achizitii!$C130="",0,IF(ISNUMBER(Control_Achizitii!$B130),0,1))</f>
        <v>0</v>
      </c>
      <c r="V130" s="27">
        <f>IF(Control_Achizitii!$C130="",0,IF($Z$2&lt;&gt;"OK",0,IF(AND(ISNUMBER(Control_Achizitii!$B130),Control_Achizitii!$B130&gt;=$E$5,Control_Achizitii!$B130&lt;$J$5+1,OR($O$5="Toate proiectele",Control_Achizitii!$Q130=$O$5)),1,0)))</f>
        <v>0</v>
      </c>
      <c r="W130" s="27">
        <f>IF(AND(V130=1,OR(Control_Achizitii!$J130&lt;&gt;"DOSAR COMPLET",Control_Achizitii!$K130&lt;&gt;"")),ROW(),1000000000)</f>
        <v>1000000000</v>
      </c>
      <c r="X130" s="27">
        <f>IF(AND(V130=1,LEFT(Control_Achizitii!$E130,4)="Fact",NOT(ISNUMBER(Control_Achizitii!$P130))),1,0)</f>
        <v>0</v>
      </c>
      <c r="Y130" s="27">
        <f>IF(V130=0,0,IF(Control_Achizitii!$J130="DOSAR COMPLET",1,IF(LEFT(Control_Achizitii!$J130,9)="INCOMPLET",2,3)))</f>
        <v>0</v>
      </c>
      <c r="Z130" s="27"/>
      <c r="AA130" s="27"/>
      <c r="AB130" s="27"/>
      <c r="AC130" s="27"/>
      <c r="AD130" s="27"/>
      <c r="AE130" s="27"/>
      <c r="AF130" s="27"/>
      <c r="AG130" s="27"/>
      <c r="AH130" s="27">
        <f>IF(AND(V130=1,Control_Achizitii!$J130="DOSAR COMPLET",Control_Achizitii!$K130&lt;&gt;""),1,0)</f>
        <v>0</v>
      </c>
    </row>
    <row r="131" spans="1:34">
      <c r="A131" s="27"/>
      <c r="B131" s="27"/>
      <c r="C131" s="27"/>
      <c r="D131" s="27"/>
      <c r="E131" s="27"/>
      <c r="F131" s="27"/>
      <c r="G131" s="27"/>
      <c r="H131" s="27"/>
      <c r="I131" s="27"/>
      <c r="J131" s="27"/>
      <c r="K131" s="27"/>
      <c r="L131" s="27"/>
      <c r="M131" s="27"/>
      <c r="N131" s="27"/>
      <c r="O131" s="27"/>
      <c r="P131" s="27"/>
      <c r="Q131" s="27"/>
      <c r="R131" s="27"/>
      <c r="S131" s="27"/>
      <c r="T131" s="27">
        <f>IF(LEFT(Control_Achizitii!$E131,4)="Fact",1,0)</f>
        <v>0</v>
      </c>
      <c r="U131" s="27">
        <f>IF(Control_Achizitii!$C131="",0,IF(ISNUMBER(Control_Achizitii!$B131),0,1))</f>
        <v>0</v>
      </c>
      <c r="V131" s="27">
        <f>IF(Control_Achizitii!$C131="",0,IF($Z$2&lt;&gt;"OK",0,IF(AND(ISNUMBER(Control_Achizitii!$B131),Control_Achizitii!$B131&gt;=$E$5,Control_Achizitii!$B131&lt;$J$5+1,OR($O$5="Toate proiectele",Control_Achizitii!$Q131=$O$5)),1,0)))</f>
        <v>0</v>
      </c>
      <c r="W131" s="27">
        <f>IF(AND(V131=1,OR(Control_Achizitii!$J131&lt;&gt;"DOSAR COMPLET",Control_Achizitii!$K131&lt;&gt;"")),ROW(),1000000000)</f>
        <v>1000000000</v>
      </c>
      <c r="X131" s="27">
        <f>IF(AND(V131=1,LEFT(Control_Achizitii!$E131,4)="Fact",NOT(ISNUMBER(Control_Achizitii!$P131))),1,0)</f>
        <v>0</v>
      </c>
      <c r="Y131" s="27">
        <f>IF(V131=0,0,IF(Control_Achizitii!$J131="DOSAR COMPLET",1,IF(LEFT(Control_Achizitii!$J131,9)="INCOMPLET",2,3)))</f>
        <v>0</v>
      </c>
      <c r="Z131" s="27"/>
      <c r="AA131" s="27"/>
      <c r="AB131" s="27"/>
      <c r="AC131" s="27"/>
      <c r="AD131" s="27"/>
      <c r="AE131" s="27"/>
      <c r="AF131" s="27"/>
      <c r="AG131" s="27"/>
      <c r="AH131" s="27">
        <f>IF(AND(V131=1,Control_Achizitii!$J131="DOSAR COMPLET",Control_Achizitii!$K131&lt;&gt;""),1,0)</f>
        <v>0</v>
      </c>
    </row>
    <row r="132" spans="1:34">
      <c r="A132" s="27"/>
      <c r="B132" s="27"/>
      <c r="C132" s="27"/>
      <c r="D132" s="27"/>
      <c r="E132" s="27"/>
      <c r="F132" s="27"/>
      <c r="G132" s="27"/>
      <c r="H132" s="27"/>
      <c r="I132" s="27"/>
      <c r="J132" s="27"/>
      <c r="K132" s="27"/>
      <c r="L132" s="27"/>
      <c r="M132" s="27"/>
      <c r="N132" s="27"/>
      <c r="O132" s="27"/>
      <c r="P132" s="27"/>
      <c r="Q132" s="27"/>
      <c r="R132" s="27"/>
      <c r="S132" s="27"/>
      <c r="T132" s="27">
        <f>IF(LEFT(Control_Achizitii!$E132,4)="Fact",1,0)</f>
        <v>0</v>
      </c>
      <c r="U132" s="27">
        <f>IF(Control_Achizitii!$C132="",0,IF(ISNUMBER(Control_Achizitii!$B132),0,1))</f>
        <v>0</v>
      </c>
      <c r="V132" s="27">
        <f>IF(Control_Achizitii!$C132="",0,IF($Z$2&lt;&gt;"OK",0,IF(AND(ISNUMBER(Control_Achizitii!$B132),Control_Achizitii!$B132&gt;=$E$5,Control_Achizitii!$B132&lt;$J$5+1,OR($O$5="Toate proiectele",Control_Achizitii!$Q132=$O$5)),1,0)))</f>
        <v>0</v>
      </c>
      <c r="W132" s="27">
        <f>IF(AND(V132=1,OR(Control_Achizitii!$J132&lt;&gt;"DOSAR COMPLET",Control_Achizitii!$K132&lt;&gt;"")),ROW(),1000000000)</f>
        <v>1000000000</v>
      </c>
      <c r="X132" s="27">
        <f>IF(AND(V132=1,LEFT(Control_Achizitii!$E132,4)="Fact",NOT(ISNUMBER(Control_Achizitii!$P132))),1,0)</f>
        <v>0</v>
      </c>
      <c r="Y132" s="27">
        <f>IF(V132=0,0,IF(Control_Achizitii!$J132="DOSAR COMPLET",1,IF(LEFT(Control_Achizitii!$J132,9)="INCOMPLET",2,3)))</f>
        <v>0</v>
      </c>
      <c r="Z132" s="27"/>
      <c r="AA132" s="27"/>
      <c r="AB132" s="27"/>
      <c r="AC132" s="27"/>
      <c r="AD132" s="27"/>
      <c r="AE132" s="27"/>
      <c r="AF132" s="27"/>
      <c r="AG132" s="27"/>
      <c r="AH132" s="27">
        <f>IF(AND(V132=1,Control_Achizitii!$J132="DOSAR COMPLET",Control_Achizitii!$K132&lt;&gt;""),1,0)</f>
        <v>0</v>
      </c>
    </row>
    <row r="133" spans="1:34">
      <c r="A133" s="27"/>
      <c r="B133" s="27"/>
      <c r="C133" s="27"/>
      <c r="D133" s="27"/>
      <c r="E133" s="27"/>
      <c r="F133" s="27"/>
      <c r="G133" s="27"/>
      <c r="H133" s="27"/>
      <c r="I133" s="27"/>
      <c r="J133" s="27"/>
      <c r="K133" s="27"/>
      <c r="L133" s="27"/>
      <c r="M133" s="27"/>
      <c r="N133" s="27"/>
      <c r="O133" s="27"/>
      <c r="P133" s="27"/>
      <c r="Q133" s="27"/>
      <c r="R133" s="27"/>
      <c r="S133" s="27"/>
      <c r="T133" s="27">
        <f>IF(LEFT(Control_Achizitii!$E133,4)="Fact",1,0)</f>
        <v>0</v>
      </c>
      <c r="U133" s="27">
        <f>IF(Control_Achizitii!$C133="",0,IF(ISNUMBER(Control_Achizitii!$B133),0,1))</f>
        <v>0</v>
      </c>
      <c r="V133" s="27">
        <f>IF(Control_Achizitii!$C133="",0,IF($Z$2&lt;&gt;"OK",0,IF(AND(ISNUMBER(Control_Achizitii!$B133),Control_Achizitii!$B133&gt;=$E$5,Control_Achizitii!$B133&lt;$J$5+1,OR($O$5="Toate proiectele",Control_Achizitii!$Q133=$O$5)),1,0)))</f>
        <v>0</v>
      </c>
      <c r="W133" s="27">
        <f>IF(AND(V133=1,OR(Control_Achizitii!$J133&lt;&gt;"DOSAR COMPLET",Control_Achizitii!$K133&lt;&gt;"")),ROW(),1000000000)</f>
        <v>1000000000</v>
      </c>
      <c r="X133" s="27">
        <f>IF(AND(V133=1,LEFT(Control_Achizitii!$E133,4)="Fact",NOT(ISNUMBER(Control_Achizitii!$P133))),1,0)</f>
        <v>0</v>
      </c>
      <c r="Y133" s="27">
        <f>IF(V133=0,0,IF(Control_Achizitii!$J133="DOSAR COMPLET",1,IF(LEFT(Control_Achizitii!$J133,9)="INCOMPLET",2,3)))</f>
        <v>0</v>
      </c>
      <c r="Z133" s="27"/>
      <c r="AA133" s="27"/>
      <c r="AB133" s="27"/>
      <c r="AC133" s="27"/>
      <c r="AD133" s="27"/>
      <c r="AE133" s="27"/>
      <c r="AF133" s="27"/>
      <c r="AG133" s="27"/>
      <c r="AH133" s="27">
        <f>IF(AND(V133=1,Control_Achizitii!$J133="DOSAR COMPLET",Control_Achizitii!$K133&lt;&gt;""),1,0)</f>
        <v>0</v>
      </c>
    </row>
    <row r="134" spans="1:34">
      <c r="A134" s="27"/>
      <c r="B134" s="27"/>
      <c r="C134" s="27"/>
      <c r="D134" s="27"/>
      <c r="E134" s="27"/>
      <c r="F134" s="27"/>
      <c r="G134" s="27"/>
      <c r="H134" s="27"/>
      <c r="I134" s="27"/>
      <c r="J134" s="27"/>
      <c r="K134" s="27"/>
      <c r="L134" s="27"/>
      <c r="M134" s="27"/>
      <c r="N134" s="27"/>
      <c r="O134" s="27"/>
      <c r="P134" s="27"/>
      <c r="Q134" s="27"/>
      <c r="R134" s="27"/>
      <c r="S134" s="27"/>
      <c r="T134" s="27">
        <f>IF(LEFT(Control_Achizitii!$E134,4)="Fact",1,0)</f>
        <v>0</v>
      </c>
      <c r="U134" s="27">
        <f>IF(Control_Achizitii!$C134="",0,IF(ISNUMBER(Control_Achizitii!$B134),0,1))</f>
        <v>0</v>
      </c>
      <c r="V134" s="27">
        <f>IF(Control_Achizitii!$C134="",0,IF($Z$2&lt;&gt;"OK",0,IF(AND(ISNUMBER(Control_Achizitii!$B134),Control_Achizitii!$B134&gt;=$E$5,Control_Achizitii!$B134&lt;$J$5+1,OR($O$5="Toate proiectele",Control_Achizitii!$Q134=$O$5)),1,0)))</f>
        <v>0</v>
      </c>
      <c r="W134" s="27">
        <f>IF(AND(V134=1,OR(Control_Achizitii!$J134&lt;&gt;"DOSAR COMPLET",Control_Achizitii!$K134&lt;&gt;"")),ROW(),1000000000)</f>
        <v>1000000000</v>
      </c>
      <c r="X134" s="27">
        <f>IF(AND(V134=1,LEFT(Control_Achizitii!$E134,4)="Fact",NOT(ISNUMBER(Control_Achizitii!$P134))),1,0)</f>
        <v>0</v>
      </c>
      <c r="Y134" s="27">
        <f>IF(V134=0,0,IF(Control_Achizitii!$J134="DOSAR COMPLET",1,IF(LEFT(Control_Achizitii!$J134,9)="INCOMPLET",2,3)))</f>
        <v>0</v>
      </c>
      <c r="Z134" s="27"/>
      <c r="AA134" s="27"/>
      <c r="AB134" s="27"/>
      <c r="AC134" s="27"/>
      <c r="AD134" s="27"/>
      <c r="AE134" s="27"/>
      <c r="AF134" s="27"/>
      <c r="AG134" s="27"/>
      <c r="AH134" s="27">
        <f>IF(AND(V134=1,Control_Achizitii!$J134="DOSAR COMPLET",Control_Achizitii!$K134&lt;&gt;""),1,0)</f>
        <v>0</v>
      </c>
    </row>
    <row r="135" spans="1:34">
      <c r="A135" s="27"/>
      <c r="B135" s="27"/>
      <c r="C135" s="27"/>
      <c r="D135" s="27"/>
      <c r="E135" s="27"/>
      <c r="F135" s="27"/>
      <c r="G135" s="27"/>
      <c r="H135" s="27"/>
      <c r="I135" s="27"/>
      <c r="J135" s="27"/>
      <c r="K135" s="27"/>
      <c r="L135" s="27"/>
      <c r="M135" s="27"/>
      <c r="N135" s="27"/>
      <c r="O135" s="27"/>
      <c r="P135" s="27"/>
      <c r="Q135" s="27"/>
      <c r="R135" s="27"/>
      <c r="S135" s="27"/>
      <c r="T135" s="27">
        <f>IF(LEFT(Control_Achizitii!$E135,4)="Fact",1,0)</f>
        <v>0</v>
      </c>
      <c r="U135" s="27">
        <f>IF(Control_Achizitii!$C135="",0,IF(ISNUMBER(Control_Achizitii!$B135),0,1))</f>
        <v>0</v>
      </c>
      <c r="V135" s="27">
        <f>IF(Control_Achizitii!$C135="",0,IF($Z$2&lt;&gt;"OK",0,IF(AND(ISNUMBER(Control_Achizitii!$B135),Control_Achizitii!$B135&gt;=$E$5,Control_Achizitii!$B135&lt;$J$5+1,OR($O$5="Toate proiectele",Control_Achizitii!$Q135=$O$5)),1,0)))</f>
        <v>0</v>
      </c>
      <c r="W135" s="27">
        <f>IF(AND(V135=1,OR(Control_Achizitii!$J135&lt;&gt;"DOSAR COMPLET",Control_Achizitii!$K135&lt;&gt;"")),ROW(),1000000000)</f>
        <v>1000000000</v>
      </c>
      <c r="X135" s="27">
        <f>IF(AND(V135=1,LEFT(Control_Achizitii!$E135,4)="Fact",NOT(ISNUMBER(Control_Achizitii!$P135))),1,0)</f>
        <v>0</v>
      </c>
      <c r="Y135" s="27">
        <f>IF(V135=0,0,IF(Control_Achizitii!$J135="DOSAR COMPLET",1,IF(LEFT(Control_Achizitii!$J135,9)="INCOMPLET",2,3)))</f>
        <v>0</v>
      </c>
      <c r="Z135" s="27"/>
      <c r="AA135" s="27"/>
      <c r="AB135" s="27"/>
      <c r="AC135" s="27"/>
      <c r="AD135" s="27"/>
      <c r="AE135" s="27"/>
      <c r="AF135" s="27"/>
      <c r="AG135" s="27"/>
      <c r="AH135" s="27">
        <f>IF(AND(V135=1,Control_Achizitii!$J135="DOSAR COMPLET",Control_Achizitii!$K135&lt;&gt;""),1,0)</f>
        <v>0</v>
      </c>
    </row>
    <row r="136" spans="1:34">
      <c r="A136" s="27"/>
      <c r="B136" s="27"/>
      <c r="C136" s="27"/>
      <c r="D136" s="27"/>
      <c r="E136" s="27"/>
      <c r="F136" s="27"/>
      <c r="G136" s="27"/>
      <c r="H136" s="27"/>
      <c r="I136" s="27"/>
      <c r="J136" s="27"/>
      <c r="K136" s="27"/>
      <c r="L136" s="27"/>
      <c r="M136" s="27"/>
      <c r="N136" s="27"/>
      <c r="O136" s="27"/>
      <c r="P136" s="27"/>
      <c r="Q136" s="27"/>
      <c r="R136" s="27"/>
      <c r="S136" s="27"/>
      <c r="T136" s="27">
        <f>IF(LEFT(Control_Achizitii!$E136,4)="Fact",1,0)</f>
        <v>0</v>
      </c>
      <c r="U136" s="27">
        <f>IF(Control_Achizitii!$C136="",0,IF(ISNUMBER(Control_Achizitii!$B136),0,1))</f>
        <v>0</v>
      </c>
      <c r="V136" s="27">
        <f>IF(Control_Achizitii!$C136="",0,IF($Z$2&lt;&gt;"OK",0,IF(AND(ISNUMBER(Control_Achizitii!$B136),Control_Achizitii!$B136&gt;=$E$5,Control_Achizitii!$B136&lt;$J$5+1,OR($O$5="Toate proiectele",Control_Achizitii!$Q136=$O$5)),1,0)))</f>
        <v>0</v>
      </c>
      <c r="W136" s="27">
        <f>IF(AND(V136=1,OR(Control_Achizitii!$J136&lt;&gt;"DOSAR COMPLET",Control_Achizitii!$K136&lt;&gt;"")),ROW(),1000000000)</f>
        <v>1000000000</v>
      </c>
      <c r="X136" s="27">
        <f>IF(AND(V136=1,LEFT(Control_Achizitii!$E136,4)="Fact",NOT(ISNUMBER(Control_Achizitii!$P136))),1,0)</f>
        <v>0</v>
      </c>
      <c r="Y136" s="27">
        <f>IF(V136=0,0,IF(Control_Achizitii!$J136="DOSAR COMPLET",1,IF(LEFT(Control_Achizitii!$J136,9)="INCOMPLET",2,3)))</f>
        <v>0</v>
      </c>
      <c r="Z136" s="27"/>
      <c r="AA136" s="27"/>
      <c r="AB136" s="27"/>
      <c r="AC136" s="27"/>
      <c r="AD136" s="27"/>
      <c r="AE136" s="27"/>
      <c r="AF136" s="27"/>
      <c r="AG136" s="27"/>
      <c r="AH136" s="27">
        <f>IF(AND(V136=1,Control_Achizitii!$J136="DOSAR COMPLET",Control_Achizitii!$K136&lt;&gt;""),1,0)</f>
        <v>0</v>
      </c>
    </row>
    <row r="137" spans="1:34">
      <c r="A137" s="27"/>
      <c r="B137" s="27"/>
      <c r="C137" s="27"/>
      <c r="D137" s="27"/>
      <c r="E137" s="27"/>
      <c r="F137" s="27"/>
      <c r="G137" s="27"/>
      <c r="H137" s="27"/>
      <c r="I137" s="27"/>
      <c r="J137" s="27"/>
      <c r="K137" s="27"/>
      <c r="L137" s="27"/>
      <c r="M137" s="27"/>
      <c r="N137" s="27"/>
      <c r="O137" s="27"/>
      <c r="P137" s="27"/>
      <c r="Q137" s="27"/>
      <c r="R137" s="27"/>
      <c r="S137" s="27"/>
      <c r="T137" s="27">
        <f>IF(LEFT(Control_Achizitii!$E137,4)="Fact",1,0)</f>
        <v>0</v>
      </c>
      <c r="U137" s="27">
        <f>IF(Control_Achizitii!$C137="",0,IF(ISNUMBER(Control_Achizitii!$B137),0,1))</f>
        <v>0</v>
      </c>
      <c r="V137" s="27">
        <f>IF(Control_Achizitii!$C137="",0,IF($Z$2&lt;&gt;"OK",0,IF(AND(ISNUMBER(Control_Achizitii!$B137),Control_Achizitii!$B137&gt;=$E$5,Control_Achizitii!$B137&lt;$J$5+1,OR($O$5="Toate proiectele",Control_Achizitii!$Q137=$O$5)),1,0)))</f>
        <v>0</v>
      </c>
      <c r="W137" s="27">
        <f>IF(AND(V137=1,OR(Control_Achizitii!$J137&lt;&gt;"DOSAR COMPLET",Control_Achizitii!$K137&lt;&gt;"")),ROW(),1000000000)</f>
        <v>1000000000</v>
      </c>
      <c r="X137" s="27">
        <f>IF(AND(V137=1,LEFT(Control_Achizitii!$E137,4)="Fact",NOT(ISNUMBER(Control_Achizitii!$P137))),1,0)</f>
        <v>0</v>
      </c>
      <c r="Y137" s="27">
        <f>IF(V137=0,0,IF(Control_Achizitii!$J137="DOSAR COMPLET",1,IF(LEFT(Control_Achizitii!$J137,9)="INCOMPLET",2,3)))</f>
        <v>0</v>
      </c>
      <c r="Z137" s="27"/>
      <c r="AA137" s="27"/>
      <c r="AB137" s="27"/>
      <c r="AC137" s="27"/>
      <c r="AD137" s="27"/>
      <c r="AE137" s="27"/>
      <c r="AF137" s="27"/>
      <c r="AG137" s="27"/>
      <c r="AH137" s="27">
        <f>IF(AND(V137=1,Control_Achizitii!$J137="DOSAR COMPLET",Control_Achizitii!$K137&lt;&gt;""),1,0)</f>
        <v>0</v>
      </c>
    </row>
    <row r="138" spans="1:34">
      <c r="A138" s="27"/>
      <c r="B138" s="27"/>
      <c r="C138" s="27"/>
      <c r="D138" s="27"/>
      <c r="E138" s="27"/>
      <c r="F138" s="27"/>
      <c r="G138" s="27"/>
      <c r="H138" s="27"/>
      <c r="I138" s="27"/>
      <c r="J138" s="27"/>
      <c r="K138" s="27"/>
      <c r="L138" s="27"/>
      <c r="M138" s="27"/>
      <c r="N138" s="27"/>
      <c r="O138" s="27"/>
      <c r="P138" s="27"/>
      <c r="Q138" s="27"/>
      <c r="R138" s="27"/>
      <c r="S138" s="27"/>
      <c r="T138" s="27">
        <f>IF(LEFT(Control_Achizitii!$E138,4)="Fact",1,0)</f>
        <v>0</v>
      </c>
      <c r="U138" s="27">
        <f>IF(Control_Achizitii!$C138="",0,IF(ISNUMBER(Control_Achizitii!$B138),0,1))</f>
        <v>0</v>
      </c>
      <c r="V138" s="27">
        <f>IF(Control_Achizitii!$C138="",0,IF($Z$2&lt;&gt;"OK",0,IF(AND(ISNUMBER(Control_Achizitii!$B138),Control_Achizitii!$B138&gt;=$E$5,Control_Achizitii!$B138&lt;$J$5+1,OR($O$5="Toate proiectele",Control_Achizitii!$Q138=$O$5)),1,0)))</f>
        <v>0</v>
      </c>
      <c r="W138" s="27">
        <f>IF(AND(V138=1,OR(Control_Achizitii!$J138&lt;&gt;"DOSAR COMPLET",Control_Achizitii!$K138&lt;&gt;"")),ROW(),1000000000)</f>
        <v>1000000000</v>
      </c>
      <c r="X138" s="27">
        <f>IF(AND(V138=1,LEFT(Control_Achizitii!$E138,4)="Fact",NOT(ISNUMBER(Control_Achizitii!$P138))),1,0)</f>
        <v>0</v>
      </c>
      <c r="Y138" s="27">
        <f>IF(V138=0,0,IF(Control_Achizitii!$J138="DOSAR COMPLET",1,IF(LEFT(Control_Achizitii!$J138,9)="INCOMPLET",2,3)))</f>
        <v>0</v>
      </c>
      <c r="Z138" s="27"/>
      <c r="AA138" s="27"/>
      <c r="AB138" s="27"/>
      <c r="AC138" s="27"/>
      <c r="AD138" s="27"/>
      <c r="AE138" s="27"/>
      <c r="AF138" s="27"/>
      <c r="AG138" s="27"/>
      <c r="AH138" s="27">
        <f>IF(AND(V138=1,Control_Achizitii!$J138="DOSAR COMPLET",Control_Achizitii!$K138&lt;&gt;""),1,0)</f>
        <v>0</v>
      </c>
    </row>
    <row r="139" spans="1:34">
      <c r="A139" s="27"/>
      <c r="B139" s="27"/>
      <c r="C139" s="27"/>
      <c r="D139" s="27"/>
      <c r="E139" s="27"/>
      <c r="F139" s="27"/>
      <c r="G139" s="27"/>
      <c r="H139" s="27"/>
      <c r="I139" s="27"/>
      <c r="J139" s="27"/>
      <c r="K139" s="27"/>
      <c r="L139" s="27"/>
      <c r="M139" s="27"/>
      <c r="N139" s="27"/>
      <c r="O139" s="27"/>
      <c r="P139" s="27"/>
      <c r="Q139" s="27"/>
      <c r="R139" s="27"/>
      <c r="S139" s="27"/>
      <c r="T139" s="27">
        <f>IF(LEFT(Control_Achizitii!$E139,4)="Fact",1,0)</f>
        <v>0</v>
      </c>
      <c r="U139" s="27">
        <f>IF(Control_Achizitii!$C139="",0,IF(ISNUMBER(Control_Achizitii!$B139),0,1))</f>
        <v>0</v>
      </c>
      <c r="V139" s="27">
        <f>IF(Control_Achizitii!$C139="",0,IF($Z$2&lt;&gt;"OK",0,IF(AND(ISNUMBER(Control_Achizitii!$B139),Control_Achizitii!$B139&gt;=$E$5,Control_Achizitii!$B139&lt;$J$5+1,OR($O$5="Toate proiectele",Control_Achizitii!$Q139=$O$5)),1,0)))</f>
        <v>0</v>
      </c>
      <c r="W139" s="27">
        <f>IF(AND(V139=1,OR(Control_Achizitii!$J139&lt;&gt;"DOSAR COMPLET",Control_Achizitii!$K139&lt;&gt;"")),ROW(),1000000000)</f>
        <v>1000000000</v>
      </c>
      <c r="X139" s="27">
        <f>IF(AND(V139=1,LEFT(Control_Achizitii!$E139,4)="Fact",NOT(ISNUMBER(Control_Achizitii!$P139))),1,0)</f>
        <v>0</v>
      </c>
      <c r="Y139" s="27">
        <f>IF(V139=0,0,IF(Control_Achizitii!$J139="DOSAR COMPLET",1,IF(LEFT(Control_Achizitii!$J139,9)="INCOMPLET",2,3)))</f>
        <v>0</v>
      </c>
      <c r="Z139" s="27"/>
      <c r="AA139" s="27"/>
      <c r="AB139" s="27"/>
      <c r="AC139" s="27"/>
      <c r="AD139" s="27"/>
      <c r="AE139" s="27"/>
      <c r="AF139" s="27"/>
      <c r="AG139" s="27"/>
      <c r="AH139" s="27">
        <f>IF(AND(V139=1,Control_Achizitii!$J139="DOSAR COMPLET",Control_Achizitii!$K139&lt;&gt;""),1,0)</f>
        <v>0</v>
      </c>
    </row>
    <row r="140" spans="1:34">
      <c r="A140" s="27"/>
      <c r="B140" s="27"/>
      <c r="C140" s="27"/>
      <c r="D140" s="27"/>
      <c r="E140" s="27"/>
      <c r="F140" s="27"/>
      <c r="G140" s="27"/>
      <c r="H140" s="27"/>
      <c r="I140" s="27"/>
      <c r="J140" s="27"/>
      <c r="K140" s="27"/>
      <c r="L140" s="27"/>
      <c r="M140" s="27"/>
      <c r="N140" s="27"/>
      <c r="O140" s="27"/>
      <c r="P140" s="27"/>
      <c r="Q140" s="27"/>
      <c r="R140" s="27"/>
      <c r="S140" s="27"/>
      <c r="T140" s="27">
        <f>IF(LEFT(Control_Achizitii!$E140,4)="Fact",1,0)</f>
        <v>0</v>
      </c>
      <c r="U140" s="27">
        <f>IF(Control_Achizitii!$C140="",0,IF(ISNUMBER(Control_Achizitii!$B140),0,1))</f>
        <v>0</v>
      </c>
      <c r="V140" s="27">
        <f>IF(Control_Achizitii!$C140="",0,IF($Z$2&lt;&gt;"OK",0,IF(AND(ISNUMBER(Control_Achizitii!$B140),Control_Achizitii!$B140&gt;=$E$5,Control_Achizitii!$B140&lt;$J$5+1,OR($O$5="Toate proiectele",Control_Achizitii!$Q140=$O$5)),1,0)))</f>
        <v>0</v>
      </c>
      <c r="W140" s="27">
        <f>IF(AND(V140=1,OR(Control_Achizitii!$J140&lt;&gt;"DOSAR COMPLET",Control_Achizitii!$K140&lt;&gt;"")),ROW(),1000000000)</f>
        <v>1000000000</v>
      </c>
      <c r="X140" s="27">
        <f>IF(AND(V140=1,LEFT(Control_Achizitii!$E140,4)="Fact",NOT(ISNUMBER(Control_Achizitii!$P140))),1,0)</f>
        <v>0</v>
      </c>
      <c r="Y140" s="27">
        <f>IF(V140=0,0,IF(Control_Achizitii!$J140="DOSAR COMPLET",1,IF(LEFT(Control_Achizitii!$J140,9)="INCOMPLET",2,3)))</f>
        <v>0</v>
      </c>
      <c r="Z140" s="27"/>
      <c r="AA140" s="27"/>
      <c r="AB140" s="27"/>
      <c r="AC140" s="27"/>
      <c r="AD140" s="27"/>
      <c r="AE140" s="27"/>
      <c r="AF140" s="27"/>
      <c r="AG140" s="27"/>
      <c r="AH140" s="27">
        <f>IF(AND(V140=1,Control_Achizitii!$J140="DOSAR COMPLET",Control_Achizitii!$K140&lt;&gt;""),1,0)</f>
        <v>0</v>
      </c>
    </row>
    <row r="141" spans="1:34">
      <c r="A141" s="27"/>
      <c r="B141" s="27"/>
      <c r="C141" s="27"/>
      <c r="D141" s="27"/>
      <c r="E141" s="27"/>
      <c r="F141" s="27"/>
      <c r="G141" s="27"/>
      <c r="H141" s="27"/>
      <c r="I141" s="27"/>
      <c r="J141" s="27"/>
      <c r="K141" s="27"/>
      <c r="L141" s="27"/>
      <c r="M141" s="27"/>
      <c r="N141" s="27"/>
      <c r="O141" s="27"/>
      <c r="P141" s="27"/>
      <c r="Q141" s="27"/>
      <c r="R141" s="27"/>
      <c r="S141" s="27"/>
      <c r="T141" s="27">
        <f>IF(LEFT(Control_Achizitii!$E141,4)="Fact",1,0)</f>
        <v>0</v>
      </c>
      <c r="U141" s="27">
        <f>IF(Control_Achizitii!$C141="",0,IF(ISNUMBER(Control_Achizitii!$B141),0,1))</f>
        <v>0</v>
      </c>
      <c r="V141" s="27">
        <f>IF(Control_Achizitii!$C141="",0,IF($Z$2&lt;&gt;"OK",0,IF(AND(ISNUMBER(Control_Achizitii!$B141),Control_Achizitii!$B141&gt;=$E$5,Control_Achizitii!$B141&lt;$J$5+1,OR($O$5="Toate proiectele",Control_Achizitii!$Q141=$O$5)),1,0)))</f>
        <v>0</v>
      </c>
      <c r="W141" s="27">
        <f>IF(AND(V141=1,OR(Control_Achizitii!$J141&lt;&gt;"DOSAR COMPLET",Control_Achizitii!$K141&lt;&gt;"")),ROW(),1000000000)</f>
        <v>1000000000</v>
      </c>
      <c r="X141" s="27">
        <f>IF(AND(V141=1,LEFT(Control_Achizitii!$E141,4)="Fact",NOT(ISNUMBER(Control_Achizitii!$P141))),1,0)</f>
        <v>0</v>
      </c>
      <c r="Y141" s="27">
        <f>IF(V141=0,0,IF(Control_Achizitii!$J141="DOSAR COMPLET",1,IF(LEFT(Control_Achizitii!$J141,9)="INCOMPLET",2,3)))</f>
        <v>0</v>
      </c>
      <c r="Z141" s="27"/>
      <c r="AA141" s="27"/>
      <c r="AB141" s="27"/>
      <c r="AC141" s="27"/>
      <c r="AD141" s="27"/>
      <c r="AE141" s="27"/>
      <c r="AF141" s="27"/>
      <c r="AG141" s="27"/>
      <c r="AH141" s="27">
        <f>IF(AND(V141=1,Control_Achizitii!$J141="DOSAR COMPLET",Control_Achizitii!$K141&lt;&gt;""),1,0)</f>
        <v>0</v>
      </c>
    </row>
    <row r="142" spans="1:34">
      <c r="A142" s="27"/>
      <c r="B142" s="27"/>
      <c r="C142" s="27"/>
      <c r="D142" s="27"/>
      <c r="E142" s="27"/>
      <c r="F142" s="27"/>
      <c r="G142" s="27"/>
      <c r="H142" s="27"/>
      <c r="I142" s="27"/>
      <c r="J142" s="27"/>
      <c r="K142" s="27"/>
      <c r="L142" s="27"/>
      <c r="M142" s="27"/>
      <c r="N142" s="27"/>
      <c r="O142" s="27"/>
      <c r="P142" s="27"/>
      <c r="Q142" s="27"/>
      <c r="R142" s="27"/>
      <c r="S142" s="27"/>
      <c r="T142" s="27">
        <f>IF(LEFT(Control_Achizitii!$E142,4)="Fact",1,0)</f>
        <v>0</v>
      </c>
      <c r="U142" s="27">
        <f>IF(Control_Achizitii!$C142="",0,IF(ISNUMBER(Control_Achizitii!$B142),0,1))</f>
        <v>0</v>
      </c>
      <c r="V142" s="27">
        <f>IF(Control_Achizitii!$C142="",0,IF($Z$2&lt;&gt;"OK",0,IF(AND(ISNUMBER(Control_Achizitii!$B142),Control_Achizitii!$B142&gt;=$E$5,Control_Achizitii!$B142&lt;$J$5+1,OR($O$5="Toate proiectele",Control_Achizitii!$Q142=$O$5)),1,0)))</f>
        <v>0</v>
      </c>
      <c r="W142" s="27">
        <f>IF(AND(V142=1,OR(Control_Achizitii!$J142&lt;&gt;"DOSAR COMPLET",Control_Achizitii!$K142&lt;&gt;"")),ROW(),1000000000)</f>
        <v>1000000000</v>
      </c>
      <c r="X142" s="27">
        <f>IF(AND(V142=1,LEFT(Control_Achizitii!$E142,4)="Fact",NOT(ISNUMBER(Control_Achizitii!$P142))),1,0)</f>
        <v>0</v>
      </c>
      <c r="Y142" s="27">
        <f>IF(V142=0,0,IF(Control_Achizitii!$J142="DOSAR COMPLET",1,IF(LEFT(Control_Achizitii!$J142,9)="INCOMPLET",2,3)))</f>
        <v>0</v>
      </c>
      <c r="Z142" s="27"/>
      <c r="AA142" s="27"/>
      <c r="AB142" s="27"/>
      <c r="AC142" s="27"/>
      <c r="AD142" s="27"/>
      <c r="AE142" s="27"/>
      <c r="AF142" s="27"/>
      <c r="AG142" s="27"/>
      <c r="AH142" s="27">
        <f>IF(AND(V142=1,Control_Achizitii!$J142="DOSAR COMPLET",Control_Achizitii!$K142&lt;&gt;""),1,0)</f>
        <v>0</v>
      </c>
    </row>
    <row r="143" spans="1:34">
      <c r="A143" s="27"/>
      <c r="B143" s="27"/>
      <c r="C143" s="27"/>
      <c r="D143" s="27"/>
      <c r="E143" s="27"/>
      <c r="F143" s="27"/>
      <c r="G143" s="27"/>
      <c r="H143" s="27"/>
      <c r="I143" s="27"/>
      <c r="J143" s="27"/>
      <c r="K143" s="27"/>
      <c r="L143" s="27"/>
      <c r="M143" s="27"/>
      <c r="N143" s="27"/>
      <c r="O143" s="27"/>
      <c r="P143" s="27"/>
      <c r="Q143" s="27"/>
      <c r="R143" s="27"/>
      <c r="S143" s="27"/>
      <c r="T143" s="27">
        <f>IF(LEFT(Control_Achizitii!$E143,4)="Fact",1,0)</f>
        <v>0</v>
      </c>
      <c r="U143" s="27">
        <f>IF(Control_Achizitii!$C143="",0,IF(ISNUMBER(Control_Achizitii!$B143),0,1))</f>
        <v>0</v>
      </c>
      <c r="V143" s="27">
        <f>IF(Control_Achizitii!$C143="",0,IF($Z$2&lt;&gt;"OK",0,IF(AND(ISNUMBER(Control_Achizitii!$B143),Control_Achizitii!$B143&gt;=$E$5,Control_Achizitii!$B143&lt;$J$5+1,OR($O$5="Toate proiectele",Control_Achizitii!$Q143=$O$5)),1,0)))</f>
        <v>0</v>
      </c>
      <c r="W143" s="27">
        <f>IF(AND(V143=1,OR(Control_Achizitii!$J143&lt;&gt;"DOSAR COMPLET",Control_Achizitii!$K143&lt;&gt;"")),ROW(),1000000000)</f>
        <v>1000000000</v>
      </c>
      <c r="X143" s="27">
        <f>IF(AND(V143=1,LEFT(Control_Achizitii!$E143,4)="Fact",NOT(ISNUMBER(Control_Achizitii!$P143))),1,0)</f>
        <v>0</v>
      </c>
      <c r="Y143" s="27">
        <f>IF(V143=0,0,IF(Control_Achizitii!$J143="DOSAR COMPLET",1,IF(LEFT(Control_Achizitii!$J143,9)="INCOMPLET",2,3)))</f>
        <v>0</v>
      </c>
      <c r="Z143" s="27"/>
      <c r="AA143" s="27"/>
      <c r="AB143" s="27"/>
      <c r="AC143" s="27"/>
      <c r="AD143" s="27"/>
      <c r="AE143" s="27"/>
      <c r="AF143" s="27"/>
      <c r="AG143" s="27"/>
      <c r="AH143" s="27">
        <f>IF(AND(V143=1,Control_Achizitii!$J143="DOSAR COMPLET",Control_Achizitii!$K143&lt;&gt;""),1,0)</f>
        <v>0</v>
      </c>
    </row>
    <row r="144" spans="1:34">
      <c r="A144" s="27"/>
      <c r="B144" s="27"/>
      <c r="C144" s="27"/>
      <c r="D144" s="27"/>
      <c r="E144" s="27"/>
      <c r="F144" s="27"/>
      <c r="G144" s="27"/>
      <c r="H144" s="27"/>
      <c r="I144" s="27"/>
      <c r="J144" s="27"/>
      <c r="K144" s="27"/>
      <c r="L144" s="27"/>
      <c r="M144" s="27"/>
      <c r="N144" s="27"/>
      <c r="O144" s="27"/>
      <c r="P144" s="27"/>
      <c r="Q144" s="27"/>
      <c r="R144" s="27"/>
      <c r="S144" s="27"/>
      <c r="T144" s="27">
        <f>IF(LEFT(Control_Achizitii!$E144,4)="Fact",1,0)</f>
        <v>0</v>
      </c>
      <c r="U144" s="27">
        <f>IF(Control_Achizitii!$C144="",0,IF(ISNUMBER(Control_Achizitii!$B144),0,1))</f>
        <v>0</v>
      </c>
      <c r="V144" s="27">
        <f>IF(Control_Achizitii!$C144="",0,IF($Z$2&lt;&gt;"OK",0,IF(AND(ISNUMBER(Control_Achizitii!$B144),Control_Achizitii!$B144&gt;=$E$5,Control_Achizitii!$B144&lt;$J$5+1,OR($O$5="Toate proiectele",Control_Achizitii!$Q144=$O$5)),1,0)))</f>
        <v>0</v>
      </c>
      <c r="W144" s="27">
        <f>IF(AND(V144=1,OR(Control_Achizitii!$J144&lt;&gt;"DOSAR COMPLET",Control_Achizitii!$K144&lt;&gt;"")),ROW(),1000000000)</f>
        <v>1000000000</v>
      </c>
      <c r="X144" s="27">
        <f>IF(AND(V144=1,LEFT(Control_Achizitii!$E144,4)="Fact",NOT(ISNUMBER(Control_Achizitii!$P144))),1,0)</f>
        <v>0</v>
      </c>
      <c r="Y144" s="27">
        <f>IF(V144=0,0,IF(Control_Achizitii!$J144="DOSAR COMPLET",1,IF(LEFT(Control_Achizitii!$J144,9)="INCOMPLET",2,3)))</f>
        <v>0</v>
      </c>
      <c r="Z144" s="27"/>
      <c r="AA144" s="27"/>
      <c r="AB144" s="27"/>
      <c r="AC144" s="27"/>
      <c r="AD144" s="27"/>
      <c r="AE144" s="27"/>
      <c r="AF144" s="27"/>
      <c r="AG144" s="27"/>
      <c r="AH144" s="27">
        <f>IF(AND(V144=1,Control_Achizitii!$J144="DOSAR COMPLET",Control_Achizitii!$K144&lt;&gt;""),1,0)</f>
        <v>0</v>
      </c>
    </row>
    <row r="145" spans="1:34">
      <c r="A145" s="27"/>
      <c r="B145" s="27"/>
      <c r="C145" s="27"/>
      <c r="D145" s="27"/>
      <c r="E145" s="27"/>
      <c r="F145" s="27"/>
      <c r="G145" s="27"/>
      <c r="H145" s="27"/>
      <c r="I145" s="27"/>
      <c r="J145" s="27"/>
      <c r="K145" s="27"/>
      <c r="L145" s="27"/>
      <c r="M145" s="27"/>
      <c r="N145" s="27"/>
      <c r="O145" s="27"/>
      <c r="P145" s="27"/>
      <c r="Q145" s="27"/>
      <c r="R145" s="27"/>
      <c r="S145" s="27"/>
      <c r="T145" s="27">
        <f>IF(LEFT(Control_Achizitii!$E145,4)="Fact",1,0)</f>
        <v>0</v>
      </c>
      <c r="U145" s="27">
        <f>IF(Control_Achizitii!$C145="",0,IF(ISNUMBER(Control_Achizitii!$B145),0,1))</f>
        <v>0</v>
      </c>
      <c r="V145" s="27">
        <f>IF(Control_Achizitii!$C145="",0,IF($Z$2&lt;&gt;"OK",0,IF(AND(ISNUMBER(Control_Achizitii!$B145),Control_Achizitii!$B145&gt;=$E$5,Control_Achizitii!$B145&lt;$J$5+1,OR($O$5="Toate proiectele",Control_Achizitii!$Q145=$O$5)),1,0)))</f>
        <v>0</v>
      </c>
      <c r="W145" s="27">
        <f>IF(AND(V145=1,OR(Control_Achizitii!$J145&lt;&gt;"DOSAR COMPLET",Control_Achizitii!$K145&lt;&gt;"")),ROW(),1000000000)</f>
        <v>1000000000</v>
      </c>
      <c r="X145" s="27">
        <f>IF(AND(V145=1,LEFT(Control_Achizitii!$E145,4)="Fact",NOT(ISNUMBER(Control_Achizitii!$P145))),1,0)</f>
        <v>0</v>
      </c>
      <c r="Y145" s="27">
        <f>IF(V145=0,0,IF(Control_Achizitii!$J145="DOSAR COMPLET",1,IF(LEFT(Control_Achizitii!$J145,9)="INCOMPLET",2,3)))</f>
        <v>0</v>
      </c>
      <c r="Z145" s="27"/>
      <c r="AA145" s="27"/>
      <c r="AB145" s="27"/>
      <c r="AC145" s="27"/>
      <c r="AD145" s="27"/>
      <c r="AE145" s="27"/>
      <c r="AF145" s="27"/>
      <c r="AG145" s="27"/>
      <c r="AH145" s="27">
        <f>IF(AND(V145=1,Control_Achizitii!$J145="DOSAR COMPLET",Control_Achizitii!$K145&lt;&gt;""),1,0)</f>
        <v>0</v>
      </c>
    </row>
    <row r="146" spans="1:34">
      <c r="A146" s="27"/>
      <c r="B146" s="27"/>
      <c r="C146" s="27"/>
      <c r="D146" s="27"/>
      <c r="E146" s="27"/>
      <c r="F146" s="27"/>
      <c r="G146" s="27"/>
      <c r="H146" s="27"/>
      <c r="I146" s="27"/>
      <c r="J146" s="27"/>
      <c r="K146" s="27"/>
      <c r="L146" s="27"/>
      <c r="M146" s="27"/>
      <c r="N146" s="27"/>
      <c r="O146" s="27"/>
      <c r="P146" s="27"/>
      <c r="Q146" s="27"/>
      <c r="R146" s="27"/>
      <c r="S146" s="27"/>
      <c r="T146" s="27">
        <f>IF(LEFT(Control_Achizitii!$E146,4)="Fact",1,0)</f>
        <v>0</v>
      </c>
      <c r="U146" s="27">
        <f>IF(Control_Achizitii!$C146="",0,IF(ISNUMBER(Control_Achizitii!$B146),0,1))</f>
        <v>0</v>
      </c>
      <c r="V146" s="27">
        <f>IF(Control_Achizitii!$C146="",0,IF($Z$2&lt;&gt;"OK",0,IF(AND(ISNUMBER(Control_Achizitii!$B146),Control_Achizitii!$B146&gt;=$E$5,Control_Achizitii!$B146&lt;$J$5+1,OR($O$5="Toate proiectele",Control_Achizitii!$Q146=$O$5)),1,0)))</f>
        <v>0</v>
      </c>
      <c r="W146" s="27">
        <f>IF(AND(V146=1,OR(Control_Achizitii!$J146&lt;&gt;"DOSAR COMPLET",Control_Achizitii!$K146&lt;&gt;"")),ROW(),1000000000)</f>
        <v>1000000000</v>
      </c>
      <c r="X146" s="27">
        <f>IF(AND(V146=1,LEFT(Control_Achizitii!$E146,4)="Fact",NOT(ISNUMBER(Control_Achizitii!$P146))),1,0)</f>
        <v>0</v>
      </c>
      <c r="Y146" s="27">
        <f>IF(V146=0,0,IF(Control_Achizitii!$J146="DOSAR COMPLET",1,IF(LEFT(Control_Achizitii!$J146,9)="INCOMPLET",2,3)))</f>
        <v>0</v>
      </c>
      <c r="Z146" s="27"/>
      <c r="AA146" s="27"/>
      <c r="AB146" s="27"/>
      <c r="AC146" s="27"/>
      <c r="AD146" s="27"/>
      <c r="AE146" s="27"/>
      <c r="AF146" s="27"/>
      <c r="AG146" s="27"/>
      <c r="AH146" s="27">
        <f>IF(AND(V146=1,Control_Achizitii!$J146="DOSAR COMPLET",Control_Achizitii!$K146&lt;&gt;""),1,0)</f>
        <v>0</v>
      </c>
    </row>
    <row r="147" spans="1:34">
      <c r="A147" s="27"/>
      <c r="B147" s="27"/>
      <c r="C147" s="27"/>
      <c r="D147" s="27"/>
      <c r="E147" s="27"/>
      <c r="F147" s="27"/>
      <c r="G147" s="27"/>
      <c r="H147" s="27"/>
      <c r="I147" s="27"/>
      <c r="J147" s="27"/>
      <c r="K147" s="27"/>
      <c r="L147" s="27"/>
      <c r="M147" s="27"/>
      <c r="N147" s="27"/>
      <c r="O147" s="27"/>
      <c r="P147" s="27"/>
      <c r="Q147" s="27"/>
      <c r="R147" s="27"/>
      <c r="S147" s="27"/>
      <c r="T147" s="27">
        <f>IF(LEFT(Control_Achizitii!$E147,4)="Fact",1,0)</f>
        <v>0</v>
      </c>
      <c r="U147" s="27">
        <f>IF(Control_Achizitii!$C147="",0,IF(ISNUMBER(Control_Achizitii!$B147),0,1))</f>
        <v>0</v>
      </c>
      <c r="V147" s="27">
        <f>IF(Control_Achizitii!$C147="",0,IF($Z$2&lt;&gt;"OK",0,IF(AND(ISNUMBER(Control_Achizitii!$B147),Control_Achizitii!$B147&gt;=$E$5,Control_Achizitii!$B147&lt;$J$5+1,OR($O$5="Toate proiectele",Control_Achizitii!$Q147=$O$5)),1,0)))</f>
        <v>0</v>
      </c>
      <c r="W147" s="27">
        <f>IF(AND(V147=1,OR(Control_Achizitii!$J147&lt;&gt;"DOSAR COMPLET",Control_Achizitii!$K147&lt;&gt;"")),ROW(),1000000000)</f>
        <v>1000000000</v>
      </c>
      <c r="X147" s="27">
        <f>IF(AND(V147=1,LEFT(Control_Achizitii!$E147,4)="Fact",NOT(ISNUMBER(Control_Achizitii!$P147))),1,0)</f>
        <v>0</v>
      </c>
      <c r="Y147" s="27">
        <f>IF(V147=0,0,IF(Control_Achizitii!$J147="DOSAR COMPLET",1,IF(LEFT(Control_Achizitii!$J147,9)="INCOMPLET",2,3)))</f>
        <v>0</v>
      </c>
      <c r="Z147" s="27"/>
      <c r="AA147" s="27"/>
      <c r="AB147" s="27"/>
      <c r="AC147" s="27"/>
      <c r="AD147" s="27"/>
      <c r="AE147" s="27"/>
      <c r="AF147" s="27"/>
      <c r="AG147" s="27"/>
      <c r="AH147" s="27">
        <f>IF(AND(V147=1,Control_Achizitii!$J147="DOSAR COMPLET",Control_Achizitii!$K147&lt;&gt;""),1,0)</f>
        <v>0</v>
      </c>
    </row>
    <row r="148" spans="1:34">
      <c r="A148" s="27"/>
      <c r="B148" s="27"/>
      <c r="C148" s="27"/>
      <c r="D148" s="27"/>
      <c r="E148" s="27"/>
      <c r="F148" s="27"/>
      <c r="G148" s="27"/>
      <c r="H148" s="27"/>
      <c r="I148" s="27"/>
      <c r="J148" s="27"/>
      <c r="K148" s="27"/>
      <c r="L148" s="27"/>
      <c r="M148" s="27"/>
      <c r="N148" s="27"/>
      <c r="O148" s="27"/>
      <c r="P148" s="27"/>
      <c r="Q148" s="27"/>
      <c r="R148" s="27"/>
      <c r="S148" s="27"/>
      <c r="T148" s="27">
        <f>IF(LEFT(Control_Achizitii!$E148,4)="Fact",1,0)</f>
        <v>0</v>
      </c>
      <c r="U148" s="27">
        <f>IF(Control_Achizitii!$C148="",0,IF(ISNUMBER(Control_Achizitii!$B148),0,1))</f>
        <v>0</v>
      </c>
      <c r="V148" s="27">
        <f>IF(Control_Achizitii!$C148="",0,IF($Z$2&lt;&gt;"OK",0,IF(AND(ISNUMBER(Control_Achizitii!$B148),Control_Achizitii!$B148&gt;=$E$5,Control_Achizitii!$B148&lt;$J$5+1,OR($O$5="Toate proiectele",Control_Achizitii!$Q148=$O$5)),1,0)))</f>
        <v>0</v>
      </c>
      <c r="W148" s="27">
        <f>IF(AND(V148=1,OR(Control_Achizitii!$J148&lt;&gt;"DOSAR COMPLET",Control_Achizitii!$K148&lt;&gt;"")),ROW(),1000000000)</f>
        <v>1000000000</v>
      </c>
      <c r="X148" s="27">
        <f>IF(AND(V148=1,LEFT(Control_Achizitii!$E148,4)="Fact",NOT(ISNUMBER(Control_Achizitii!$P148))),1,0)</f>
        <v>0</v>
      </c>
      <c r="Y148" s="27">
        <f>IF(V148=0,0,IF(Control_Achizitii!$J148="DOSAR COMPLET",1,IF(LEFT(Control_Achizitii!$J148,9)="INCOMPLET",2,3)))</f>
        <v>0</v>
      </c>
      <c r="Z148" s="27"/>
      <c r="AA148" s="27"/>
      <c r="AB148" s="27"/>
      <c r="AC148" s="27"/>
      <c r="AD148" s="27"/>
      <c r="AE148" s="27"/>
      <c r="AF148" s="27"/>
      <c r="AG148" s="27"/>
      <c r="AH148" s="27">
        <f>IF(AND(V148=1,Control_Achizitii!$J148="DOSAR COMPLET",Control_Achizitii!$K148&lt;&gt;""),1,0)</f>
        <v>0</v>
      </c>
    </row>
    <row r="149" spans="1:34">
      <c r="A149" s="27"/>
      <c r="B149" s="27"/>
      <c r="C149" s="27"/>
      <c r="D149" s="27"/>
      <c r="E149" s="27"/>
      <c r="F149" s="27"/>
      <c r="G149" s="27"/>
      <c r="H149" s="27"/>
      <c r="I149" s="27"/>
      <c r="J149" s="27"/>
      <c r="K149" s="27"/>
      <c r="L149" s="27"/>
      <c r="M149" s="27"/>
      <c r="N149" s="27"/>
      <c r="O149" s="27"/>
      <c r="P149" s="27"/>
      <c r="Q149" s="27"/>
      <c r="R149" s="27"/>
      <c r="S149" s="27"/>
      <c r="T149" s="27">
        <f>IF(LEFT(Control_Achizitii!$E149,4)="Fact",1,0)</f>
        <v>0</v>
      </c>
      <c r="U149" s="27">
        <f>IF(Control_Achizitii!$C149="",0,IF(ISNUMBER(Control_Achizitii!$B149),0,1))</f>
        <v>0</v>
      </c>
      <c r="V149" s="27">
        <f>IF(Control_Achizitii!$C149="",0,IF($Z$2&lt;&gt;"OK",0,IF(AND(ISNUMBER(Control_Achizitii!$B149),Control_Achizitii!$B149&gt;=$E$5,Control_Achizitii!$B149&lt;$J$5+1,OR($O$5="Toate proiectele",Control_Achizitii!$Q149=$O$5)),1,0)))</f>
        <v>0</v>
      </c>
      <c r="W149" s="27">
        <f>IF(AND(V149=1,OR(Control_Achizitii!$J149&lt;&gt;"DOSAR COMPLET",Control_Achizitii!$K149&lt;&gt;"")),ROW(),1000000000)</f>
        <v>1000000000</v>
      </c>
      <c r="X149" s="27">
        <f>IF(AND(V149=1,LEFT(Control_Achizitii!$E149,4)="Fact",NOT(ISNUMBER(Control_Achizitii!$P149))),1,0)</f>
        <v>0</v>
      </c>
      <c r="Y149" s="27">
        <f>IF(V149=0,0,IF(Control_Achizitii!$J149="DOSAR COMPLET",1,IF(LEFT(Control_Achizitii!$J149,9)="INCOMPLET",2,3)))</f>
        <v>0</v>
      </c>
      <c r="Z149" s="27"/>
      <c r="AA149" s="27"/>
      <c r="AB149" s="27"/>
      <c r="AC149" s="27"/>
      <c r="AD149" s="27"/>
      <c r="AE149" s="27"/>
      <c r="AF149" s="27"/>
      <c r="AG149" s="27"/>
      <c r="AH149" s="27">
        <f>IF(AND(V149=1,Control_Achizitii!$J149="DOSAR COMPLET",Control_Achizitii!$K149&lt;&gt;""),1,0)</f>
        <v>0</v>
      </c>
    </row>
    <row r="150" spans="1:34">
      <c r="A150" s="27"/>
      <c r="B150" s="27"/>
      <c r="C150" s="27"/>
      <c r="D150" s="27"/>
      <c r="E150" s="27"/>
      <c r="F150" s="27"/>
      <c r="G150" s="27"/>
      <c r="H150" s="27"/>
      <c r="I150" s="27"/>
      <c r="J150" s="27"/>
      <c r="K150" s="27"/>
      <c r="L150" s="27"/>
      <c r="M150" s="27"/>
      <c r="N150" s="27"/>
      <c r="O150" s="27"/>
      <c r="P150" s="27"/>
      <c r="Q150" s="27"/>
      <c r="R150" s="27"/>
      <c r="S150" s="27"/>
      <c r="T150" s="27">
        <f>IF(LEFT(Control_Achizitii!$E150,4)="Fact",1,0)</f>
        <v>0</v>
      </c>
      <c r="U150" s="27">
        <f>IF(Control_Achizitii!$C150="",0,IF(ISNUMBER(Control_Achizitii!$B150),0,1))</f>
        <v>0</v>
      </c>
      <c r="V150" s="27">
        <f>IF(Control_Achizitii!$C150="",0,IF($Z$2&lt;&gt;"OK",0,IF(AND(ISNUMBER(Control_Achizitii!$B150),Control_Achizitii!$B150&gt;=$E$5,Control_Achizitii!$B150&lt;$J$5+1,OR($O$5="Toate proiectele",Control_Achizitii!$Q150=$O$5)),1,0)))</f>
        <v>0</v>
      </c>
      <c r="W150" s="27">
        <f>IF(AND(V150=1,OR(Control_Achizitii!$J150&lt;&gt;"DOSAR COMPLET",Control_Achizitii!$K150&lt;&gt;"")),ROW(),1000000000)</f>
        <v>1000000000</v>
      </c>
      <c r="X150" s="27">
        <f>IF(AND(V150=1,LEFT(Control_Achizitii!$E150,4)="Fact",NOT(ISNUMBER(Control_Achizitii!$P150))),1,0)</f>
        <v>0</v>
      </c>
      <c r="Y150" s="27">
        <f>IF(V150=0,0,IF(Control_Achizitii!$J150="DOSAR COMPLET",1,IF(LEFT(Control_Achizitii!$J150,9)="INCOMPLET",2,3)))</f>
        <v>0</v>
      </c>
      <c r="Z150" s="27"/>
      <c r="AA150" s="27"/>
      <c r="AB150" s="27"/>
      <c r="AC150" s="27"/>
      <c r="AD150" s="27"/>
      <c r="AE150" s="27"/>
      <c r="AF150" s="27"/>
      <c r="AG150" s="27"/>
      <c r="AH150" s="27">
        <f>IF(AND(V150=1,Control_Achizitii!$J150="DOSAR COMPLET",Control_Achizitii!$K150&lt;&gt;""),1,0)</f>
        <v>0</v>
      </c>
    </row>
    <row r="151" spans="1:34">
      <c r="A151" s="27"/>
      <c r="B151" s="27"/>
      <c r="C151" s="27"/>
      <c r="D151" s="27"/>
      <c r="E151" s="27"/>
      <c r="F151" s="27"/>
      <c r="G151" s="27"/>
      <c r="H151" s="27"/>
      <c r="I151" s="27"/>
      <c r="J151" s="27"/>
      <c r="K151" s="27"/>
      <c r="L151" s="27"/>
      <c r="M151" s="27"/>
      <c r="N151" s="27"/>
      <c r="O151" s="27"/>
      <c r="P151" s="27"/>
      <c r="Q151" s="27"/>
      <c r="R151" s="27"/>
      <c r="S151" s="27"/>
      <c r="T151" s="27">
        <f>IF(LEFT(Control_Achizitii!$E151,4)="Fact",1,0)</f>
        <v>0</v>
      </c>
      <c r="U151" s="27">
        <f>IF(Control_Achizitii!$C151="",0,IF(ISNUMBER(Control_Achizitii!$B151),0,1))</f>
        <v>0</v>
      </c>
      <c r="V151" s="27">
        <f>IF(Control_Achizitii!$C151="",0,IF($Z$2&lt;&gt;"OK",0,IF(AND(ISNUMBER(Control_Achizitii!$B151),Control_Achizitii!$B151&gt;=$E$5,Control_Achizitii!$B151&lt;$J$5+1,OR($O$5="Toate proiectele",Control_Achizitii!$Q151=$O$5)),1,0)))</f>
        <v>0</v>
      </c>
      <c r="W151" s="27">
        <f>IF(AND(V151=1,OR(Control_Achizitii!$J151&lt;&gt;"DOSAR COMPLET",Control_Achizitii!$K151&lt;&gt;"")),ROW(),1000000000)</f>
        <v>1000000000</v>
      </c>
      <c r="X151" s="27">
        <f>IF(AND(V151=1,LEFT(Control_Achizitii!$E151,4)="Fact",NOT(ISNUMBER(Control_Achizitii!$P151))),1,0)</f>
        <v>0</v>
      </c>
      <c r="Y151" s="27">
        <f>IF(V151=0,0,IF(Control_Achizitii!$J151="DOSAR COMPLET",1,IF(LEFT(Control_Achizitii!$J151,9)="INCOMPLET",2,3)))</f>
        <v>0</v>
      </c>
      <c r="Z151" s="27"/>
      <c r="AA151" s="27"/>
      <c r="AB151" s="27"/>
      <c r="AC151" s="27"/>
      <c r="AD151" s="27"/>
      <c r="AE151" s="27"/>
      <c r="AF151" s="27"/>
      <c r="AG151" s="27"/>
      <c r="AH151" s="27">
        <f>IF(AND(V151=1,Control_Achizitii!$J151="DOSAR COMPLET",Control_Achizitii!$K151&lt;&gt;""),1,0)</f>
        <v>0</v>
      </c>
    </row>
    <row r="152" spans="1:34">
      <c r="A152" s="27"/>
      <c r="B152" s="27"/>
      <c r="C152" s="27"/>
      <c r="D152" s="27"/>
      <c r="E152" s="27"/>
      <c r="F152" s="27"/>
      <c r="G152" s="27"/>
      <c r="H152" s="27"/>
      <c r="I152" s="27"/>
      <c r="J152" s="27"/>
      <c r="K152" s="27"/>
      <c r="L152" s="27"/>
      <c r="M152" s="27"/>
      <c r="N152" s="27"/>
      <c r="O152" s="27"/>
      <c r="P152" s="27"/>
      <c r="Q152" s="27"/>
      <c r="R152" s="27"/>
      <c r="S152" s="27"/>
      <c r="T152" s="27">
        <f>IF(LEFT(Control_Achizitii!$E152,4)="Fact",1,0)</f>
        <v>0</v>
      </c>
      <c r="U152" s="27">
        <f>IF(Control_Achizitii!$C152="",0,IF(ISNUMBER(Control_Achizitii!$B152),0,1))</f>
        <v>0</v>
      </c>
      <c r="V152" s="27">
        <f>IF(Control_Achizitii!$C152="",0,IF($Z$2&lt;&gt;"OK",0,IF(AND(ISNUMBER(Control_Achizitii!$B152),Control_Achizitii!$B152&gt;=$E$5,Control_Achizitii!$B152&lt;$J$5+1,OR($O$5="Toate proiectele",Control_Achizitii!$Q152=$O$5)),1,0)))</f>
        <v>0</v>
      </c>
      <c r="W152" s="27">
        <f>IF(AND(V152=1,OR(Control_Achizitii!$J152&lt;&gt;"DOSAR COMPLET",Control_Achizitii!$K152&lt;&gt;"")),ROW(),1000000000)</f>
        <v>1000000000</v>
      </c>
      <c r="X152" s="27">
        <f>IF(AND(V152=1,LEFT(Control_Achizitii!$E152,4)="Fact",NOT(ISNUMBER(Control_Achizitii!$P152))),1,0)</f>
        <v>0</v>
      </c>
      <c r="Y152" s="27">
        <f>IF(V152=0,0,IF(Control_Achizitii!$J152="DOSAR COMPLET",1,IF(LEFT(Control_Achizitii!$J152,9)="INCOMPLET",2,3)))</f>
        <v>0</v>
      </c>
      <c r="Z152" s="27"/>
      <c r="AA152" s="27"/>
      <c r="AB152" s="27"/>
      <c r="AC152" s="27"/>
      <c r="AD152" s="27"/>
      <c r="AE152" s="27"/>
      <c r="AF152" s="27"/>
      <c r="AG152" s="27"/>
      <c r="AH152" s="27">
        <f>IF(AND(V152=1,Control_Achizitii!$J152="DOSAR COMPLET",Control_Achizitii!$K152&lt;&gt;""),1,0)</f>
        <v>0</v>
      </c>
    </row>
    <row r="153" spans="1:34">
      <c r="A153" s="27"/>
      <c r="B153" s="27"/>
      <c r="C153" s="27"/>
      <c r="D153" s="27"/>
      <c r="E153" s="27"/>
      <c r="F153" s="27"/>
      <c r="G153" s="27"/>
      <c r="H153" s="27"/>
      <c r="I153" s="27"/>
      <c r="J153" s="27"/>
      <c r="K153" s="27"/>
      <c r="L153" s="27"/>
      <c r="M153" s="27"/>
      <c r="N153" s="27"/>
      <c r="O153" s="27"/>
      <c r="P153" s="27"/>
      <c r="Q153" s="27"/>
      <c r="R153" s="27"/>
      <c r="S153" s="27"/>
      <c r="T153" s="27">
        <f>IF(LEFT(Control_Achizitii!$E153,4)="Fact",1,0)</f>
        <v>0</v>
      </c>
      <c r="U153" s="27">
        <f>IF(Control_Achizitii!$C153="",0,IF(ISNUMBER(Control_Achizitii!$B153),0,1))</f>
        <v>0</v>
      </c>
      <c r="V153" s="27">
        <f>IF(Control_Achizitii!$C153="",0,IF($Z$2&lt;&gt;"OK",0,IF(AND(ISNUMBER(Control_Achizitii!$B153),Control_Achizitii!$B153&gt;=$E$5,Control_Achizitii!$B153&lt;$J$5+1,OR($O$5="Toate proiectele",Control_Achizitii!$Q153=$O$5)),1,0)))</f>
        <v>0</v>
      </c>
      <c r="W153" s="27">
        <f>IF(AND(V153=1,OR(Control_Achizitii!$J153&lt;&gt;"DOSAR COMPLET",Control_Achizitii!$K153&lt;&gt;"")),ROW(),1000000000)</f>
        <v>1000000000</v>
      </c>
      <c r="X153" s="27">
        <f>IF(AND(V153=1,LEFT(Control_Achizitii!$E153,4)="Fact",NOT(ISNUMBER(Control_Achizitii!$P153))),1,0)</f>
        <v>0</v>
      </c>
      <c r="Y153" s="27">
        <f>IF(V153=0,0,IF(Control_Achizitii!$J153="DOSAR COMPLET",1,IF(LEFT(Control_Achizitii!$J153,9)="INCOMPLET",2,3)))</f>
        <v>0</v>
      </c>
      <c r="Z153" s="27"/>
      <c r="AA153" s="27"/>
      <c r="AB153" s="27"/>
      <c r="AC153" s="27"/>
      <c r="AD153" s="27"/>
      <c r="AE153" s="27"/>
      <c r="AF153" s="27"/>
      <c r="AG153" s="27"/>
      <c r="AH153" s="27">
        <f>IF(AND(V153=1,Control_Achizitii!$J153="DOSAR COMPLET",Control_Achizitii!$K153&lt;&gt;""),1,0)</f>
        <v>0</v>
      </c>
    </row>
    <row r="154" spans="1:34">
      <c r="A154" s="27"/>
      <c r="B154" s="27"/>
      <c r="C154" s="27"/>
      <c r="D154" s="27"/>
      <c r="E154" s="27"/>
      <c r="F154" s="27"/>
      <c r="G154" s="27"/>
      <c r="H154" s="27"/>
      <c r="I154" s="27"/>
      <c r="J154" s="27"/>
      <c r="K154" s="27"/>
      <c r="L154" s="27"/>
      <c r="M154" s="27"/>
      <c r="N154" s="27"/>
      <c r="O154" s="27"/>
      <c r="P154" s="27"/>
      <c r="Q154" s="27"/>
      <c r="R154" s="27"/>
      <c r="S154" s="27"/>
      <c r="T154" s="27">
        <f>IF(LEFT(Control_Achizitii!$E154,4)="Fact",1,0)</f>
        <v>0</v>
      </c>
      <c r="U154" s="27">
        <f>IF(Control_Achizitii!$C154="",0,IF(ISNUMBER(Control_Achizitii!$B154),0,1))</f>
        <v>0</v>
      </c>
      <c r="V154" s="27">
        <f>IF(Control_Achizitii!$C154="",0,IF($Z$2&lt;&gt;"OK",0,IF(AND(ISNUMBER(Control_Achizitii!$B154),Control_Achizitii!$B154&gt;=$E$5,Control_Achizitii!$B154&lt;$J$5+1,OR($O$5="Toate proiectele",Control_Achizitii!$Q154=$O$5)),1,0)))</f>
        <v>0</v>
      </c>
      <c r="W154" s="27">
        <f>IF(AND(V154=1,OR(Control_Achizitii!$J154&lt;&gt;"DOSAR COMPLET",Control_Achizitii!$K154&lt;&gt;"")),ROW(),1000000000)</f>
        <v>1000000000</v>
      </c>
      <c r="X154" s="27">
        <f>IF(AND(V154=1,LEFT(Control_Achizitii!$E154,4)="Fact",NOT(ISNUMBER(Control_Achizitii!$P154))),1,0)</f>
        <v>0</v>
      </c>
      <c r="Y154" s="27">
        <f>IF(V154=0,0,IF(Control_Achizitii!$J154="DOSAR COMPLET",1,IF(LEFT(Control_Achizitii!$J154,9)="INCOMPLET",2,3)))</f>
        <v>0</v>
      </c>
      <c r="Z154" s="27"/>
      <c r="AA154" s="27"/>
      <c r="AB154" s="27"/>
      <c r="AC154" s="27"/>
      <c r="AD154" s="27"/>
      <c r="AE154" s="27"/>
      <c r="AF154" s="27"/>
      <c r="AG154" s="27"/>
      <c r="AH154" s="27">
        <f>IF(AND(V154=1,Control_Achizitii!$J154="DOSAR COMPLET",Control_Achizitii!$K154&lt;&gt;""),1,0)</f>
        <v>0</v>
      </c>
    </row>
    <row r="155" spans="1:34">
      <c r="A155" s="27"/>
      <c r="B155" s="27"/>
      <c r="C155" s="27"/>
      <c r="D155" s="27"/>
      <c r="E155" s="27"/>
      <c r="F155" s="27"/>
      <c r="G155" s="27"/>
      <c r="H155" s="27"/>
      <c r="I155" s="27"/>
      <c r="J155" s="27"/>
      <c r="K155" s="27"/>
      <c r="L155" s="27"/>
      <c r="M155" s="27"/>
      <c r="N155" s="27"/>
      <c r="O155" s="27"/>
      <c r="P155" s="27"/>
      <c r="Q155" s="27"/>
      <c r="R155" s="27"/>
      <c r="S155" s="27"/>
      <c r="T155" s="27">
        <f>IF(LEFT(Control_Achizitii!$E155,4)="Fact",1,0)</f>
        <v>0</v>
      </c>
      <c r="U155" s="27">
        <f>IF(Control_Achizitii!$C155="",0,IF(ISNUMBER(Control_Achizitii!$B155),0,1))</f>
        <v>0</v>
      </c>
      <c r="V155" s="27">
        <f>IF(Control_Achizitii!$C155="",0,IF($Z$2&lt;&gt;"OK",0,IF(AND(ISNUMBER(Control_Achizitii!$B155),Control_Achizitii!$B155&gt;=$E$5,Control_Achizitii!$B155&lt;$J$5+1,OR($O$5="Toate proiectele",Control_Achizitii!$Q155=$O$5)),1,0)))</f>
        <v>0</v>
      </c>
      <c r="W155" s="27">
        <f>IF(AND(V155=1,OR(Control_Achizitii!$J155&lt;&gt;"DOSAR COMPLET",Control_Achizitii!$K155&lt;&gt;"")),ROW(),1000000000)</f>
        <v>1000000000</v>
      </c>
      <c r="X155" s="27">
        <f>IF(AND(V155=1,LEFT(Control_Achizitii!$E155,4)="Fact",NOT(ISNUMBER(Control_Achizitii!$P155))),1,0)</f>
        <v>0</v>
      </c>
      <c r="Y155" s="27">
        <f>IF(V155=0,0,IF(Control_Achizitii!$J155="DOSAR COMPLET",1,IF(LEFT(Control_Achizitii!$J155,9)="INCOMPLET",2,3)))</f>
        <v>0</v>
      </c>
      <c r="Z155" s="27"/>
      <c r="AA155" s="27"/>
      <c r="AB155" s="27"/>
      <c r="AC155" s="27"/>
      <c r="AD155" s="27"/>
      <c r="AE155" s="27"/>
      <c r="AF155" s="27"/>
      <c r="AG155" s="27"/>
      <c r="AH155" s="27">
        <f>IF(AND(V155=1,Control_Achizitii!$J155="DOSAR COMPLET",Control_Achizitii!$K155&lt;&gt;""),1,0)</f>
        <v>0</v>
      </c>
    </row>
    <row r="156" spans="1:34">
      <c r="A156" s="27"/>
      <c r="B156" s="27"/>
      <c r="C156" s="27"/>
      <c r="D156" s="27"/>
      <c r="E156" s="27"/>
      <c r="F156" s="27"/>
      <c r="G156" s="27"/>
      <c r="H156" s="27"/>
      <c r="I156" s="27"/>
      <c r="J156" s="27"/>
      <c r="K156" s="27"/>
      <c r="L156" s="27"/>
      <c r="M156" s="27"/>
      <c r="N156" s="27"/>
      <c r="O156" s="27"/>
      <c r="P156" s="27"/>
      <c r="Q156" s="27"/>
      <c r="R156" s="27"/>
      <c r="S156" s="27"/>
      <c r="T156" s="27">
        <f>IF(LEFT(Control_Achizitii!$E156,4)="Fact",1,0)</f>
        <v>0</v>
      </c>
      <c r="U156" s="27">
        <f>IF(Control_Achizitii!$C156="",0,IF(ISNUMBER(Control_Achizitii!$B156),0,1))</f>
        <v>0</v>
      </c>
      <c r="V156" s="27">
        <f>IF(Control_Achizitii!$C156="",0,IF($Z$2&lt;&gt;"OK",0,IF(AND(ISNUMBER(Control_Achizitii!$B156),Control_Achizitii!$B156&gt;=$E$5,Control_Achizitii!$B156&lt;$J$5+1,OR($O$5="Toate proiectele",Control_Achizitii!$Q156=$O$5)),1,0)))</f>
        <v>0</v>
      </c>
      <c r="W156" s="27">
        <f>IF(AND(V156=1,OR(Control_Achizitii!$J156&lt;&gt;"DOSAR COMPLET",Control_Achizitii!$K156&lt;&gt;"")),ROW(),1000000000)</f>
        <v>1000000000</v>
      </c>
      <c r="X156" s="27">
        <f>IF(AND(V156=1,LEFT(Control_Achizitii!$E156,4)="Fact",NOT(ISNUMBER(Control_Achizitii!$P156))),1,0)</f>
        <v>0</v>
      </c>
      <c r="Y156" s="27">
        <f>IF(V156=0,0,IF(Control_Achizitii!$J156="DOSAR COMPLET",1,IF(LEFT(Control_Achizitii!$J156,9)="INCOMPLET",2,3)))</f>
        <v>0</v>
      </c>
      <c r="Z156" s="27"/>
      <c r="AA156" s="27"/>
      <c r="AB156" s="27"/>
      <c r="AC156" s="27"/>
      <c r="AD156" s="27"/>
      <c r="AE156" s="27"/>
      <c r="AF156" s="27"/>
      <c r="AG156" s="27"/>
      <c r="AH156" s="27">
        <f>IF(AND(V156=1,Control_Achizitii!$J156="DOSAR COMPLET",Control_Achizitii!$K156&lt;&gt;""),1,0)</f>
        <v>0</v>
      </c>
    </row>
    <row r="157" spans="1:34">
      <c r="A157" s="27"/>
      <c r="B157" s="27"/>
      <c r="C157" s="27"/>
      <c r="D157" s="27"/>
      <c r="E157" s="27"/>
      <c r="F157" s="27"/>
      <c r="G157" s="27"/>
      <c r="H157" s="27"/>
      <c r="I157" s="27"/>
      <c r="J157" s="27"/>
      <c r="K157" s="27"/>
      <c r="L157" s="27"/>
      <c r="M157" s="27"/>
      <c r="N157" s="27"/>
      <c r="O157" s="27"/>
      <c r="P157" s="27"/>
      <c r="Q157" s="27"/>
      <c r="R157" s="27"/>
      <c r="S157" s="27"/>
      <c r="T157" s="27">
        <f>IF(LEFT(Control_Achizitii!$E157,4)="Fact",1,0)</f>
        <v>0</v>
      </c>
      <c r="U157" s="27">
        <f>IF(Control_Achizitii!$C157="",0,IF(ISNUMBER(Control_Achizitii!$B157),0,1))</f>
        <v>0</v>
      </c>
      <c r="V157" s="27">
        <f>IF(Control_Achizitii!$C157="",0,IF($Z$2&lt;&gt;"OK",0,IF(AND(ISNUMBER(Control_Achizitii!$B157),Control_Achizitii!$B157&gt;=$E$5,Control_Achizitii!$B157&lt;$J$5+1,OR($O$5="Toate proiectele",Control_Achizitii!$Q157=$O$5)),1,0)))</f>
        <v>0</v>
      </c>
      <c r="W157" s="27">
        <f>IF(AND(V157=1,OR(Control_Achizitii!$J157&lt;&gt;"DOSAR COMPLET",Control_Achizitii!$K157&lt;&gt;"")),ROW(),1000000000)</f>
        <v>1000000000</v>
      </c>
      <c r="X157" s="27">
        <f>IF(AND(V157=1,LEFT(Control_Achizitii!$E157,4)="Fact",NOT(ISNUMBER(Control_Achizitii!$P157))),1,0)</f>
        <v>0</v>
      </c>
      <c r="Y157" s="27">
        <f>IF(V157=0,0,IF(Control_Achizitii!$J157="DOSAR COMPLET",1,IF(LEFT(Control_Achizitii!$J157,9)="INCOMPLET",2,3)))</f>
        <v>0</v>
      </c>
      <c r="Z157" s="27"/>
      <c r="AA157" s="27"/>
      <c r="AB157" s="27"/>
      <c r="AC157" s="27"/>
      <c r="AD157" s="27"/>
      <c r="AE157" s="27"/>
      <c r="AF157" s="27"/>
      <c r="AG157" s="27"/>
      <c r="AH157" s="27">
        <f>IF(AND(V157=1,Control_Achizitii!$J157="DOSAR COMPLET",Control_Achizitii!$K157&lt;&gt;""),1,0)</f>
        <v>0</v>
      </c>
    </row>
    <row r="158" spans="1:34">
      <c r="A158" s="27"/>
      <c r="B158" s="27"/>
      <c r="C158" s="27"/>
      <c r="D158" s="27"/>
      <c r="E158" s="27"/>
      <c r="F158" s="27"/>
      <c r="G158" s="27"/>
      <c r="H158" s="27"/>
      <c r="I158" s="27"/>
      <c r="J158" s="27"/>
      <c r="K158" s="27"/>
      <c r="L158" s="27"/>
      <c r="M158" s="27"/>
      <c r="N158" s="27"/>
      <c r="O158" s="27"/>
      <c r="P158" s="27"/>
      <c r="Q158" s="27"/>
      <c r="R158" s="27"/>
      <c r="S158" s="27"/>
      <c r="T158" s="27">
        <f>IF(LEFT(Control_Achizitii!$E158,4)="Fact",1,0)</f>
        <v>0</v>
      </c>
      <c r="U158" s="27">
        <f>IF(Control_Achizitii!$C158="",0,IF(ISNUMBER(Control_Achizitii!$B158),0,1))</f>
        <v>0</v>
      </c>
      <c r="V158" s="27">
        <f>IF(Control_Achizitii!$C158="",0,IF($Z$2&lt;&gt;"OK",0,IF(AND(ISNUMBER(Control_Achizitii!$B158),Control_Achizitii!$B158&gt;=$E$5,Control_Achizitii!$B158&lt;$J$5+1,OR($O$5="Toate proiectele",Control_Achizitii!$Q158=$O$5)),1,0)))</f>
        <v>0</v>
      </c>
      <c r="W158" s="27">
        <f>IF(AND(V158=1,OR(Control_Achizitii!$J158&lt;&gt;"DOSAR COMPLET",Control_Achizitii!$K158&lt;&gt;"")),ROW(),1000000000)</f>
        <v>1000000000</v>
      </c>
      <c r="X158" s="27">
        <f>IF(AND(V158=1,LEFT(Control_Achizitii!$E158,4)="Fact",NOT(ISNUMBER(Control_Achizitii!$P158))),1,0)</f>
        <v>0</v>
      </c>
      <c r="Y158" s="27">
        <f>IF(V158=0,0,IF(Control_Achizitii!$J158="DOSAR COMPLET",1,IF(LEFT(Control_Achizitii!$J158,9)="INCOMPLET",2,3)))</f>
        <v>0</v>
      </c>
      <c r="Z158" s="27"/>
      <c r="AA158" s="27"/>
      <c r="AB158" s="27"/>
      <c r="AC158" s="27"/>
      <c r="AD158" s="27"/>
      <c r="AE158" s="27"/>
      <c r="AF158" s="27"/>
      <c r="AG158" s="27"/>
      <c r="AH158" s="27">
        <f>IF(AND(V158=1,Control_Achizitii!$J158="DOSAR COMPLET",Control_Achizitii!$K158&lt;&gt;""),1,0)</f>
        <v>0</v>
      </c>
    </row>
    <row r="159" spans="1:34">
      <c r="A159" s="27"/>
      <c r="B159" s="27"/>
      <c r="C159" s="27"/>
      <c r="D159" s="27"/>
      <c r="E159" s="27"/>
      <c r="F159" s="27"/>
      <c r="G159" s="27"/>
      <c r="H159" s="27"/>
      <c r="I159" s="27"/>
      <c r="J159" s="27"/>
      <c r="K159" s="27"/>
      <c r="L159" s="27"/>
      <c r="M159" s="27"/>
      <c r="N159" s="27"/>
      <c r="O159" s="27"/>
      <c r="P159" s="27"/>
      <c r="Q159" s="27"/>
      <c r="R159" s="27"/>
      <c r="S159" s="27"/>
      <c r="T159" s="27">
        <f>IF(LEFT(Control_Achizitii!$E159,4)="Fact",1,0)</f>
        <v>0</v>
      </c>
      <c r="U159" s="27">
        <f>IF(Control_Achizitii!$C159="",0,IF(ISNUMBER(Control_Achizitii!$B159),0,1))</f>
        <v>0</v>
      </c>
      <c r="V159" s="27">
        <f>IF(Control_Achizitii!$C159="",0,IF($Z$2&lt;&gt;"OK",0,IF(AND(ISNUMBER(Control_Achizitii!$B159),Control_Achizitii!$B159&gt;=$E$5,Control_Achizitii!$B159&lt;$J$5+1,OR($O$5="Toate proiectele",Control_Achizitii!$Q159=$O$5)),1,0)))</f>
        <v>0</v>
      </c>
      <c r="W159" s="27">
        <f>IF(AND(V159=1,OR(Control_Achizitii!$J159&lt;&gt;"DOSAR COMPLET",Control_Achizitii!$K159&lt;&gt;"")),ROW(),1000000000)</f>
        <v>1000000000</v>
      </c>
      <c r="X159" s="27">
        <f>IF(AND(V159=1,LEFT(Control_Achizitii!$E159,4)="Fact",NOT(ISNUMBER(Control_Achizitii!$P159))),1,0)</f>
        <v>0</v>
      </c>
      <c r="Y159" s="27">
        <f>IF(V159=0,0,IF(Control_Achizitii!$J159="DOSAR COMPLET",1,IF(LEFT(Control_Achizitii!$J159,9)="INCOMPLET",2,3)))</f>
        <v>0</v>
      </c>
      <c r="Z159" s="27"/>
      <c r="AA159" s="27"/>
      <c r="AB159" s="27"/>
      <c r="AC159" s="27"/>
      <c r="AD159" s="27"/>
      <c r="AE159" s="27"/>
      <c r="AF159" s="27"/>
      <c r="AG159" s="27"/>
      <c r="AH159" s="27">
        <f>IF(AND(V159=1,Control_Achizitii!$J159="DOSAR COMPLET",Control_Achizitii!$K159&lt;&gt;""),1,0)</f>
        <v>0</v>
      </c>
    </row>
    <row r="160" spans="1:34">
      <c r="A160" s="27"/>
      <c r="B160" s="27"/>
      <c r="C160" s="27"/>
      <c r="D160" s="27"/>
      <c r="E160" s="27"/>
      <c r="F160" s="27"/>
      <c r="G160" s="27"/>
      <c r="H160" s="27"/>
      <c r="I160" s="27"/>
      <c r="J160" s="27"/>
      <c r="K160" s="27"/>
      <c r="L160" s="27"/>
      <c r="M160" s="27"/>
      <c r="N160" s="27"/>
      <c r="O160" s="27"/>
      <c r="P160" s="27"/>
      <c r="Q160" s="27"/>
      <c r="R160" s="27"/>
      <c r="S160" s="27"/>
      <c r="T160" s="27">
        <f>IF(LEFT(Control_Achizitii!$E160,4)="Fact",1,0)</f>
        <v>0</v>
      </c>
      <c r="U160" s="27">
        <f>IF(Control_Achizitii!$C160="",0,IF(ISNUMBER(Control_Achizitii!$B160),0,1))</f>
        <v>0</v>
      </c>
      <c r="V160" s="27">
        <f>IF(Control_Achizitii!$C160="",0,IF($Z$2&lt;&gt;"OK",0,IF(AND(ISNUMBER(Control_Achizitii!$B160),Control_Achizitii!$B160&gt;=$E$5,Control_Achizitii!$B160&lt;$J$5+1,OR($O$5="Toate proiectele",Control_Achizitii!$Q160=$O$5)),1,0)))</f>
        <v>0</v>
      </c>
      <c r="W160" s="27">
        <f>IF(AND(V160=1,OR(Control_Achizitii!$J160&lt;&gt;"DOSAR COMPLET",Control_Achizitii!$K160&lt;&gt;"")),ROW(),1000000000)</f>
        <v>1000000000</v>
      </c>
      <c r="X160" s="27">
        <f>IF(AND(V160=1,LEFT(Control_Achizitii!$E160,4)="Fact",NOT(ISNUMBER(Control_Achizitii!$P160))),1,0)</f>
        <v>0</v>
      </c>
      <c r="Y160" s="27">
        <f>IF(V160=0,0,IF(Control_Achizitii!$J160="DOSAR COMPLET",1,IF(LEFT(Control_Achizitii!$J160,9)="INCOMPLET",2,3)))</f>
        <v>0</v>
      </c>
      <c r="Z160" s="27"/>
      <c r="AA160" s="27"/>
      <c r="AB160" s="27"/>
      <c r="AC160" s="27"/>
      <c r="AD160" s="27"/>
      <c r="AE160" s="27"/>
      <c r="AF160" s="27"/>
      <c r="AG160" s="27"/>
      <c r="AH160" s="27">
        <f>IF(AND(V160=1,Control_Achizitii!$J160="DOSAR COMPLET",Control_Achizitii!$K160&lt;&gt;""),1,0)</f>
        <v>0</v>
      </c>
    </row>
    <row r="161" spans="1:34">
      <c r="A161" s="27"/>
      <c r="B161" s="27"/>
      <c r="C161" s="27"/>
      <c r="D161" s="27"/>
      <c r="E161" s="27"/>
      <c r="F161" s="27"/>
      <c r="G161" s="27"/>
      <c r="H161" s="27"/>
      <c r="I161" s="27"/>
      <c r="J161" s="27"/>
      <c r="K161" s="27"/>
      <c r="L161" s="27"/>
      <c r="M161" s="27"/>
      <c r="N161" s="27"/>
      <c r="O161" s="27"/>
      <c r="P161" s="27"/>
      <c r="Q161" s="27"/>
      <c r="R161" s="27"/>
      <c r="S161" s="27"/>
      <c r="T161" s="27">
        <f>IF(LEFT(Control_Achizitii!$E161,4)="Fact",1,0)</f>
        <v>0</v>
      </c>
      <c r="U161" s="27">
        <f>IF(Control_Achizitii!$C161="",0,IF(ISNUMBER(Control_Achizitii!$B161),0,1))</f>
        <v>0</v>
      </c>
      <c r="V161" s="27">
        <f>IF(Control_Achizitii!$C161="",0,IF($Z$2&lt;&gt;"OK",0,IF(AND(ISNUMBER(Control_Achizitii!$B161),Control_Achizitii!$B161&gt;=$E$5,Control_Achizitii!$B161&lt;$J$5+1,OR($O$5="Toate proiectele",Control_Achizitii!$Q161=$O$5)),1,0)))</f>
        <v>0</v>
      </c>
      <c r="W161" s="27">
        <f>IF(AND(V161=1,OR(Control_Achizitii!$J161&lt;&gt;"DOSAR COMPLET",Control_Achizitii!$K161&lt;&gt;"")),ROW(),1000000000)</f>
        <v>1000000000</v>
      </c>
      <c r="X161" s="27">
        <f>IF(AND(V161=1,LEFT(Control_Achizitii!$E161,4)="Fact",NOT(ISNUMBER(Control_Achizitii!$P161))),1,0)</f>
        <v>0</v>
      </c>
      <c r="Y161" s="27">
        <f>IF(V161=0,0,IF(Control_Achizitii!$J161="DOSAR COMPLET",1,IF(LEFT(Control_Achizitii!$J161,9)="INCOMPLET",2,3)))</f>
        <v>0</v>
      </c>
      <c r="Z161" s="27"/>
      <c r="AA161" s="27"/>
      <c r="AB161" s="27"/>
      <c r="AC161" s="27"/>
      <c r="AD161" s="27"/>
      <c r="AE161" s="27"/>
      <c r="AF161" s="27"/>
      <c r="AG161" s="27"/>
      <c r="AH161" s="27">
        <f>IF(AND(V161=1,Control_Achizitii!$J161="DOSAR COMPLET",Control_Achizitii!$K161&lt;&gt;""),1,0)</f>
        <v>0</v>
      </c>
    </row>
    <row r="162" spans="1:34">
      <c r="A162" s="27"/>
      <c r="B162" s="27"/>
      <c r="C162" s="27"/>
      <c r="D162" s="27"/>
      <c r="E162" s="27"/>
      <c r="F162" s="27"/>
      <c r="G162" s="27"/>
      <c r="H162" s="27"/>
      <c r="I162" s="27"/>
      <c r="J162" s="27"/>
      <c r="K162" s="27"/>
      <c r="L162" s="27"/>
      <c r="M162" s="27"/>
      <c r="N162" s="27"/>
      <c r="O162" s="27"/>
      <c r="P162" s="27"/>
      <c r="Q162" s="27"/>
      <c r="R162" s="27"/>
      <c r="S162" s="27"/>
      <c r="T162" s="27">
        <f>IF(LEFT(Control_Achizitii!$E162,4)="Fact",1,0)</f>
        <v>0</v>
      </c>
      <c r="U162" s="27">
        <f>IF(Control_Achizitii!$C162="",0,IF(ISNUMBER(Control_Achizitii!$B162),0,1))</f>
        <v>0</v>
      </c>
      <c r="V162" s="27">
        <f>IF(Control_Achizitii!$C162="",0,IF($Z$2&lt;&gt;"OK",0,IF(AND(ISNUMBER(Control_Achizitii!$B162),Control_Achizitii!$B162&gt;=$E$5,Control_Achizitii!$B162&lt;$J$5+1,OR($O$5="Toate proiectele",Control_Achizitii!$Q162=$O$5)),1,0)))</f>
        <v>0</v>
      </c>
      <c r="W162" s="27">
        <f>IF(AND(V162=1,OR(Control_Achizitii!$J162&lt;&gt;"DOSAR COMPLET",Control_Achizitii!$K162&lt;&gt;"")),ROW(),1000000000)</f>
        <v>1000000000</v>
      </c>
      <c r="X162" s="27">
        <f>IF(AND(V162=1,LEFT(Control_Achizitii!$E162,4)="Fact",NOT(ISNUMBER(Control_Achizitii!$P162))),1,0)</f>
        <v>0</v>
      </c>
      <c r="Y162" s="27">
        <f>IF(V162=0,0,IF(Control_Achizitii!$J162="DOSAR COMPLET",1,IF(LEFT(Control_Achizitii!$J162,9)="INCOMPLET",2,3)))</f>
        <v>0</v>
      </c>
      <c r="Z162" s="27"/>
      <c r="AA162" s="27"/>
      <c r="AB162" s="27"/>
      <c r="AC162" s="27"/>
      <c r="AD162" s="27"/>
      <c r="AE162" s="27"/>
      <c r="AF162" s="27"/>
      <c r="AG162" s="27"/>
      <c r="AH162" s="27">
        <f>IF(AND(V162=1,Control_Achizitii!$J162="DOSAR COMPLET",Control_Achizitii!$K162&lt;&gt;""),1,0)</f>
        <v>0</v>
      </c>
    </row>
    <row r="163" spans="1:34">
      <c r="A163" s="27"/>
      <c r="B163" s="27"/>
      <c r="C163" s="27"/>
      <c r="D163" s="27"/>
      <c r="E163" s="27"/>
      <c r="F163" s="27"/>
      <c r="G163" s="27"/>
      <c r="H163" s="27"/>
      <c r="I163" s="27"/>
      <c r="J163" s="27"/>
      <c r="K163" s="27"/>
      <c r="L163" s="27"/>
      <c r="M163" s="27"/>
      <c r="N163" s="27"/>
      <c r="O163" s="27"/>
      <c r="P163" s="27"/>
      <c r="Q163" s="27"/>
      <c r="R163" s="27"/>
      <c r="S163" s="27"/>
      <c r="T163" s="27">
        <f>IF(LEFT(Control_Achizitii!$E163,4)="Fact",1,0)</f>
        <v>0</v>
      </c>
      <c r="U163" s="27">
        <f>IF(Control_Achizitii!$C163="",0,IF(ISNUMBER(Control_Achizitii!$B163),0,1))</f>
        <v>0</v>
      </c>
      <c r="V163" s="27">
        <f>IF(Control_Achizitii!$C163="",0,IF($Z$2&lt;&gt;"OK",0,IF(AND(ISNUMBER(Control_Achizitii!$B163),Control_Achizitii!$B163&gt;=$E$5,Control_Achizitii!$B163&lt;$J$5+1,OR($O$5="Toate proiectele",Control_Achizitii!$Q163=$O$5)),1,0)))</f>
        <v>0</v>
      </c>
      <c r="W163" s="27">
        <f>IF(AND(V163=1,OR(Control_Achizitii!$J163&lt;&gt;"DOSAR COMPLET",Control_Achizitii!$K163&lt;&gt;"")),ROW(),1000000000)</f>
        <v>1000000000</v>
      </c>
      <c r="X163" s="27">
        <f>IF(AND(V163=1,LEFT(Control_Achizitii!$E163,4)="Fact",NOT(ISNUMBER(Control_Achizitii!$P163))),1,0)</f>
        <v>0</v>
      </c>
      <c r="Y163" s="27">
        <f>IF(V163=0,0,IF(Control_Achizitii!$J163="DOSAR COMPLET",1,IF(LEFT(Control_Achizitii!$J163,9)="INCOMPLET",2,3)))</f>
        <v>0</v>
      </c>
      <c r="Z163" s="27"/>
      <c r="AA163" s="27"/>
      <c r="AB163" s="27"/>
      <c r="AC163" s="27"/>
      <c r="AD163" s="27"/>
      <c r="AE163" s="27"/>
      <c r="AF163" s="27"/>
      <c r="AG163" s="27"/>
      <c r="AH163" s="27">
        <f>IF(AND(V163=1,Control_Achizitii!$J163="DOSAR COMPLET",Control_Achizitii!$K163&lt;&gt;""),1,0)</f>
        <v>0</v>
      </c>
    </row>
    <row r="164" spans="1:34">
      <c r="A164" s="27"/>
      <c r="B164" s="27"/>
      <c r="C164" s="27"/>
      <c r="D164" s="27"/>
      <c r="E164" s="27"/>
      <c r="F164" s="27"/>
      <c r="G164" s="27"/>
      <c r="H164" s="27"/>
      <c r="I164" s="27"/>
      <c r="J164" s="27"/>
      <c r="K164" s="27"/>
      <c r="L164" s="27"/>
      <c r="M164" s="27"/>
      <c r="N164" s="27"/>
      <c r="O164" s="27"/>
      <c r="P164" s="27"/>
      <c r="Q164" s="27"/>
      <c r="R164" s="27"/>
      <c r="S164" s="27"/>
      <c r="T164" s="27">
        <f>IF(LEFT(Control_Achizitii!$E164,4)="Fact",1,0)</f>
        <v>0</v>
      </c>
      <c r="U164" s="27">
        <f>IF(Control_Achizitii!$C164="",0,IF(ISNUMBER(Control_Achizitii!$B164),0,1))</f>
        <v>0</v>
      </c>
      <c r="V164" s="27">
        <f>IF(Control_Achizitii!$C164="",0,IF($Z$2&lt;&gt;"OK",0,IF(AND(ISNUMBER(Control_Achizitii!$B164),Control_Achizitii!$B164&gt;=$E$5,Control_Achizitii!$B164&lt;$J$5+1,OR($O$5="Toate proiectele",Control_Achizitii!$Q164=$O$5)),1,0)))</f>
        <v>0</v>
      </c>
      <c r="W164" s="27">
        <f>IF(AND(V164=1,OR(Control_Achizitii!$J164&lt;&gt;"DOSAR COMPLET",Control_Achizitii!$K164&lt;&gt;"")),ROW(),1000000000)</f>
        <v>1000000000</v>
      </c>
      <c r="X164" s="27">
        <f>IF(AND(V164=1,LEFT(Control_Achizitii!$E164,4)="Fact",NOT(ISNUMBER(Control_Achizitii!$P164))),1,0)</f>
        <v>0</v>
      </c>
      <c r="Y164" s="27">
        <f>IF(V164=0,0,IF(Control_Achizitii!$J164="DOSAR COMPLET",1,IF(LEFT(Control_Achizitii!$J164,9)="INCOMPLET",2,3)))</f>
        <v>0</v>
      </c>
      <c r="Z164" s="27"/>
      <c r="AA164" s="27"/>
      <c r="AB164" s="27"/>
      <c r="AC164" s="27"/>
      <c r="AD164" s="27"/>
      <c r="AE164" s="27"/>
      <c r="AF164" s="27"/>
      <c r="AG164" s="27"/>
      <c r="AH164" s="27">
        <f>IF(AND(V164=1,Control_Achizitii!$J164="DOSAR COMPLET",Control_Achizitii!$K164&lt;&gt;""),1,0)</f>
        <v>0</v>
      </c>
    </row>
    <row r="165" spans="1:34">
      <c r="A165" s="27"/>
      <c r="B165" s="27"/>
      <c r="C165" s="27"/>
      <c r="D165" s="27"/>
      <c r="E165" s="27"/>
      <c r="F165" s="27"/>
      <c r="G165" s="27"/>
      <c r="H165" s="27"/>
      <c r="I165" s="27"/>
      <c r="J165" s="27"/>
      <c r="K165" s="27"/>
      <c r="L165" s="27"/>
      <c r="M165" s="27"/>
      <c r="N165" s="27"/>
      <c r="O165" s="27"/>
      <c r="P165" s="27"/>
      <c r="Q165" s="27"/>
      <c r="R165" s="27"/>
      <c r="S165" s="27"/>
      <c r="T165" s="27">
        <f>IF(LEFT(Control_Achizitii!$E165,4)="Fact",1,0)</f>
        <v>0</v>
      </c>
      <c r="U165" s="27">
        <f>IF(Control_Achizitii!$C165="",0,IF(ISNUMBER(Control_Achizitii!$B165),0,1))</f>
        <v>0</v>
      </c>
      <c r="V165" s="27">
        <f>IF(Control_Achizitii!$C165="",0,IF($Z$2&lt;&gt;"OK",0,IF(AND(ISNUMBER(Control_Achizitii!$B165),Control_Achizitii!$B165&gt;=$E$5,Control_Achizitii!$B165&lt;$J$5+1,OR($O$5="Toate proiectele",Control_Achizitii!$Q165=$O$5)),1,0)))</f>
        <v>0</v>
      </c>
      <c r="W165" s="27">
        <f>IF(AND(V165=1,OR(Control_Achizitii!$J165&lt;&gt;"DOSAR COMPLET",Control_Achizitii!$K165&lt;&gt;"")),ROW(),1000000000)</f>
        <v>1000000000</v>
      </c>
      <c r="X165" s="27">
        <f>IF(AND(V165=1,LEFT(Control_Achizitii!$E165,4)="Fact",NOT(ISNUMBER(Control_Achizitii!$P165))),1,0)</f>
        <v>0</v>
      </c>
      <c r="Y165" s="27">
        <f>IF(V165=0,0,IF(Control_Achizitii!$J165="DOSAR COMPLET",1,IF(LEFT(Control_Achizitii!$J165,9)="INCOMPLET",2,3)))</f>
        <v>0</v>
      </c>
      <c r="Z165" s="27"/>
      <c r="AA165" s="27"/>
      <c r="AB165" s="27"/>
      <c r="AC165" s="27"/>
      <c r="AD165" s="27"/>
      <c r="AE165" s="27"/>
      <c r="AF165" s="27"/>
      <c r="AG165" s="27"/>
      <c r="AH165" s="27">
        <f>IF(AND(V165=1,Control_Achizitii!$J165="DOSAR COMPLET",Control_Achizitii!$K165&lt;&gt;""),1,0)</f>
        <v>0</v>
      </c>
    </row>
    <row r="166" spans="1:34">
      <c r="A166" s="27"/>
      <c r="B166" s="27"/>
      <c r="C166" s="27"/>
      <c r="D166" s="27"/>
      <c r="E166" s="27"/>
      <c r="F166" s="27"/>
      <c r="G166" s="27"/>
      <c r="H166" s="27"/>
      <c r="I166" s="27"/>
      <c r="J166" s="27"/>
      <c r="K166" s="27"/>
      <c r="L166" s="27"/>
      <c r="M166" s="27"/>
      <c r="N166" s="27"/>
      <c r="O166" s="27"/>
      <c r="P166" s="27"/>
      <c r="Q166" s="27"/>
      <c r="R166" s="27"/>
      <c r="S166" s="27"/>
      <c r="T166" s="27">
        <f>IF(LEFT(Control_Achizitii!$E166,4)="Fact",1,0)</f>
        <v>0</v>
      </c>
      <c r="U166" s="27">
        <f>IF(Control_Achizitii!$C166="",0,IF(ISNUMBER(Control_Achizitii!$B166),0,1))</f>
        <v>0</v>
      </c>
      <c r="V166" s="27">
        <f>IF(Control_Achizitii!$C166="",0,IF($Z$2&lt;&gt;"OK",0,IF(AND(ISNUMBER(Control_Achizitii!$B166),Control_Achizitii!$B166&gt;=$E$5,Control_Achizitii!$B166&lt;$J$5+1,OR($O$5="Toate proiectele",Control_Achizitii!$Q166=$O$5)),1,0)))</f>
        <v>0</v>
      </c>
      <c r="W166" s="27">
        <f>IF(AND(V166=1,OR(Control_Achizitii!$J166&lt;&gt;"DOSAR COMPLET",Control_Achizitii!$K166&lt;&gt;"")),ROW(),1000000000)</f>
        <v>1000000000</v>
      </c>
      <c r="X166" s="27">
        <f>IF(AND(V166=1,LEFT(Control_Achizitii!$E166,4)="Fact",NOT(ISNUMBER(Control_Achizitii!$P166))),1,0)</f>
        <v>0</v>
      </c>
      <c r="Y166" s="27">
        <f>IF(V166=0,0,IF(Control_Achizitii!$J166="DOSAR COMPLET",1,IF(LEFT(Control_Achizitii!$J166,9)="INCOMPLET",2,3)))</f>
        <v>0</v>
      </c>
      <c r="Z166" s="27"/>
      <c r="AA166" s="27"/>
      <c r="AB166" s="27"/>
      <c r="AC166" s="27"/>
      <c r="AD166" s="27"/>
      <c r="AE166" s="27"/>
      <c r="AF166" s="27"/>
      <c r="AG166" s="27"/>
      <c r="AH166" s="27">
        <f>IF(AND(V166=1,Control_Achizitii!$J166="DOSAR COMPLET",Control_Achizitii!$K166&lt;&gt;""),1,0)</f>
        <v>0</v>
      </c>
    </row>
    <row r="167" spans="1:34">
      <c r="A167" s="27"/>
      <c r="B167" s="27"/>
      <c r="C167" s="27"/>
      <c r="D167" s="27"/>
      <c r="E167" s="27"/>
      <c r="F167" s="27"/>
      <c r="G167" s="27"/>
      <c r="H167" s="27"/>
      <c r="I167" s="27"/>
      <c r="J167" s="27"/>
      <c r="K167" s="27"/>
      <c r="L167" s="27"/>
      <c r="M167" s="27"/>
      <c r="N167" s="27"/>
      <c r="O167" s="27"/>
      <c r="P167" s="27"/>
      <c r="Q167" s="27"/>
      <c r="R167" s="27"/>
      <c r="S167" s="27"/>
      <c r="T167" s="27">
        <f>IF(LEFT(Control_Achizitii!$E167,4)="Fact",1,0)</f>
        <v>0</v>
      </c>
      <c r="U167" s="27">
        <f>IF(Control_Achizitii!$C167="",0,IF(ISNUMBER(Control_Achizitii!$B167),0,1))</f>
        <v>0</v>
      </c>
      <c r="V167" s="27">
        <f>IF(Control_Achizitii!$C167="",0,IF($Z$2&lt;&gt;"OK",0,IF(AND(ISNUMBER(Control_Achizitii!$B167),Control_Achizitii!$B167&gt;=$E$5,Control_Achizitii!$B167&lt;$J$5+1,OR($O$5="Toate proiectele",Control_Achizitii!$Q167=$O$5)),1,0)))</f>
        <v>0</v>
      </c>
      <c r="W167" s="27">
        <f>IF(AND(V167=1,OR(Control_Achizitii!$J167&lt;&gt;"DOSAR COMPLET",Control_Achizitii!$K167&lt;&gt;"")),ROW(),1000000000)</f>
        <v>1000000000</v>
      </c>
      <c r="X167" s="27">
        <f>IF(AND(V167=1,LEFT(Control_Achizitii!$E167,4)="Fact",NOT(ISNUMBER(Control_Achizitii!$P167))),1,0)</f>
        <v>0</v>
      </c>
      <c r="Y167" s="27">
        <f>IF(V167=0,0,IF(Control_Achizitii!$J167="DOSAR COMPLET",1,IF(LEFT(Control_Achizitii!$J167,9)="INCOMPLET",2,3)))</f>
        <v>0</v>
      </c>
      <c r="Z167" s="27"/>
      <c r="AA167" s="27"/>
      <c r="AB167" s="27"/>
      <c r="AC167" s="27"/>
      <c r="AD167" s="27"/>
      <c r="AE167" s="27"/>
      <c r="AF167" s="27"/>
      <c r="AG167" s="27"/>
      <c r="AH167" s="27">
        <f>IF(AND(V167=1,Control_Achizitii!$J167="DOSAR COMPLET",Control_Achizitii!$K167&lt;&gt;""),1,0)</f>
        <v>0</v>
      </c>
    </row>
    <row r="168" spans="1:34">
      <c r="A168" s="27"/>
      <c r="B168" s="27"/>
      <c r="C168" s="27"/>
      <c r="D168" s="27"/>
      <c r="E168" s="27"/>
      <c r="F168" s="27"/>
      <c r="G168" s="27"/>
      <c r="H168" s="27"/>
      <c r="I168" s="27"/>
      <c r="J168" s="27"/>
      <c r="K168" s="27"/>
      <c r="L168" s="27"/>
      <c r="M168" s="27"/>
      <c r="N168" s="27"/>
      <c r="O168" s="27"/>
      <c r="P168" s="27"/>
      <c r="Q168" s="27"/>
      <c r="R168" s="27"/>
      <c r="S168" s="27"/>
      <c r="T168" s="27">
        <f>IF(LEFT(Control_Achizitii!$E168,4)="Fact",1,0)</f>
        <v>0</v>
      </c>
      <c r="U168" s="27">
        <f>IF(Control_Achizitii!$C168="",0,IF(ISNUMBER(Control_Achizitii!$B168),0,1))</f>
        <v>0</v>
      </c>
      <c r="V168" s="27">
        <f>IF(Control_Achizitii!$C168="",0,IF($Z$2&lt;&gt;"OK",0,IF(AND(ISNUMBER(Control_Achizitii!$B168),Control_Achizitii!$B168&gt;=$E$5,Control_Achizitii!$B168&lt;$J$5+1,OR($O$5="Toate proiectele",Control_Achizitii!$Q168=$O$5)),1,0)))</f>
        <v>0</v>
      </c>
      <c r="W168" s="27">
        <f>IF(AND(V168=1,OR(Control_Achizitii!$J168&lt;&gt;"DOSAR COMPLET",Control_Achizitii!$K168&lt;&gt;"")),ROW(),1000000000)</f>
        <v>1000000000</v>
      </c>
      <c r="X168" s="27">
        <f>IF(AND(V168=1,LEFT(Control_Achizitii!$E168,4)="Fact",NOT(ISNUMBER(Control_Achizitii!$P168))),1,0)</f>
        <v>0</v>
      </c>
      <c r="Y168" s="27">
        <f>IF(V168=0,0,IF(Control_Achizitii!$J168="DOSAR COMPLET",1,IF(LEFT(Control_Achizitii!$J168,9)="INCOMPLET",2,3)))</f>
        <v>0</v>
      </c>
      <c r="Z168" s="27"/>
      <c r="AA168" s="27"/>
      <c r="AB168" s="27"/>
      <c r="AC168" s="27"/>
      <c r="AD168" s="27"/>
      <c r="AE168" s="27"/>
      <c r="AF168" s="27"/>
      <c r="AG168" s="27"/>
      <c r="AH168" s="27">
        <f>IF(AND(V168=1,Control_Achizitii!$J168="DOSAR COMPLET",Control_Achizitii!$K168&lt;&gt;""),1,0)</f>
        <v>0</v>
      </c>
    </row>
    <row r="169" spans="1:34">
      <c r="A169" s="27"/>
      <c r="B169" s="27"/>
      <c r="C169" s="27"/>
      <c r="D169" s="27"/>
      <c r="E169" s="27"/>
      <c r="F169" s="27"/>
      <c r="G169" s="27"/>
      <c r="H169" s="27"/>
      <c r="I169" s="27"/>
      <c r="J169" s="27"/>
      <c r="K169" s="27"/>
      <c r="L169" s="27"/>
      <c r="M169" s="27"/>
      <c r="N169" s="27"/>
      <c r="O169" s="27"/>
      <c r="P169" s="27"/>
      <c r="Q169" s="27"/>
      <c r="R169" s="27"/>
      <c r="S169" s="27"/>
      <c r="T169" s="27">
        <f>IF(LEFT(Control_Achizitii!$E169,4)="Fact",1,0)</f>
        <v>0</v>
      </c>
      <c r="U169" s="27">
        <f>IF(Control_Achizitii!$C169="",0,IF(ISNUMBER(Control_Achizitii!$B169),0,1))</f>
        <v>0</v>
      </c>
      <c r="V169" s="27">
        <f>IF(Control_Achizitii!$C169="",0,IF($Z$2&lt;&gt;"OK",0,IF(AND(ISNUMBER(Control_Achizitii!$B169),Control_Achizitii!$B169&gt;=$E$5,Control_Achizitii!$B169&lt;$J$5+1,OR($O$5="Toate proiectele",Control_Achizitii!$Q169=$O$5)),1,0)))</f>
        <v>0</v>
      </c>
      <c r="W169" s="27">
        <f>IF(AND(V169=1,OR(Control_Achizitii!$J169&lt;&gt;"DOSAR COMPLET",Control_Achizitii!$K169&lt;&gt;"")),ROW(),1000000000)</f>
        <v>1000000000</v>
      </c>
      <c r="X169" s="27">
        <f>IF(AND(V169=1,LEFT(Control_Achizitii!$E169,4)="Fact",NOT(ISNUMBER(Control_Achizitii!$P169))),1,0)</f>
        <v>0</v>
      </c>
      <c r="Y169" s="27">
        <f>IF(V169=0,0,IF(Control_Achizitii!$J169="DOSAR COMPLET",1,IF(LEFT(Control_Achizitii!$J169,9)="INCOMPLET",2,3)))</f>
        <v>0</v>
      </c>
      <c r="Z169" s="27"/>
      <c r="AA169" s="27"/>
      <c r="AB169" s="27"/>
      <c r="AC169" s="27"/>
      <c r="AD169" s="27"/>
      <c r="AE169" s="27"/>
      <c r="AF169" s="27"/>
      <c r="AG169" s="27"/>
      <c r="AH169" s="27">
        <f>IF(AND(V169=1,Control_Achizitii!$J169="DOSAR COMPLET",Control_Achizitii!$K169&lt;&gt;""),1,0)</f>
        <v>0</v>
      </c>
    </row>
    <row r="170" spans="1:34">
      <c r="A170" s="27"/>
      <c r="B170" s="27"/>
      <c r="C170" s="27"/>
      <c r="D170" s="27"/>
      <c r="E170" s="27"/>
      <c r="F170" s="27"/>
      <c r="G170" s="27"/>
      <c r="H170" s="27"/>
      <c r="I170" s="27"/>
      <c r="J170" s="27"/>
      <c r="K170" s="27"/>
      <c r="L170" s="27"/>
      <c r="M170" s="27"/>
      <c r="N170" s="27"/>
      <c r="O170" s="27"/>
      <c r="P170" s="27"/>
      <c r="Q170" s="27"/>
      <c r="R170" s="27"/>
      <c r="S170" s="27"/>
      <c r="T170" s="27">
        <f>IF(LEFT(Control_Achizitii!$E170,4)="Fact",1,0)</f>
        <v>0</v>
      </c>
      <c r="U170" s="27">
        <f>IF(Control_Achizitii!$C170="",0,IF(ISNUMBER(Control_Achizitii!$B170),0,1))</f>
        <v>0</v>
      </c>
      <c r="V170" s="27">
        <f>IF(Control_Achizitii!$C170="",0,IF($Z$2&lt;&gt;"OK",0,IF(AND(ISNUMBER(Control_Achizitii!$B170),Control_Achizitii!$B170&gt;=$E$5,Control_Achizitii!$B170&lt;$J$5+1,OR($O$5="Toate proiectele",Control_Achizitii!$Q170=$O$5)),1,0)))</f>
        <v>0</v>
      </c>
      <c r="W170" s="27">
        <f>IF(AND(V170=1,OR(Control_Achizitii!$J170&lt;&gt;"DOSAR COMPLET",Control_Achizitii!$K170&lt;&gt;"")),ROW(),1000000000)</f>
        <v>1000000000</v>
      </c>
      <c r="X170" s="27">
        <f>IF(AND(V170=1,LEFT(Control_Achizitii!$E170,4)="Fact",NOT(ISNUMBER(Control_Achizitii!$P170))),1,0)</f>
        <v>0</v>
      </c>
      <c r="Y170" s="27">
        <f>IF(V170=0,0,IF(Control_Achizitii!$J170="DOSAR COMPLET",1,IF(LEFT(Control_Achizitii!$J170,9)="INCOMPLET",2,3)))</f>
        <v>0</v>
      </c>
      <c r="Z170" s="27"/>
      <c r="AA170" s="27"/>
      <c r="AB170" s="27"/>
      <c r="AC170" s="27"/>
      <c r="AD170" s="27"/>
      <c r="AE170" s="27"/>
      <c r="AF170" s="27"/>
      <c r="AG170" s="27"/>
      <c r="AH170" s="27">
        <f>IF(AND(V170=1,Control_Achizitii!$J170="DOSAR COMPLET",Control_Achizitii!$K170&lt;&gt;""),1,0)</f>
        <v>0</v>
      </c>
    </row>
    <row r="171" spans="1:34">
      <c r="A171" s="27"/>
      <c r="B171" s="27"/>
      <c r="C171" s="27"/>
      <c r="D171" s="27"/>
      <c r="E171" s="27"/>
      <c r="F171" s="27"/>
      <c r="G171" s="27"/>
      <c r="H171" s="27"/>
      <c r="I171" s="27"/>
      <c r="J171" s="27"/>
      <c r="K171" s="27"/>
      <c r="L171" s="27"/>
      <c r="M171" s="27"/>
      <c r="N171" s="27"/>
      <c r="O171" s="27"/>
      <c r="P171" s="27"/>
      <c r="Q171" s="27"/>
      <c r="R171" s="27"/>
      <c r="S171" s="27"/>
      <c r="T171" s="27">
        <f>IF(LEFT(Control_Achizitii!$E171,4)="Fact",1,0)</f>
        <v>0</v>
      </c>
      <c r="U171" s="27">
        <f>IF(Control_Achizitii!$C171="",0,IF(ISNUMBER(Control_Achizitii!$B171),0,1))</f>
        <v>0</v>
      </c>
      <c r="V171" s="27">
        <f>IF(Control_Achizitii!$C171="",0,IF($Z$2&lt;&gt;"OK",0,IF(AND(ISNUMBER(Control_Achizitii!$B171),Control_Achizitii!$B171&gt;=$E$5,Control_Achizitii!$B171&lt;$J$5+1,OR($O$5="Toate proiectele",Control_Achizitii!$Q171=$O$5)),1,0)))</f>
        <v>0</v>
      </c>
      <c r="W171" s="27">
        <f>IF(AND(V171=1,OR(Control_Achizitii!$J171&lt;&gt;"DOSAR COMPLET",Control_Achizitii!$K171&lt;&gt;"")),ROW(),1000000000)</f>
        <v>1000000000</v>
      </c>
      <c r="X171" s="27">
        <f>IF(AND(V171=1,LEFT(Control_Achizitii!$E171,4)="Fact",NOT(ISNUMBER(Control_Achizitii!$P171))),1,0)</f>
        <v>0</v>
      </c>
      <c r="Y171" s="27">
        <f>IF(V171=0,0,IF(Control_Achizitii!$J171="DOSAR COMPLET",1,IF(LEFT(Control_Achizitii!$J171,9)="INCOMPLET",2,3)))</f>
        <v>0</v>
      </c>
      <c r="Z171" s="27"/>
      <c r="AA171" s="27"/>
      <c r="AB171" s="27"/>
      <c r="AC171" s="27"/>
      <c r="AD171" s="27"/>
      <c r="AE171" s="27"/>
      <c r="AF171" s="27"/>
      <c r="AG171" s="27"/>
      <c r="AH171" s="27">
        <f>IF(AND(V171=1,Control_Achizitii!$J171="DOSAR COMPLET",Control_Achizitii!$K171&lt;&gt;""),1,0)</f>
        <v>0</v>
      </c>
    </row>
    <row r="172" spans="1:34">
      <c r="A172" s="27"/>
      <c r="B172" s="27"/>
      <c r="C172" s="27"/>
      <c r="D172" s="27"/>
      <c r="E172" s="27"/>
      <c r="F172" s="27"/>
      <c r="G172" s="27"/>
      <c r="H172" s="27"/>
      <c r="I172" s="27"/>
      <c r="J172" s="27"/>
      <c r="K172" s="27"/>
      <c r="L172" s="27"/>
      <c r="M172" s="27"/>
      <c r="N172" s="27"/>
      <c r="O172" s="27"/>
      <c r="P172" s="27"/>
      <c r="Q172" s="27"/>
      <c r="R172" s="27"/>
      <c r="S172" s="27"/>
      <c r="T172" s="27">
        <f>IF(LEFT(Control_Achizitii!$E172,4)="Fact",1,0)</f>
        <v>0</v>
      </c>
      <c r="U172" s="27">
        <f>IF(Control_Achizitii!$C172="",0,IF(ISNUMBER(Control_Achizitii!$B172),0,1))</f>
        <v>0</v>
      </c>
      <c r="V172" s="27">
        <f>IF(Control_Achizitii!$C172="",0,IF($Z$2&lt;&gt;"OK",0,IF(AND(ISNUMBER(Control_Achizitii!$B172),Control_Achizitii!$B172&gt;=$E$5,Control_Achizitii!$B172&lt;$J$5+1,OR($O$5="Toate proiectele",Control_Achizitii!$Q172=$O$5)),1,0)))</f>
        <v>0</v>
      </c>
      <c r="W172" s="27">
        <f>IF(AND(V172=1,OR(Control_Achizitii!$J172&lt;&gt;"DOSAR COMPLET",Control_Achizitii!$K172&lt;&gt;"")),ROW(),1000000000)</f>
        <v>1000000000</v>
      </c>
      <c r="X172" s="27">
        <f>IF(AND(V172=1,LEFT(Control_Achizitii!$E172,4)="Fact",NOT(ISNUMBER(Control_Achizitii!$P172))),1,0)</f>
        <v>0</v>
      </c>
      <c r="Y172" s="27">
        <f>IF(V172=0,0,IF(Control_Achizitii!$J172="DOSAR COMPLET",1,IF(LEFT(Control_Achizitii!$J172,9)="INCOMPLET",2,3)))</f>
        <v>0</v>
      </c>
      <c r="Z172" s="27"/>
      <c r="AA172" s="27"/>
      <c r="AB172" s="27"/>
      <c r="AC172" s="27"/>
      <c r="AD172" s="27"/>
      <c r="AE172" s="27"/>
      <c r="AF172" s="27"/>
      <c r="AG172" s="27"/>
      <c r="AH172" s="27">
        <f>IF(AND(V172=1,Control_Achizitii!$J172="DOSAR COMPLET",Control_Achizitii!$K172&lt;&gt;""),1,0)</f>
        <v>0</v>
      </c>
    </row>
    <row r="173" spans="1:34">
      <c r="A173" s="27"/>
      <c r="B173" s="27"/>
      <c r="C173" s="27"/>
      <c r="D173" s="27"/>
      <c r="E173" s="27"/>
      <c r="F173" s="27"/>
      <c r="G173" s="27"/>
      <c r="H173" s="27"/>
      <c r="I173" s="27"/>
      <c r="J173" s="27"/>
      <c r="K173" s="27"/>
      <c r="L173" s="27"/>
      <c r="M173" s="27"/>
      <c r="N173" s="27"/>
      <c r="O173" s="27"/>
      <c r="P173" s="27"/>
      <c r="Q173" s="27"/>
      <c r="R173" s="27"/>
      <c r="S173" s="27"/>
      <c r="T173" s="27">
        <f>IF(LEFT(Control_Achizitii!$E173,4)="Fact",1,0)</f>
        <v>0</v>
      </c>
      <c r="U173" s="27">
        <f>IF(Control_Achizitii!$C173="",0,IF(ISNUMBER(Control_Achizitii!$B173),0,1))</f>
        <v>0</v>
      </c>
      <c r="V173" s="27">
        <f>IF(Control_Achizitii!$C173="",0,IF($Z$2&lt;&gt;"OK",0,IF(AND(ISNUMBER(Control_Achizitii!$B173),Control_Achizitii!$B173&gt;=$E$5,Control_Achizitii!$B173&lt;$J$5+1,OR($O$5="Toate proiectele",Control_Achizitii!$Q173=$O$5)),1,0)))</f>
        <v>0</v>
      </c>
      <c r="W173" s="27">
        <f>IF(AND(V173=1,OR(Control_Achizitii!$J173&lt;&gt;"DOSAR COMPLET",Control_Achizitii!$K173&lt;&gt;"")),ROW(),1000000000)</f>
        <v>1000000000</v>
      </c>
      <c r="X173" s="27">
        <f>IF(AND(V173=1,LEFT(Control_Achizitii!$E173,4)="Fact",NOT(ISNUMBER(Control_Achizitii!$P173))),1,0)</f>
        <v>0</v>
      </c>
      <c r="Y173" s="27">
        <f>IF(V173=0,0,IF(Control_Achizitii!$J173="DOSAR COMPLET",1,IF(LEFT(Control_Achizitii!$J173,9)="INCOMPLET",2,3)))</f>
        <v>0</v>
      </c>
      <c r="Z173" s="27"/>
      <c r="AA173" s="27"/>
      <c r="AB173" s="27"/>
      <c r="AC173" s="27"/>
      <c r="AD173" s="27"/>
      <c r="AE173" s="27"/>
      <c r="AF173" s="27"/>
      <c r="AG173" s="27"/>
      <c r="AH173" s="27">
        <f>IF(AND(V173=1,Control_Achizitii!$J173="DOSAR COMPLET",Control_Achizitii!$K173&lt;&gt;""),1,0)</f>
        <v>0</v>
      </c>
    </row>
    <row r="174" spans="1:34">
      <c r="A174" s="27"/>
      <c r="B174" s="27"/>
      <c r="C174" s="27"/>
      <c r="D174" s="27"/>
      <c r="E174" s="27"/>
      <c r="F174" s="27"/>
      <c r="G174" s="27"/>
      <c r="H174" s="27"/>
      <c r="I174" s="27"/>
      <c r="J174" s="27"/>
      <c r="K174" s="27"/>
      <c r="L174" s="27"/>
      <c r="M174" s="27"/>
      <c r="N174" s="27"/>
      <c r="O174" s="27"/>
      <c r="P174" s="27"/>
      <c r="Q174" s="27"/>
      <c r="R174" s="27"/>
      <c r="S174" s="27"/>
      <c r="T174" s="27">
        <f>IF(LEFT(Control_Achizitii!$E174,4)="Fact",1,0)</f>
        <v>0</v>
      </c>
      <c r="U174" s="27">
        <f>IF(Control_Achizitii!$C174="",0,IF(ISNUMBER(Control_Achizitii!$B174),0,1))</f>
        <v>0</v>
      </c>
      <c r="V174" s="27">
        <f>IF(Control_Achizitii!$C174="",0,IF($Z$2&lt;&gt;"OK",0,IF(AND(ISNUMBER(Control_Achizitii!$B174),Control_Achizitii!$B174&gt;=$E$5,Control_Achizitii!$B174&lt;$J$5+1,OR($O$5="Toate proiectele",Control_Achizitii!$Q174=$O$5)),1,0)))</f>
        <v>0</v>
      </c>
      <c r="W174" s="27">
        <f>IF(AND(V174=1,OR(Control_Achizitii!$J174&lt;&gt;"DOSAR COMPLET",Control_Achizitii!$K174&lt;&gt;"")),ROW(),1000000000)</f>
        <v>1000000000</v>
      </c>
      <c r="X174" s="27">
        <f>IF(AND(V174=1,LEFT(Control_Achizitii!$E174,4)="Fact",NOT(ISNUMBER(Control_Achizitii!$P174))),1,0)</f>
        <v>0</v>
      </c>
      <c r="Y174" s="27">
        <f>IF(V174=0,0,IF(Control_Achizitii!$J174="DOSAR COMPLET",1,IF(LEFT(Control_Achizitii!$J174,9)="INCOMPLET",2,3)))</f>
        <v>0</v>
      </c>
      <c r="Z174" s="27"/>
      <c r="AA174" s="27"/>
      <c r="AB174" s="27"/>
      <c r="AC174" s="27"/>
      <c r="AD174" s="27"/>
      <c r="AE174" s="27"/>
      <c r="AF174" s="27"/>
      <c r="AG174" s="27"/>
      <c r="AH174" s="27">
        <f>IF(AND(V174=1,Control_Achizitii!$J174="DOSAR COMPLET",Control_Achizitii!$K174&lt;&gt;""),1,0)</f>
        <v>0</v>
      </c>
    </row>
    <row r="175" spans="1:34">
      <c r="A175" s="27"/>
      <c r="B175" s="27"/>
      <c r="C175" s="27"/>
      <c r="D175" s="27"/>
      <c r="E175" s="27"/>
      <c r="F175" s="27"/>
      <c r="G175" s="27"/>
      <c r="H175" s="27"/>
      <c r="I175" s="27"/>
      <c r="J175" s="27"/>
      <c r="K175" s="27"/>
      <c r="L175" s="27"/>
      <c r="M175" s="27"/>
      <c r="N175" s="27"/>
      <c r="O175" s="27"/>
      <c r="P175" s="27"/>
      <c r="Q175" s="27"/>
      <c r="R175" s="27"/>
      <c r="S175" s="27"/>
      <c r="T175" s="27">
        <f>IF(LEFT(Control_Achizitii!$E175,4)="Fact",1,0)</f>
        <v>0</v>
      </c>
      <c r="U175" s="27">
        <f>IF(Control_Achizitii!$C175="",0,IF(ISNUMBER(Control_Achizitii!$B175),0,1))</f>
        <v>0</v>
      </c>
      <c r="V175" s="27">
        <f>IF(Control_Achizitii!$C175="",0,IF($Z$2&lt;&gt;"OK",0,IF(AND(ISNUMBER(Control_Achizitii!$B175),Control_Achizitii!$B175&gt;=$E$5,Control_Achizitii!$B175&lt;$J$5+1,OR($O$5="Toate proiectele",Control_Achizitii!$Q175=$O$5)),1,0)))</f>
        <v>0</v>
      </c>
      <c r="W175" s="27">
        <f>IF(AND(V175=1,OR(Control_Achizitii!$J175&lt;&gt;"DOSAR COMPLET",Control_Achizitii!$K175&lt;&gt;"")),ROW(),1000000000)</f>
        <v>1000000000</v>
      </c>
      <c r="X175" s="27">
        <f>IF(AND(V175=1,LEFT(Control_Achizitii!$E175,4)="Fact",NOT(ISNUMBER(Control_Achizitii!$P175))),1,0)</f>
        <v>0</v>
      </c>
      <c r="Y175" s="27">
        <f>IF(V175=0,0,IF(Control_Achizitii!$J175="DOSAR COMPLET",1,IF(LEFT(Control_Achizitii!$J175,9)="INCOMPLET",2,3)))</f>
        <v>0</v>
      </c>
      <c r="Z175" s="27"/>
      <c r="AA175" s="27"/>
      <c r="AB175" s="27"/>
      <c r="AC175" s="27"/>
      <c r="AD175" s="27"/>
      <c r="AE175" s="27"/>
      <c r="AF175" s="27"/>
      <c r="AG175" s="27"/>
      <c r="AH175" s="27">
        <f>IF(AND(V175=1,Control_Achizitii!$J175="DOSAR COMPLET",Control_Achizitii!$K175&lt;&gt;""),1,0)</f>
        <v>0</v>
      </c>
    </row>
    <row r="176" spans="1:34">
      <c r="A176" s="27"/>
      <c r="B176" s="27"/>
      <c r="C176" s="27"/>
      <c r="D176" s="27"/>
      <c r="E176" s="27"/>
      <c r="F176" s="27"/>
      <c r="G176" s="27"/>
      <c r="H176" s="27"/>
      <c r="I176" s="27"/>
      <c r="J176" s="27"/>
      <c r="K176" s="27"/>
      <c r="L176" s="27"/>
      <c r="M176" s="27"/>
      <c r="N176" s="27"/>
      <c r="O176" s="27"/>
      <c r="P176" s="27"/>
      <c r="Q176" s="27"/>
      <c r="R176" s="27"/>
      <c r="S176" s="27"/>
      <c r="T176" s="27">
        <f>IF(LEFT(Control_Achizitii!$E176,4)="Fact",1,0)</f>
        <v>0</v>
      </c>
      <c r="U176" s="27">
        <f>IF(Control_Achizitii!$C176="",0,IF(ISNUMBER(Control_Achizitii!$B176),0,1))</f>
        <v>0</v>
      </c>
      <c r="V176" s="27">
        <f>IF(Control_Achizitii!$C176="",0,IF($Z$2&lt;&gt;"OK",0,IF(AND(ISNUMBER(Control_Achizitii!$B176),Control_Achizitii!$B176&gt;=$E$5,Control_Achizitii!$B176&lt;$J$5+1,OR($O$5="Toate proiectele",Control_Achizitii!$Q176=$O$5)),1,0)))</f>
        <v>0</v>
      </c>
      <c r="W176" s="27">
        <f>IF(AND(V176=1,OR(Control_Achizitii!$J176&lt;&gt;"DOSAR COMPLET",Control_Achizitii!$K176&lt;&gt;"")),ROW(),1000000000)</f>
        <v>1000000000</v>
      </c>
      <c r="X176" s="27">
        <f>IF(AND(V176=1,LEFT(Control_Achizitii!$E176,4)="Fact",NOT(ISNUMBER(Control_Achizitii!$P176))),1,0)</f>
        <v>0</v>
      </c>
      <c r="Y176" s="27">
        <f>IF(V176=0,0,IF(Control_Achizitii!$J176="DOSAR COMPLET",1,IF(LEFT(Control_Achizitii!$J176,9)="INCOMPLET",2,3)))</f>
        <v>0</v>
      </c>
      <c r="Z176" s="27"/>
      <c r="AA176" s="27"/>
      <c r="AB176" s="27"/>
      <c r="AC176" s="27"/>
      <c r="AD176" s="27"/>
      <c r="AE176" s="27"/>
      <c r="AF176" s="27"/>
      <c r="AG176" s="27"/>
      <c r="AH176" s="27">
        <f>IF(AND(V176=1,Control_Achizitii!$J176="DOSAR COMPLET",Control_Achizitii!$K176&lt;&gt;""),1,0)</f>
        <v>0</v>
      </c>
    </row>
    <row r="177" spans="1:34">
      <c r="A177" s="27"/>
      <c r="B177" s="27"/>
      <c r="C177" s="27"/>
      <c r="D177" s="27"/>
      <c r="E177" s="27"/>
      <c r="F177" s="27"/>
      <c r="G177" s="27"/>
      <c r="H177" s="27"/>
      <c r="I177" s="27"/>
      <c r="J177" s="27"/>
      <c r="K177" s="27"/>
      <c r="L177" s="27"/>
      <c r="M177" s="27"/>
      <c r="N177" s="27"/>
      <c r="O177" s="27"/>
      <c r="P177" s="27"/>
      <c r="Q177" s="27"/>
      <c r="R177" s="27"/>
      <c r="S177" s="27"/>
      <c r="T177" s="27">
        <f>IF(LEFT(Control_Achizitii!$E177,4)="Fact",1,0)</f>
        <v>0</v>
      </c>
      <c r="U177" s="27">
        <f>IF(Control_Achizitii!$C177="",0,IF(ISNUMBER(Control_Achizitii!$B177),0,1))</f>
        <v>0</v>
      </c>
      <c r="V177" s="27">
        <f>IF(Control_Achizitii!$C177="",0,IF($Z$2&lt;&gt;"OK",0,IF(AND(ISNUMBER(Control_Achizitii!$B177),Control_Achizitii!$B177&gt;=$E$5,Control_Achizitii!$B177&lt;$J$5+1,OR($O$5="Toate proiectele",Control_Achizitii!$Q177=$O$5)),1,0)))</f>
        <v>0</v>
      </c>
      <c r="W177" s="27">
        <f>IF(AND(V177=1,OR(Control_Achizitii!$J177&lt;&gt;"DOSAR COMPLET",Control_Achizitii!$K177&lt;&gt;"")),ROW(),1000000000)</f>
        <v>1000000000</v>
      </c>
      <c r="X177" s="27">
        <f>IF(AND(V177=1,LEFT(Control_Achizitii!$E177,4)="Fact",NOT(ISNUMBER(Control_Achizitii!$P177))),1,0)</f>
        <v>0</v>
      </c>
      <c r="Y177" s="27">
        <f>IF(V177=0,0,IF(Control_Achizitii!$J177="DOSAR COMPLET",1,IF(LEFT(Control_Achizitii!$J177,9)="INCOMPLET",2,3)))</f>
        <v>0</v>
      </c>
      <c r="Z177" s="27"/>
      <c r="AA177" s="27"/>
      <c r="AB177" s="27"/>
      <c r="AC177" s="27"/>
      <c r="AD177" s="27"/>
      <c r="AE177" s="27"/>
      <c r="AF177" s="27"/>
      <c r="AG177" s="27"/>
      <c r="AH177" s="27">
        <f>IF(AND(V177=1,Control_Achizitii!$J177="DOSAR COMPLET",Control_Achizitii!$K177&lt;&gt;""),1,0)</f>
        <v>0</v>
      </c>
    </row>
    <row r="178" spans="1:34">
      <c r="A178" s="27"/>
      <c r="B178" s="27"/>
      <c r="C178" s="27"/>
      <c r="D178" s="27"/>
      <c r="E178" s="27"/>
      <c r="F178" s="27"/>
      <c r="G178" s="27"/>
      <c r="H178" s="27"/>
      <c r="I178" s="27"/>
      <c r="J178" s="27"/>
      <c r="K178" s="27"/>
      <c r="L178" s="27"/>
      <c r="M178" s="27"/>
      <c r="N178" s="27"/>
      <c r="O178" s="27"/>
      <c r="P178" s="27"/>
      <c r="Q178" s="27"/>
      <c r="R178" s="27"/>
      <c r="S178" s="27"/>
      <c r="T178" s="27">
        <f>IF(LEFT(Control_Achizitii!$E178,4)="Fact",1,0)</f>
        <v>0</v>
      </c>
      <c r="U178" s="27">
        <f>IF(Control_Achizitii!$C178="",0,IF(ISNUMBER(Control_Achizitii!$B178),0,1))</f>
        <v>0</v>
      </c>
      <c r="V178" s="27">
        <f>IF(Control_Achizitii!$C178="",0,IF($Z$2&lt;&gt;"OK",0,IF(AND(ISNUMBER(Control_Achizitii!$B178),Control_Achizitii!$B178&gt;=$E$5,Control_Achizitii!$B178&lt;$J$5+1,OR($O$5="Toate proiectele",Control_Achizitii!$Q178=$O$5)),1,0)))</f>
        <v>0</v>
      </c>
      <c r="W178" s="27">
        <f>IF(AND(V178=1,OR(Control_Achizitii!$J178&lt;&gt;"DOSAR COMPLET",Control_Achizitii!$K178&lt;&gt;"")),ROW(),1000000000)</f>
        <v>1000000000</v>
      </c>
      <c r="X178" s="27">
        <f>IF(AND(V178=1,LEFT(Control_Achizitii!$E178,4)="Fact",NOT(ISNUMBER(Control_Achizitii!$P178))),1,0)</f>
        <v>0</v>
      </c>
      <c r="Y178" s="27">
        <f>IF(V178=0,0,IF(Control_Achizitii!$J178="DOSAR COMPLET",1,IF(LEFT(Control_Achizitii!$J178,9)="INCOMPLET",2,3)))</f>
        <v>0</v>
      </c>
      <c r="Z178" s="27"/>
      <c r="AA178" s="27"/>
      <c r="AB178" s="27"/>
      <c r="AC178" s="27"/>
      <c r="AD178" s="27"/>
      <c r="AE178" s="27"/>
      <c r="AF178" s="27"/>
      <c r="AG178" s="27"/>
      <c r="AH178" s="27">
        <f>IF(AND(V178=1,Control_Achizitii!$J178="DOSAR COMPLET",Control_Achizitii!$K178&lt;&gt;""),1,0)</f>
        <v>0</v>
      </c>
    </row>
    <row r="179" spans="1:34">
      <c r="A179" s="27"/>
      <c r="B179" s="27"/>
      <c r="C179" s="27"/>
      <c r="D179" s="27"/>
      <c r="E179" s="27"/>
      <c r="F179" s="27"/>
      <c r="G179" s="27"/>
      <c r="H179" s="27"/>
      <c r="I179" s="27"/>
      <c r="J179" s="27"/>
      <c r="K179" s="27"/>
      <c r="L179" s="27"/>
      <c r="M179" s="27"/>
      <c r="N179" s="27"/>
      <c r="O179" s="27"/>
      <c r="P179" s="27"/>
      <c r="Q179" s="27"/>
      <c r="R179" s="27"/>
      <c r="S179" s="27"/>
      <c r="T179" s="27">
        <f>IF(LEFT(Control_Achizitii!$E179,4)="Fact",1,0)</f>
        <v>0</v>
      </c>
      <c r="U179" s="27">
        <f>IF(Control_Achizitii!$C179="",0,IF(ISNUMBER(Control_Achizitii!$B179),0,1))</f>
        <v>0</v>
      </c>
      <c r="V179" s="27">
        <f>IF(Control_Achizitii!$C179="",0,IF($Z$2&lt;&gt;"OK",0,IF(AND(ISNUMBER(Control_Achizitii!$B179),Control_Achizitii!$B179&gt;=$E$5,Control_Achizitii!$B179&lt;$J$5+1,OR($O$5="Toate proiectele",Control_Achizitii!$Q179=$O$5)),1,0)))</f>
        <v>0</v>
      </c>
      <c r="W179" s="27">
        <f>IF(AND(V179=1,OR(Control_Achizitii!$J179&lt;&gt;"DOSAR COMPLET",Control_Achizitii!$K179&lt;&gt;"")),ROW(),1000000000)</f>
        <v>1000000000</v>
      </c>
      <c r="X179" s="27">
        <f>IF(AND(V179=1,LEFT(Control_Achizitii!$E179,4)="Fact",NOT(ISNUMBER(Control_Achizitii!$P179))),1,0)</f>
        <v>0</v>
      </c>
      <c r="Y179" s="27">
        <f>IF(V179=0,0,IF(Control_Achizitii!$J179="DOSAR COMPLET",1,IF(LEFT(Control_Achizitii!$J179,9)="INCOMPLET",2,3)))</f>
        <v>0</v>
      </c>
      <c r="Z179" s="27"/>
      <c r="AA179" s="27"/>
      <c r="AB179" s="27"/>
      <c r="AC179" s="27"/>
      <c r="AD179" s="27"/>
      <c r="AE179" s="27"/>
      <c r="AF179" s="27"/>
      <c r="AG179" s="27"/>
      <c r="AH179" s="27">
        <f>IF(AND(V179=1,Control_Achizitii!$J179="DOSAR COMPLET",Control_Achizitii!$K179&lt;&gt;""),1,0)</f>
        <v>0</v>
      </c>
    </row>
    <row r="180" spans="1:34">
      <c r="A180" s="27"/>
      <c r="B180" s="27"/>
      <c r="C180" s="27"/>
      <c r="D180" s="27"/>
      <c r="E180" s="27"/>
      <c r="F180" s="27"/>
      <c r="G180" s="27"/>
      <c r="H180" s="27"/>
      <c r="I180" s="27"/>
      <c r="J180" s="27"/>
      <c r="K180" s="27"/>
      <c r="L180" s="27"/>
      <c r="M180" s="27"/>
      <c r="N180" s="27"/>
      <c r="O180" s="27"/>
      <c r="P180" s="27"/>
      <c r="Q180" s="27"/>
      <c r="R180" s="27"/>
      <c r="S180" s="27"/>
      <c r="T180" s="27">
        <f>IF(LEFT(Control_Achizitii!$E180,4)="Fact",1,0)</f>
        <v>0</v>
      </c>
      <c r="U180" s="27">
        <f>IF(Control_Achizitii!$C180="",0,IF(ISNUMBER(Control_Achizitii!$B180),0,1))</f>
        <v>0</v>
      </c>
      <c r="V180" s="27">
        <f>IF(Control_Achizitii!$C180="",0,IF($Z$2&lt;&gt;"OK",0,IF(AND(ISNUMBER(Control_Achizitii!$B180),Control_Achizitii!$B180&gt;=$E$5,Control_Achizitii!$B180&lt;$J$5+1,OR($O$5="Toate proiectele",Control_Achizitii!$Q180=$O$5)),1,0)))</f>
        <v>0</v>
      </c>
      <c r="W180" s="27">
        <f>IF(AND(V180=1,OR(Control_Achizitii!$J180&lt;&gt;"DOSAR COMPLET",Control_Achizitii!$K180&lt;&gt;"")),ROW(),1000000000)</f>
        <v>1000000000</v>
      </c>
      <c r="X180" s="27">
        <f>IF(AND(V180=1,LEFT(Control_Achizitii!$E180,4)="Fact",NOT(ISNUMBER(Control_Achizitii!$P180))),1,0)</f>
        <v>0</v>
      </c>
      <c r="Y180" s="27">
        <f>IF(V180=0,0,IF(Control_Achizitii!$J180="DOSAR COMPLET",1,IF(LEFT(Control_Achizitii!$J180,9)="INCOMPLET",2,3)))</f>
        <v>0</v>
      </c>
      <c r="Z180" s="27"/>
      <c r="AA180" s="27"/>
      <c r="AB180" s="27"/>
      <c r="AC180" s="27"/>
      <c r="AD180" s="27"/>
      <c r="AE180" s="27"/>
      <c r="AF180" s="27"/>
      <c r="AG180" s="27"/>
      <c r="AH180" s="27">
        <f>IF(AND(V180=1,Control_Achizitii!$J180="DOSAR COMPLET",Control_Achizitii!$K180&lt;&gt;""),1,0)</f>
        <v>0</v>
      </c>
    </row>
    <row r="181" spans="1:34">
      <c r="A181" s="27"/>
      <c r="B181" s="27"/>
      <c r="C181" s="27"/>
      <c r="D181" s="27"/>
      <c r="E181" s="27"/>
      <c r="F181" s="27"/>
      <c r="G181" s="27"/>
      <c r="H181" s="27"/>
      <c r="I181" s="27"/>
      <c r="J181" s="27"/>
      <c r="K181" s="27"/>
      <c r="L181" s="27"/>
      <c r="M181" s="27"/>
      <c r="N181" s="27"/>
      <c r="O181" s="27"/>
      <c r="P181" s="27"/>
      <c r="Q181" s="27"/>
      <c r="R181" s="27"/>
      <c r="S181" s="27"/>
      <c r="T181" s="27">
        <f>IF(LEFT(Control_Achizitii!$E181,4)="Fact",1,0)</f>
        <v>0</v>
      </c>
      <c r="U181" s="27">
        <f>IF(Control_Achizitii!$C181="",0,IF(ISNUMBER(Control_Achizitii!$B181),0,1))</f>
        <v>0</v>
      </c>
      <c r="V181" s="27">
        <f>IF(Control_Achizitii!$C181="",0,IF($Z$2&lt;&gt;"OK",0,IF(AND(ISNUMBER(Control_Achizitii!$B181),Control_Achizitii!$B181&gt;=$E$5,Control_Achizitii!$B181&lt;$J$5+1,OR($O$5="Toate proiectele",Control_Achizitii!$Q181=$O$5)),1,0)))</f>
        <v>0</v>
      </c>
      <c r="W181" s="27">
        <f>IF(AND(V181=1,OR(Control_Achizitii!$J181&lt;&gt;"DOSAR COMPLET",Control_Achizitii!$K181&lt;&gt;"")),ROW(),1000000000)</f>
        <v>1000000000</v>
      </c>
      <c r="X181" s="27">
        <f>IF(AND(V181=1,LEFT(Control_Achizitii!$E181,4)="Fact",NOT(ISNUMBER(Control_Achizitii!$P181))),1,0)</f>
        <v>0</v>
      </c>
      <c r="Y181" s="27">
        <f>IF(V181=0,0,IF(Control_Achizitii!$J181="DOSAR COMPLET",1,IF(LEFT(Control_Achizitii!$J181,9)="INCOMPLET",2,3)))</f>
        <v>0</v>
      </c>
      <c r="Z181" s="27"/>
      <c r="AA181" s="27"/>
      <c r="AB181" s="27"/>
      <c r="AC181" s="27"/>
      <c r="AD181" s="27"/>
      <c r="AE181" s="27"/>
      <c r="AF181" s="27"/>
      <c r="AG181" s="27"/>
      <c r="AH181" s="27">
        <f>IF(AND(V181=1,Control_Achizitii!$J181="DOSAR COMPLET",Control_Achizitii!$K181&lt;&gt;""),1,0)</f>
        <v>0</v>
      </c>
    </row>
    <row r="182" spans="1:34">
      <c r="A182" s="27"/>
      <c r="B182" s="27"/>
      <c r="C182" s="27"/>
      <c r="D182" s="27"/>
      <c r="E182" s="27"/>
      <c r="F182" s="27"/>
      <c r="G182" s="27"/>
      <c r="H182" s="27"/>
      <c r="I182" s="27"/>
      <c r="J182" s="27"/>
      <c r="K182" s="27"/>
      <c r="L182" s="27"/>
      <c r="M182" s="27"/>
      <c r="N182" s="27"/>
      <c r="O182" s="27"/>
      <c r="P182" s="27"/>
      <c r="Q182" s="27"/>
      <c r="R182" s="27"/>
      <c r="S182" s="27"/>
      <c r="T182" s="27">
        <f>IF(LEFT(Control_Achizitii!$E182,4)="Fact",1,0)</f>
        <v>0</v>
      </c>
      <c r="U182" s="27">
        <f>IF(Control_Achizitii!$C182="",0,IF(ISNUMBER(Control_Achizitii!$B182),0,1))</f>
        <v>0</v>
      </c>
      <c r="V182" s="27">
        <f>IF(Control_Achizitii!$C182="",0,IF($Z$2&lt;&gt;"OK",0,IF(AND(ISNUMBER(Control_Achizitii!$B182),Control_Achizitii!$B182&gt;=$E$5,Control_Achizitii!$B182&lt;$J$5+1,OR($O$5="Toate proiectele",Control_Achizitii!$Q182=$O$5)),1,0)))</f>
        <v>0</v>
      </c>
      <c r="W182" s="27">
        <f>IF(AND(V182=1,OR(Control_Achizitii!$J182&lt;&gt;"DOSAR COMPLET",Control_Achizitii!$K182&lt;&gt;"")),ROW(),1000000000)</f>
        <v>1000000000</v>
      </c>
      <c r="X182" s="27">
        <f>IF(AND(V182=1,LEFT(Control_Achizitii!$E182,4)="Fact",NOT(ISNUMBER(Control_Achizitii!$P182))),1,0)</f>
        <v>0</v>
      </c>
      <c r="Y182" s="27">
        <f>IF(V182=0,0,IF(Control_Achizitii!$J182="DOSAR COMPLET",1,IF(LEFT(Control_Achizitii!$J182,9)="INCOMPLET",2,3)))</f>
        <v>0</v>
      </c>
      <c r="Z182" s="27"/>
      <c r="AA182" s="27"/>
      <c r="AB182" s="27"/>
      <c r="AC182" s="27"/>
      <c r="AD182" s="27"/>
      <c r="AE182" s="27"/>
      <c r="AF182" s="27"/>
      <c r="AG182" s="27"/>
      <c r="AH182" s="27">
        <f>IF(AND(V182=1,Control_Achizitii!$J182="DOSAR COMPLET",Control_Achizitii!$K182&lt;&gt;""),1,0)</f>
        <v>0</v>
      </c>
    </row>
    <row r="183" spans="1:34">
      <c r="A183" s="27"/>
      <c r="B183" s="27"/>
      <c r="C183" s="27"/>
      <c r="D183" s="27"/>
      <c r="E183" s="27"/>
      <c r="F183" s="27"/>
      <c r="G183" s="27"/>
      <c r="H183" s="27"/>
      <c r="I183" s="27"/>
      <c r="J183" s="27"/>
      <c r="K183" s="27"/>
      <c r="L183" s="27"/>
      <c r="M183" s="27"/>
      <c r="N183" s="27"/>
      <c r="O183" s="27"/>
      <c r="P183" s="27"/>
      <c r="Q183" s="27"/>
      <c r="R183" s="27"/>
      <c r="S183" s="27"/>
      <c r="T183" s="27">
        <f>IF(LEFT(Control_Achizitii!$E183,4)="Fact",1,0)</f>
        <v>0</v>
      </c>
      <c r="U183" s="27">
        <f>IF(Control_Achizitii!$C183="",0,IF(ISNUMBER(Control_Achizitii!$B183),0,1))</f>
        <v>0</v>
      </c>
      <c r="V183" s="27">
        <f>IF(Control_Achizitii!$C183="",0,IF($Z$2&lt;&gt;"OK",0,IF(AND(ISNUMBER(Control_Achizitii!$B183),Control_Achizitii!$B183&gt;=$E$5,Control_Achizitii!$B183&lt;$J$5+1,OR($O$5="Toate proiectele",Control_Achizitii!$Q183=$O$5)),1,0)))</f>
        <v>0</v>
      </c>
      <c r="W183" s="27">
        <f>IF(AND(V183=1,OR(Control_Achizitii!$J183&lt;&gt;"DOSAR COMPLET",Control_Achizitii!$K183&lt;&gt;"")),ROW(),1000000000)</f>
        <v>1000000000</v>
      </c>
      <c r="X183" s="27">
        <f>IF(AND(V183=1,LEFT(Control_Achizitii!$E183,4)="Fact",NOT(ISNUMBER(Control_Achizitii!$P183))),1,0)</f>
        <v>0</v>
      </c>
      <c r="Y183" s="27">
        <f>IF(V183=0,0,IF(Control_Achizitii!$J183="DOSAR COMPLET",1,IF(LEFT(Control_Achizitii!$J183,9)="INCOMPLET",2,3)))</f>
        <v>0</v>
      </c>
      <c r="Z183" s="27"/>
      <c r="AA183" s="27"/>
      <c r="AB183" s="27"/>
      <c r="AC183" s="27"/>
      <c r="AD183" s="27"/>
      <c r="AE183" s="27"/>
      <c r="AF183" s="27"/>
      <c r="AG183" s="27"/>
      <c r="AH183" s="27">
        <f>IF(AND(V183=1,Control_Achizitii!$J183="DOSAR COMPLET",Control_Achizitii!$K183&lt;&gt;""),1,0)</f>
        <v>0</v>
      </c>
    </row>
    <row r="184" spans="1:34">
      <c r="A184" s="27"/>
      <c r="B184" s="27"/>
      <c r="C184" s="27"/>
      <c r="D184" s="27"/>
      <c r="E184" s="27"/>
      <c r="F184" s="27"/>
      <c r="G184" s="27"/>
      <c r="H184" s="27"/>
      <c r="I184" s="27"/>
      <c r="J184" s="27"/>
      <c r="K184" s="27"/>
      <c r="L184" s="27"/>
      <c r="M184" s="27"/>
      <c r="N184" s="27"/>
      <c r="O184" s="27"/>
      <c r="P184" s="27"/>
      <c r="Q184" s="27"/>
      <c r="R184" s="27"/>
      <c r="S184" s="27"/>
      <c r="T184" s="27">
        <f>IF(LEFT(Control_Achizitii!$E184,4)="Fact",1,0)</f>
        <v>0</v>
      </c>
      <c r="U184" s="27">
        <f>IF(Control_Achizitii!$C184="",0,IF(ISNUMBER(Control_Achizitii!$B184),0,1))</f>
        <v>0</v>
      </c>
      <c r="V184" s="27">
        <f>IF(Control_Achizitii!$C184="",0,IF($Z$2&lt;&gt;"OK",0,IF(AND(ISNUMBER(Control_Achizitii!$B184),Control_Achizitii!$B184&gt;=$E$5,Control_Achizitii!$B184&lt;$J$5+1,OR($O$5="Toate proiectele",Control_Achizitii!$Q184=$O$5)),1,0)))</f>
        <v>0</v>
      </c>
      <c r="W184" s="27">
        <f>IF(AND(V184=1,OR(Control_Achizitii!$J184&lt;&gt;"DOSAR COMPLET",Control_Achizitii!$K184&lt;&gt;"")),ROW(),1000000000)</f>
        <v>1000000000</v>
      </c>
      <c r="X184" s="27">
        <f>IF(AND(V184=1,LEFT(Control_Achizitii!$E184,4)="Fact",NOT(ISNUMBER(Control_Achizitii!$P184))),1,0)</f>
        <v>0</v>
      </c>
      <c r="Y184" s="27">
        <f>IF(V184=0,0,IF(Control_Achizitii!$J184="DOSAR COMPLET",1,IF(LEFT(Control_Achizitii!$J184,9)="INCOMPLET",2,3)))</f>
        <v>0</v>
      </c>
      <c r="Z184" s="27"/>
      <c r="AA184" s="27"/>
      <c r="AB184" s="27"/>
      <c r="AC184" s="27"/>
      <c r="AD184" s="27"/>
      <c r="AE184" s="27"/>
      <c r="AF184" s="27"/>
      <c r="AG184" s="27"/>
      <c r="AH184" s="27">
        <f>IF(AND(V184=1,Control_Achizitii!$J184="DOSAR COMPLET",Control_Achizitii!$K184&lt;&gt;""),1,0)</f>
        <v>0</v>
      </c>
    </row>
    <row r="185" spans="1:34">
      <c r="A185" s="27"/>
      <c r="B185" s="27"/>
      <c r="C185" s="27"/>
      <c r="D185" s="27"/>
      <c r="E185" s="27"/>
      <c r="F185" s="27"/>
      <c r="G185" s="27"/>
      <c r="H185" s="27"/>
      <c r="I185" s="27"/>
      <c r="J185" s="27"/>
      <c r="K185" s="27"/>
      <c r="L185" s="27"/>
      <c r="M185" s="27"/>
      <c r="N185" s="27"/>
      <c r="O185" s="27"/>
      <c r="P185" s="27"/>
      <c r="Q185" s="27"/>
      <c r="R185" s="27"/>
      <c r="S185" s="27"/>
      <c r="T185" s="27">
        <f>IF(LEFT(Control_Achizitii!$E185,4)="Fact",1,0)</f>
        <v>0</v>
      </c>
      <c r="U185" s="27">
        <f>IF(Control_Achizitii!$C185="",0,IF(ISNUMBER(Control_Achizitii!$B185),0,1))</f>
        <v>0</v>
      </c>
      <c r="V185" s="27">
        <f>IF(Control_Achizitii!$C185="",0,IF($Z$2&lt;&gt;"OK",0,IF(AND(ISNUMBER(Control_Achizitii!$B185),Control_Achizitii!$B185&gt;=$E$5,Control_Achizitii!$B185&lt;$J$5+1,OR($O$5="Toate proiectele",Control_Achizitii!$Q185=$O$5)),1,0)))</f>
        <v>0</v>
      </c>
      <c r="W185" s="27">
        <f>IF(AND(V185=1,OR(Control_Achizitii!$J185&lt;&gt;"DOSAR COMPLET",Control_Achizitii!$K185&lt;&gt;"")),ROW(),1000000000)</f>
        <v>1000000000</v>
      </c>
      <c r="X185" s="27">
        <f>IF(AND(V185=1,LEFT(Control_Achizitii!$E185,4)="Fact",NOT(ISNUMBER(Control_Achizitii!$P185))),1,0)</f>
        <v>0</v>
      </c>
      <c r="Y185" s="27">
        <f>IF(V185=0,0,IF(Control_Achizitii!$J185="DOSAR COMPLET",1,IF(LEFT(Control_Achizitii!$J185,9)="INCOMPLET",2,3)))</f>
        <v>0</v>
      </c>
      <c r="Z185" s="27"/>
      <c r="AA185" s="27"/>
      <c r="AB185" s="27"/>
      <c r="AC185" s="27"/>
      <c r="AD185" s="27"/>
      <c r="AE185" s="27"/>
      <c r="AF185" s="27"/>
      <c r="AG185" s="27"/>
      <c r="AH185" s="27">
        <f>IF(AND(V185=1,Control_Achizitii!$J185="DOSAR COMPLET",Control_Achizitii!$K185&lt;&gt;""),1,0)</f>
        <v>0</v>
      </c>
    </row>
    <row r="186" spans="1:34">
      <c r="A186" s="27"/>
      <c r="B186" s="27"/>
      <c r="C186" s="27"/>
      <c r="D186" s="27"/>
      <c r="E186" s="27"/>
      <c r="F186" s="27"/>
      <c r="G186" s="27"/>
      <c r="H186" s="27"/>
      <c r="I186" s="27"/>
      <c r="J186" s="27"/>
      <c r="K186" s="27"/>
      <c r="L186" s="27"/>
      <c r="M186" s="27"/>
      <c r="N186" s="27"/>
      <c r="O186" s="27"/>
      <c r="P186" s="27"/>
      <c r="Q186" s="27"/>
      <c r="R186" s="27"/>
      <c r="S186" s="27"/>
      <c r="T186" s="27">
        <f>IF(LEFT(Control_Achizitii!$E186,4)="Fact",1,0)</f>
        <v>0</v>
      </c>
      <c r="U186" s="27">
        <f>IF(Control_Achizitii!$C186="",0,IF(ISNUMBER(Control_Achizitii!$B186),0,1))</f>
        <v>0</v>
      </c>
      <c r="V186" s="27">
        <f>IF(Control_Achizitii!$C186="",0,IF($Z$2&lt;&gt;"OK",0,IF(AND(ISNUMBER(Control_Achizitii!$B186),Control_Achizitii!$B186&gt;=$E$5,Control_Achizitii!$B186&lt;$J$5+1,OR($O$5="Toate proiectele",Control_Achizitii!$Q186=$O$5)),1,0)))</f>
        <v>0</v>
      </c>
      <c r="W186" s="27">
        <f>IF(AND(V186=1,OR(Control_Achizitii!$J186&lt;&gt;"DOSAR COMPLET",Control_Achizitii!$K186&lt;&gt;"")),ROW(),1000000000)</f>
        <v>1000000000</v>
      </c>
      <c r="X186" s="27">
        <f>IF(AND(V186=1,LEFT(Control_Achizitii!$E186,4)="Fact",NOT(ISNUMBER(Control_Achizitii!$P186))),1,0)</f>
        <v>0</v>
      </c>
      <c r="Y186" s="27">
        <f>IF(V186=0,0,IF(Control_Achizitii!$J186="DOSAR COMPLET",1,IF(LEFT(Control_Achizitii!$J186,9)="INCOMPLET",2,3)))</f>
        <v>0</v>
      </c>
      <c r="Z186" s="27"/>
      <c r="AA186" s="27"/>
      <c r="AB186" s="27"/>
      <c r="AC186" s="27"/>
      <c r="AD186" s="27"/>
      <c r="AE186" s="27"/>
      <c r="AF186" s="27"/>
      <c r="AG186" s="27"/>
      <c r="AH186" s="27">
        <f>IF(AND(V186=1,Control_Achizitii!$J186="DOSAR COMPLET",Control_Achizitii!$K186&lt;&gt;""),1,0)</f>
        <v>0</v>
      </c>
    </row>
    <row r="187" spans="1:34">
      <c r="A187" s="27"/>
      <c r="B187" s="27"/>
      <c r="C187" s="27"/>
      <c r="D187" s="27"/>
      <c r="E187" s="27"/>
      <c r="F187" s="27"/>
      <c r="G187" s="27"/>
      <c r="H187" s="27"/>
      <c r="I187" s="27"/>
      <c r="J187" s="27"/>
      <c r="K187" s="27"/>
      <c r="L187" s="27"/>
      <c r="M187" s="27"/>
      <c r="N187" s="27"/>
      <c r="O187" s="27"/>
      <c r="P187" s="27"/>
      <c r="Q187" s="27"/>
      <c r="R187" s="27"/>
      <c r="S187" s="27"/>
      <c r="T187" s="27">
        <f>IF(LEFT(Control_Achizitii!$E187,4)="Fact",1,0)</f>
        <v>0</v>
      </c>
      <c r="U187" s="27">
        <f>IF(Control_Achizitii!$C187="",0,IF(ISNUMBER(Control_Achizitii!$B187),0,1))</f>
        <v>0</v>
      </c>
      <c r="V187" s="27">
        <f>IF(Control_Achizitii!$C187="",0,IF($Z$2&lt;&gt;"OK",0,IF(AND(ISNUMBER(Control_Achizitii!$B187),Control_Achizitii!$B187&gt;=$E$5,Control_Achizitii!$B187&lt;$J$5+1,OR($O$5="Toate proiectele",Control_Achizitii!$Q187=$O$5)),1,0)))</f>
        <v>0</v>
      </c>
      <c r="W187" s="27">
        <f>IF(AND(V187=1,OR(Control_Achizitii!$J187&lt;&gt;"DOSAR COMPLET",Control_Achizitii!$K187&lt;&gt;"")),ROW(),1000000000)</f>
        <v>1000000000</v>
      </c>
      <c r="X187" s="27">
        <f>IF(AND(V187=1,LEFT(Control_Achizitii!$E187,4)="Fact",NOT(ISNUMBER(Control_Achizitii!$P187))),1,0)</f>
        <v>0</v>
      </c>
      <c r="Y187" s="27">
        <f>IF(V187=0,0,IF(Control_Achizitii!$J187="DOSAR COMPLET",1,IF(LEFT(Control_Achizitii!$J187,9)="INCOMPLET",2,3)))</f>
        <v>0</v>
      </c>
      <c r="Z187" s="27"/>
      <c r="AA187" s="27"/>
      <c r="AB187" s="27"/>
      <c r="AC187" s="27"/>
      <c r="AD187" s="27"/>
      <c r="AE187" s="27"/>
      <c r="AF187" s="27"/>
      <c r="AG187" s="27"/>
      <c r="AH187" s="27">
        <f>IF(AND(V187=1,Control_Achizitii!$J187="DOSAR COMPLET",Control_Achizitii!$K187&lt;&gt;""),1,0)</f>
        <v>0</v>
      </c>
    </row>
    <row r="188" spans="1:34">
      <c r="A188" s="27"/>
      <c r="B188" s="27"/>
      <c r="C188" s="27"/>
      <c r="D188" s="27"/>
      <c r="E188" s="27"/>
      <c r="F188" s="27"/>
      <c r="G188" s="27"/>
      <c r="H188" s="27"/>
      <c r="I188" s="27"/>
      <c r="J188" s="27"/>
      <c r="K188" s="27"/>
      <c r="L188" s="27"/>
      <c r="M188" s="27"/>
      <c r="N188" s="27"/>
      <c r="O188" s="27"/>
      <c r="P188" s="27"/>
      <c r="Q188" s="27"/>
      <c r="R188" s="27"/>
      <c r="S188" s="27"/>
      <c r="T188" s="27">
        <f>IF(LEFT(Control_Achizitii!$E188,4)="Fact",1,0)</f>
        <v>0</v>
      </c>
      <c r="U188" s="27">
        <f>IF(Control_Achizitii!$C188="",0,IF(ISNUMBER(Control_Achizitii!$B188),0,1))</f>
        <v>0</v>
      </c>
      <c r="V188" s="27">
        <f>IF(Control_Achizitii!$C188="",0,IF($Z$2&lt;&gt;"OK",0,IF(AND(ISNUMBER(Control_Achizitii!$B188),Control_Achizitii!$B188&gt;=$E$5,Control_Achizitii!$B188&lt;$J$5+1,OR($O$5="Toate proiectele",Control_Achizitii!$Q188=$O$5)),1,0)))</f>
        <v>0</v>
      </c>
      <c r="W188" s="27">
        <f>IF(AND(V188=1,OR(Control_Achizitii!$J188&lt;&gt;"DOSAR COMPLET",Control_Achizitii!$K188&lt;&gt;"")),ROW(),1000000000)</f>
        <v>1000000000</v>
      </c>
      <c r="X188" s="27">
        <f>IF(AND(V188=1,LEFT(Control_Achizitii!$E188,4)="Fact",NOT(ISNUMBER(Control_Achizitii!$P188))),1,0)</f>
        <v>0</v>
      </c>
      <c r="Y188" s="27">
        <f>IF(V188=0,0,IF(Control_Achizitii!$J188="DOSAR COMPLET",1,IF(LEFT(Control_Achizitii!$J188,9)="INCOMPLET",2,3)))</f>
        <v>0</v>
      </c>
      <c r="Z188" s="27"/>
      <c r="AA188" s="27"/>
      <c r="AB188" s="27"/>
      <c r="AC188" s="27"/>
      <c r="AD188" s="27"/>
      <c r="AE188" s="27"/>
      <c r="AF188" s="27"/>
      <c r="AG188" s="27"/>
      <c r="AH188" s="27">
        <f>IF(AND(V188=1,Control_Achizitii!$J188="DOSAR COMPLET",Control_Achizitii!$K188&lt;&gt;""),1,0)</f>
        <v>0</v>
      </c>
    </row>
    <row r="189" spans="1:34">
      <c r="A189" s="27"/>
      <c r="B189" s="27"/>
      <c r="C189" s="27"/>
      <c r="D189" s="27"/>
      <c r="E189" s="27"/>
      <c r="F189" s="27"/>
      <c r="G189" s="27"/>
      <c r="H189" s="27"/>
      <c r="I189" s="27"/>
      <c r="J189" s="27"/>
      <c r="K189" s="27"/>
      <c r="L189" s="27"/>
      <c r="M189" s="27"/>
      <c r="N189" s="27"/>
      <c r="O189" s="27"/>
      <c r="P189" s="27"/>
      <c r="Q189" s="27"/>
      <c r="R189" s="27"/>
      <c r="S189" s="27"/>
      <c r="T189" s="27">
        <f>IF(LEFT(Control_Achizitii!$E189,4)="Fact",1,0)</f>
        <v>0</v>
      </c>
      <c r="U189" s="27">
        <f>IF(Control_Achizitii!$C189="",0,IF(ISNUMBER(Control_Achizitii!$B189),0,1))</f>
        <v>0</v>
      </c>
      <c r="V189" s="27">
        <f>IF(Control_Achizitii!$C189="",0,IF($Z$2&lt;&gt;"OK",0,IF(AND(ISNUMBER(Control_Achizitii!$B189),Control_Achizitii!$B189&gt;=$E$5,Control_Achizitii!$B189&lt;$J$5+1,OR($O$5="Toate proiectele",Control_Achizitii!$Q189=$O$5)),1,0)))</f>
        <v>0</v>
      </c>
      <c r="W189" s="27">
        <f>IF(AND(V189=1,OR(Control_Achizitii!$J189&lt;&gt;"DOSAR COMPLET",Control_Achizitii!$K189&lt;&gt;"")),ROW(),1000000000)</f>
        <v>1000000000</v>
      </c>
      <c r="X189" s="27">
        <f>IF(AND(V189=1,LEFT(Control_Achizitii!$E189,4)="Fact",NOT(ISNUMBER(Control_Achizitii!$P189))),1,0)</f>
        <v>0</v>
      </c>
      <c r="Y189" s="27">
        <f>IF(V189=0,0,IF(Control_Achizitii!$J189="DOSAR COMPLET",1,IF(LEFT(Control_Achizitii!$J189,9)="INCOMPLET",2,3)))</f>
        <v>0</v>
      </c>
      <c r="Z189" s="27"/>
      <c r="AA189" s="27"/>
      <c r="AB189" s="27"/>
      <c r="AC189" s="27"/>
      <c r="AD189" s="27"/>
      <c r="AE189" s="27"/>
      <c r="AF189" s="27"/>
      <c r="AG189" s="27"/>
      <c r="AH189" s="27">
        <f>IF(AND(V189=1,Control_Achizitii!$J189="DOSAR COMPLET",Control_Achizitii!$K189&lt;&gt;""),1,0)</f>
        <v>0</v>
      </c>
    </row>
    <row r="190" spans="1:34">
      <c r="A190" s="27"/>
      <c r="B190" s="27"/>
      <c r="C190" s="27"/>
      <c r="D190" s="27"/>
      <c r="E190" s="27"/>
      <c r="F190" s="27"/>
      <c r="G190" s="27"/>
      <c r="H190" s="27"/>
      <c r="I190" s="27"/>
      <c r="J190" s="27"/>
      <c r="K190" s="27"/>
      <c r="L190" s="27"/>
      <c r="M190" s="27"/>
      <c r="N190" s="27"/>
      <c r="O190" s="27"/>
      <c r="P190" s="27"/>
      <c r="Q190" s="27"/>
      <c r="R190" s="27"/>
      <c r="S190" s="27"/>
      <c r="T190" s="27">
        <f>IF(LEFT(Control_Achizitii!$E190,4)="Fact",1,0)</f>
        <v>0</v>
      </c>
      <c r="U190" s="27">
        <f>IF(Control_Achizitii!$C190="",0,IF(ISNUMBER(Control_Achizitii!$B190),0,1))</f>
        <v>0</v>
      </c>
      <c r="V190" s="27">
        <f>IF(Control_Achizitii!$C190="",0,IF($Z$2&lt;&gt;"OK",0,IF(AND(ISNUMBER(Control_Achizitii!$B190),Control_Achizitii!$B190&gt;=$E$5,Control_Achizitii!$B190&lt;$J$5+1,OR($O$5="Toate proiectele",Control_Achizitii!$Q190=$O$5)),1,0)))</f>
        <v>0</v>
      </c>
      <c r="W190" s="27">
        <f>IF(AND(V190=1,OR(Control_Achizitii!$J190&lt;&gt;"DOSAR COMPLET",Control_Achizitii!$K190&lt;&gt;"")),ROW(),1000000000)</f>
        <v>1000000000</v>
      </c>
      <c r="X190" s="27">
        <f>IF(AND(V190=1,LEFT(Control_Achizitii!$E190,4)="Fact",NOT(ISNUMBER(Control_Achizitii!$P190))),1,0)</f>
        <v>0</v>
      </c>
      <c r="Y190" s="27">
        <f>IF(V190=0,0,IF(Control_Achizitii!$J190="DOSAR COMPLET",1,IF(LEFT(Control_Achizitii!$J190,9)="INCOMPLET",2,3)))</f>
        <v>0</v>
      </c>
      <c r="Z190" s="27"/>
      <c r="AA190" s="27"/>
      <c r="AB190" s="27"/>
      <c r="AC190" s="27"/>
      <c r="AD190" s="27"/>
      <c r="AE190" s="27"/>
      <c r="AF190" s="27"/>
      <c r="AG190" s="27"/>
      <c r="AH190" s="27">
        <f>IF(AND(V190=1,Control_Achizitii!$J190="DOSAR COMPLET",Control_Achizitii!$K190&lt;&gt;""),1,0)</f>
        <v>0</v>
      </c>
    </row>
    <row r="191" spans="1:34">
      <c r="A191" s="27"/>
      <c r="B191" s="27"/>
      <c r="C191" s="27"/>
      <c r="D191" s="27"/>
      <c r="E191" s="27"/>
      <c r="F191" s="27"/>
      <c r="G191" s="27"/>
      <c r="H191" s="27"/>
      <c r="I191" s="27"/>
      <c r="J191" s="27"/>
      <c r="K191" s="27"/>
      <c r="L191" s="27"/>
      <c r="M191" s="27"/>
      <c r="N191" s="27"/>
      <c r="O191" s="27"/>
      <c r="P191" s="27"/>
      <c r="Q191" s="27"/>
      <c r="R191" s="27"/>
      <c r="S191" s="27"/>
      <c r="T191" s="27">
        <f>IF(LEFT(Control_Achizitii!$E191,4)="Fact",1,0)</f>
        <v>0</v>
      </c>
      <c r="U191" s="27">
        <f>IF(Control_Achizitii!$C191="",0,IF(ISNUMBER(Control_Achizitii!$B191),0,1))</f>
        <v>0</v>
      </c>
      <c r="V191" s="27">
        <f>IF(Control_Achizitii!$C191="",0,IF($Z$2&lt;&gt;"OK",0,IF(AND(ISNUMBER(Control_Achizitii!$B191),Control_Achizitii!$B191&gt;=$E$5,Control_Achizitii!$B191&lt;$J$5+1,OR($O$5="Toate proiectele",Control_Achizitii!$Q191=$O$5)),1,0)))</f>
        <v>0</v>
      </c>
      <c r="W191" s="27">
        <f>IF(AND(V191=1,OR(Control_Achizitii!$J191&lt;&gt;"DOSAR COMPLET",Control_Achizitii!$K191&lt;&gt;"")),ROW(),1000000000)</f>
        <v>1000000000</v>
      </c>
      <c r="X191" s="27">
        <f>IF(AND(V191=1,LEFT(Control_Achizitii!$E191,4)="Fact",NOT(ISNUMBER(Control_Achizitii!$P191))),1,0)</f>
        <v>0</v>
      </c>
      <c r="Y191" s="27">
        <f>IF(V191=0,0,IF(Control_Achizitii!$J191="DOSAR COMPLET",1,IF(LEFT(Control_Achizitii!$J191,9)="INCOMPLET",2,3)))</f>
        <v>0</v>
      </c>
      <c r="Z191" s="27"/>
      <c r="AA191" s="27"/>
      <c r="AB191" s="27"/>
      <c r="AC191" s="27"/>
      <c r="AD191" s="27"/>
      <c r="AE191" s="27"/>
      <c r="AF191" s="27"/>
      <c r="AG191" s="27"/>
      <c r="AH191" s="27">
        <f>IF(AND(V191=1,Control_Achizitii!$J191="DOSAR COMPLET",Control_Achizitii!$K191&lt;&gt;""),1,0)</f>
        <v>0</v>
      </c>
    </row>
    <row r="192" spans="1:34">
      <c r="A192" s="27"/>
      <c r="B192" s="27"/>
      <c r="C192" s="27"/>
      <c r="D192" s="27"/>
      <c r="E192" s="27"/>
      <c r="F192" s="27"/>
      <c r="G192" s="27"/>
      <c r="H192" s="27"/>
      <c r="I192" s="27"/>
      <c r="J192" s="27"/>
      <c r="K192" s="27"/>
      <c r="L192" s="27"/>
      <c r="M192" s="27"/>
      <c r="N192" s="27"/>
      <c r="O192" s="27"/>
      <c r="P192" s="27"/>
      <c r="Q192" s="27"/>
      <c r="R192" s="27"/>
      <c r="S192" s="27"/>
      <c r="T192" s="27">
        <f>IF(LEFT(Control_Achizitii!$E192,4)="Fact",1,0)</f>
        <v>0</v>
      </c>
      <c r="U192" s="27">
        <f>IF(Control_Achizitii!$C192="",0,IF(ISNUMBER(Control_Achizitii!$B192),0,1))</f>
        <v>0</v>
      </c>
      <c r="V192" s="27">
        <f>IF(Control_Achizitii!$C192="",0,IF($Z$2&lt;&gt;"OK",0,IF(AND(ISNUMBER(Control_Achizitii!$B192),Control_Achizitii!$B192&gt;=$E$5,Control_Achizitii!$B192&lt;$J$5+1,OR($O$5="Toate proiectele",Control_Achizitii!$Q192=$O$5)),1,0)))</f>
        <v>0</v>
      </c>
      <c r="W192" s="27">
        <f>IF(AND(V192=1,OR(Control_Achizitii!$J192&lt;&gt;"DOSAR COMPLET",Control_Achizitii!$K192&lt;&gt;"")),ROW(),1000000000)</f>
        <v>1000000000</v>
      </c>
      <c r="X192" s="27">
        <f>IF(AND(V192=1,LEFT(Control_Achizitii!$E192,4)="Fact",NOT(ISNUMBER(Control_Achizitii!$P192))),1,0)</f>
        <v>0</v>
      </c>
      <c r="Y192" s="27">
        <f>IF(V192=0,0,IF(Control_Achizitii!$J192="DOSAR COMPLET",1,IF(LEFT(Control_Achizitii!$J192,9)="INCOMPLET",2,3)))</f>
        <v>0</v>
      </c>
      <c r="Z192" s="27"/>
      <c r="AA192" s="27"/>
      <c r="AB192" s="27"/>
      <c r="AC192" s="27"/>
      <c r="AD192" s="27"/>
      <c r="AE192" s="27"/>
      <c r="AF192" s="27"/>
      <c r="AG192" s="27"/>
      <c r="AH192" s="27">
        <f>IF(AND(V192=1,Control_Achizitii!$J192="DOSAR COMPLET",Control_Achizitii!$K192&lt;&gt;""),1,0)</f>
        <v>0</v>
      </c>
    </row>
    <row r="193" spans="1:34">
      <c r="A193" s="27"/>
      <c r="B193" s="27"/>
      <c r="C193" s="27"/>
      <c r="D193" s="27"/>
      <c r="E193" s="27"/>
      <c r="F193" s="27"/>
      <c r="G193" s="27"/>
      <c r="H193" s="27"/>
      <c r="I193" s="27"/>
      <c r="J193" s="27"/>
      <c r="K193" s="27"/>
      <c r="L193" s="27"/>
      <c r="M193" s="27"/>
      <c r="N193" s="27"/>
      <c r="O193" s="27"/>
      <c r="P193" s="27"/>
      <c r="Q193" s="27"/>
      <c r="R193" s="27"/>
      <c r="S193" s="27"/>
      <c r="T193" s="27">
        <f>IF(LEFT(Control_Achizitii!$E193,4)="Fact",1,0)</f>
        <v>0</v>
      </c>
      <c r="U193" s="27">
        <f>IF(Control_Achizitii!$C193="",0,IF(ISNUMBER(Control_Achizitii!$B193),0,1))</f>
        <v>0</v>
      </c>
      <c r="V193" s="27">
        <f>IF(Control_Achizitii!$C193="",0,IF($Z$2&lt;&gt;"OK",0,IF(AND(ISNUMBER(Control_Achizitii!$B193),Control_Achizitii!$B193&gt;=$E$5,Control_Achizitii!$B193&lt;$J$5+1,OR($O$5="Toate proiectele",Control_Achizitii!$Q193=$O$5)),1,0)))</f>
        <v>0</v>
      </c>
      <c r="W193" s="27">
        <f>IF(AND(V193=1,OR(Control_Achizitii!$J193&lt;&gt;"DOSAR COMPLET",Control_Achizitii!$K193&lt;&gt;"")),ROW(),1000000000)</f>
        <v>1000000000</v>
      </c>
      <c r="X193" s="27">
        <f>IF(AND(V193=1,LEFT(Control_Achizitii!$E193,4)="Fact",NOT(ISNUMBER(Control_Achizitii!$P193))),1,0)</f>
        <v>0</v>
      </c>
      <c r="Y193" s="27">
        <f>IF(V193=0,0,IF(Control_Achizitii!$J193="DOSAR COMPLET",1,IF(LEFT(Control_Achizitii!$J193,9)="INCOMPLET",2,3)))</f>
        <v>0</v>
      </c>
      <c r="Z193" s="27"/>
      <c r="AA193" s="27"/>
      <c r="AB193" s="27"/>
      <c r="AC193" s="27"/>
      <c r="AD193" s="27"/>
      <c r="AE193" s="27"/>
      <c r="AF193" s="27"/>
      <c r="AG193" s="27"/>
      <c r="AH193" s="27">
        <f>IF(AND(V193=1,Control_Achizitii!$J193="DOSAR COMPLET",Control_Achizitii!$K193&lt;&gt;""),1,0)</f>
        <v>0</v>
      </c>
    </row>
    <row r="194" spans="1:34">
      <c r="A194" s="27"/>
      <c r="B194" s="27"/>
      <c r="C194" s="27"/>
      <c r="D194" s="27"/>
      <c r="E194" s="27"/>
      <c r="F194" s="27"/>
      <c r="G194" s="27"/>
      <c r="H194" s="27"/>
      <c r="I194" s="27"/>
      <c r="J194" s="27"/>
      <c r="K194" s="27"/>
      <c r="L194" s="27"/>
      <c r="M194" s="27"/>
      <c r="N194" s="27"/>
      <c r="O194" s="27"/>
      <c r="P194" s="27"/>
      <c r="Q194" s="27"/>
      <c r="R194" s="27"/>
      <c r="S194" s="27"/>
      <c r="T194" s="27">
        <f>IF(LEFT(Control_Achizitii!$E194,4)="Fact",1,0)</f>
        <v>0</v>
      </c>
      <c r="U194" s="27">
        <f>IF(Control_Achizitii!$C194="",0,IF(ISNUMBER(Control_Achizitii!$B194),0,1))</f>
        <v>0</v>
      </c>
      <c r="V194" s="27">
        <f>IF(Control_Achizitii!$C194="",0,IF($Z$2&lt;&gt;"OK",0,IF(AND(ISNUMBER(Control_Achizitii!$B194),Control_Achizitii!$B194&gt;=$E$5,Control_Achizitii!$B194&lt;$J$5+1,OR($O$5="Toate proiectele",Control_Achizitii!$Q194=$O$5)),1,0)))</f>
        <v>0</v>
      </c>
      <c r="W194" s="27">
        <f>IF(AND(V194=1,OR(Control_Achizitii!$J194&lt;&gt;"DOSAR COMPLET",Control_Achizitii!$K194&lt;&gt;"")),ROW(),1000000000)</f>
        <v>1000000000</v>
      </c>
      <c r="X194" s="27">
        <f>IF(AND(V194=1,LEFT(Control_Achizitii!$E194,4)="Fact",NOT(ISNUMBER(Control_Achizitii!$P194))),1,0)</f>
        <v>0</v>
      </c>
      <c r="Y194" s="27">
        <f>IF(V194=0,0,IF(Control_Achizitii!$J194="DOSAR COMPLET",1,IF(LEFT(Control_Achizitii!$J194,9)="INCOMPLET",2,3)))</f>
        <v>0</v>
      </c>
      <c r="Z194" s="27"/>
      <c r="AA194" s="27"/>
      <c r="AB194" s="27"/>
      <c r="AC194" s="27"/>
      <c r="AD194" s="27"/>
      <c r="AE194" s="27"/>
      <c r="AF194" s="27"/>
      <c r="AG194" s="27"/>
      <c r="AH194" s="27">
        <f>IF(AND(V194=1,Control_Achizitii!$J194="DOSAR COMPLET",Control_Achizitii!$K194&lt;&gt;""),1,0)</f>
        <v>0</v>
      </c>
    </row>
    <row r="195" spans="1:34">
      <c r="A195" s="27"/>
      <c r="B195" s="27"/>
      <c r="C195" s="27"/>
      <c r="D195" s="27"/>
      <c r="E195" s="27"/>
      <c r="F195" s="27"/>
      <c r="G195" s="27"/>
      <c r="H195" s="27"/>
      <c r="I195" s="27"/>
      <c r="J195" s="27"/>
      <c r="K195" s="27"/>
      <c r="L195" s="27"/>
      <c r="M195" s="27"/>
      <c r="N195" s="27"/>
      <c r="O195" s="27"/>
      <c r="P195" s="27"/>
      <c r="Q195" s="27"/>
      <c r="R195" s="27"/>
      <c r="S195" s="27"/>
      <c r="T195" s="27">
        <f>IF(LEFT(Control_Achizitii!$E195,4)="Fact",1,0)</f>
        <v>0</v>
      </c>
      <c r="U195" s="27">
        <f>IF(Control_Achizitii!$C195="",0,IF(ISNUMBER(Control_Achizitii!$B195),0,1))</f>
        <v>0</v>
      </c>
      <c r="V195" s="27">
        <f>IF(Control_Achizitii!$C195="",0,IF($Z$2&lt;&gt;"OK",0,IF(AND(ISNUMBER(Control_Achizitii!$B195),Control_Achizitii!$B195&gt;=$E$5,Control_Achizitii!$B195&lt;$J$5+1,OR($O$5="Toate proiectele",Control_Achizitii!$Q195=$O$5)),1,0)))</f>
        <v>0</v>
      </c>
      <c r="W195" s="27">
        <f>IF(AND(V195=1,OR(Control_Achizitii!$J195&lt;&gt;"DOSAR COMPLET",Control_Achizitii!$K195&lt;&gt;"")),ROW(),1000000000)</f>
        <v>1000000000</v>
      </c>
      <c r="X195" s="27">
        <f>IF(AND(V195=1,LEFT(Control_Achizitii!$E195,4)="Fact",NOT(ISNUMBER(Control_Achizitii!$P195))),1,0)</f>
        <v>0</v>
      </c>
      <c r="Y195" s="27">
        <f>IF(V195=0,0,IF(Control_Achizitii!$J195="DOSAR COMPLET",1,IF(LEFT(Control_Achizitii!$J195,9)="INCOMPLET",2,3)))</f>
        <v>0</v>
      </c>
      <c r="Z195" s="27"/>
      <c r="AA195" s="27"/>
      <c r="AB195" s="27"/>
      <c r="AC195" s="27"/>
      <c r="AD195" s="27"/>
      <c r="AE195" s="27"/>
      <c r="AF195" s="27"/>
      <c r="AG195" s="27"/>
      <c r="AH195" s="27">
        <f>IF(AND(V195=1,Control_Achizitii!$J195="DOSAR COMPLET",Control_Achizitii!$K195&lt;&gt;""),1,0)</f>
        <v>0</v>
      </c>
    </row>
    <row r="196" spans="1:34">
      <c r="A196" s="27"/>
      <c r="B196" s="27"/>
      <c r="C196" s="27"/>
      <c r="D196" s="27"/>
      <c r="E196" s="27"/>
      <c r="F196" s="27"/>
      <c r="G196" s="27"/>
      <c r="H196" s="27"/>
      <c r="I196" s="27"/>
      <c r="J196" s="27"/>
      <c r="K196" s="27"/>
      <c r="L196" s="27"/>
      <c r="M196" s="27"/>
      <c r="N196" s="27"/>
      <c r="O196" s="27"/>
      <c r="P196" s="27"/>
      <c r="Q196" s="27"/>
      <c r="R196" s="27"/>
      <c r="S196" s="27"/>
      <c r="T196" s="27">
        <f>IF(LEFT(Control_Achizitii!$E196,4)="Fact",1,0)</f>
        <v>0</v>
      </c>
      <c r="U196" s="27">
        <f>IF(Control_Achizitii!$C196="",0,IF(ISNUMBER(Control_Achizitii!$B196),0,1))</f>
        <v>0</v>
      </c>
      <c r="V196" s="27">
        <f>IF(Control_Achizitii!$C196="",0,IF($Z$2&lt;&gt;"OK",0,IF(AND(ISNUMBER(Control_Achizitii!$B196),Control_Achizitii!$B196&gt;=$E$5,Control_Achizitii!$B196&lt;$J$5+1,OR($O$5="Toate proiectele",Control_Achizitii!$Q196=$O$5)),1,0)))</f>
        <v>0</v>
      </c>
      <c r="W196" s="27">
        <f>IF(AND(V196=1,OR(Control_Achizitii!$J196&lt;&gt;"DOSAR COMPLET",Control_Achizitii!$K196&lt;&gt;"")),ROW(),1000000000)</f>
        <v>1000000000</v>
      </c>
      <c r="X196" s="27">
        <f>IF(AND(V196=1,LEFT(Control_Achizitii!$E196,4)="Fact",NOT(ISNUMBER(Control_Achizitii!$P196))),1,0)</f>
        <v>0</v>
      </c>
      <c r="Y196" s="27">
        <f>IF(V196=0,0,IF(Control_Achizitii!$J196="DOSAR COMPLET",1,IF(LEFT(Control_Achizitii!$J196,9)="INCOMPLET",2,3)))</f>
        <v>0</v>
      </c>
      <c r="Z196" s="27"/>
      <c r="AA196" s="27"/>
      <c r="AB196" s="27"/>
      <c r="AC196" s="27"/>
      <c r="AD196" s="27"/>
      <c r="AE196" s="27"/>
      <c r="AF196" s="27"/>
      <c r="AG196" s="27"/>
      <c r="AH196" s="27">
        <f>IF(AND(V196=1,Control_Achizitii!$J196="DOSAR COMPLET",Control_Achizitii!$K196&lt;&gt;""),1,0)</f>
        <v>0</v>
      </c>
    </row>
    <row r="197" spans="1:34">
      <c r="A197" s="27"/>
      <c r="B197" s="27"/>
      <c r="C197" s="27"/>
      <c r="D197" s="27"/>
      <c r="E197" s="27"/>
      <c r="F197" s="27"/>
      <c r="G197" s="27"/>
      <c r="H197" s="27"/>
      <c r="I197" s="27"/>
      <c r="J197" s="27"/>
      <c r="K197" s="27"/>
      <c r="L197" s="27"/>
      <c r="M197" s="27"/>
      <c r="N197" s="27"/>
      <c r="O197" s="27"/>
      <c r="P197" s="27"/>
      <c r="Q197" s="27"/>
      <c r="R197" s="27"/>
      <c r="S197" s="27"/>
      <c r="T197" s="27">
        <f>IF(LEFT(Control_Achizitii!$E197,4)="Fact",1,0)</f>
        <v>0</v>
      </c>
      <c r="U197" s="27">
        <f>IF(Control_Achizitii!$C197="",0,IF(ISNUMBER(Control_Achizitii!$B197),0,1))</f>
        <v>0</v>
      </c>
      <c r="V197" s="27">
        <f>IF(Control_Achizitii!$C197="",0,IF($Z$2&lt;&gt;"OK",0,IF(AND(ISNUMBER(Control_Achizitii!$B197),Control_Achizitii!$B197&gt;=$E$5,Control_Achizitii!$B197&lt;$J$5+1,OR($O$5="Toate proiectele",Control_Achizitii!$Q197=$O$5)),1,0)))</f>
        <v>0</v>
      </c>
      <c r="W197" s="27">
        <f>IF(AND(V197=1,OR(Control_Achizitii!$J197&lt;&gt;"DOSAR COMPLET",Control_Achizitii!$K197&lt;&gt;"")),ROW(),1000000000)</f>
        <v>1000000000</v>
      </c>
      <c r="X197" s="27">
        <f>IF(AND(V197=1,LEFT(Control_Achizitii!$E197,4)="Fact",NOT(ISNUMBER(Control_Achizitii!$P197))),1,0)</f>
        <v>0</v>
      </c>
      <c r="Y197" s="27">
        <f>IF(V197=0,0,IF(Control_Achizitii!$J197="DOSAR COMPLET",1,IF(LEFT(Control_Achizitii!$J197,9)="INCOMPLET",2,3)))</f>
        <v>0</v>
      </c>
      <c r="Z197" s="27"/>
      <c r="AA197" s="27"/>
      <c r="AB197" s="27"/>
      <c r="AC197" s="27"/>
      <c r="AD197" s="27"/>
      <c r="AE197" s="27"/>
      <c r="AF197" s="27"/>
      <c r="AG197" s="27"/>
      <c r="AH197" s="27">
        <f>IF(AND(V197=1,Control_Achizitii!$J197="DOSAR COMPLET",Control_Achizitii!$K197&lt;&gt;""),1,0)</f>
        <v>0</v>
      </c>
    </row>
    <row r="198" spans="1:34">
      <c r="A198" s="27"/>
      <c r="B198" s="27"/>
      <c r="C198" s="27"/>
      <c r="D198" s="27"/>
      <c r="E198" s="27"/>
      <c r="F198" s="27"/>
      <c r="G198" s="27"/>
      <c r="H198" s="27"/>
      <c r="I198" s="27"/>
      <c r="J198" s="27"/>
      <c r="K198" s="27"/>
      <c r="L198" s="27"/>
      <c r="M198" s="27"/>
      <c r="N198" s="27"/>
      <c r="O198" s="27"/>
      <c r="P198" s="27"/>
      <c r="Q198" s="27"/>
      <c r="R198" s="27"/>
      <c r="S198" s="27"/>
      <c r="T198" s="27">
        <f>IF(LEFT(Control_Achizitii!$E198,4)="Fact",1,0)</f>
        <v>0</v>
      </c>
      <c r="U198" s="27">
        <f>IF(Control_Achizitii!$C198="",0,IF(ISNUMBER(Control_Achizitii!$B198),0,1))</f>
        <v>0</v>
      </c>
      <c r="V198" s="27">
        <f>IF(Control_Achizitii!$C198="",0,IF($Z$2&lt;&gt;"OK",0,IF(AND(ISNUMBER(Control_Achizitii!$B198),Control_Achizitii!$B198&gt;=$E$5,Control_Achizitii!$B198&lt;$J$5+1,OR($O$5="Toate proiectele",Control_Achizitii!$Q198=$O$5)),1,0)))</f>
        <v>0</v>
      </c>
      <c r="W198" s="27">
        <f>IF(AND(V198=1,OR(Control_Achizitii!$J198&lt;&gt;"DOSAR COMPLET",Control_Achizitii!$K198&lt;&gt;"")),ROW(),1000000000)</f>
        <v>1000000000</v>
      </c>
      <c r="X198" s="27">
        <f>IF(AND(V198=1,LEFT(Control_Achizitii!$E198,4)="Fact",NOT(ISNUMBER(Control_Achizitii!$P198))),1,0)</f>
        <v>0</v>
      </c>
      <c r="Y198" s="27">
        <f>IF(V198=0,0,IF(Control_Achizitii!$J198="DOSAR COMPLET",1,IF(LEFT(Control_Achizitii!$J198,9)="INCOMPLET",2,3)))</f>
        <v>0</v>
      </c>
      <c r="Z198" s="27"/>
      <c r="AA198" s="27"/>
      <c r="AB198" s="27"/>
      <c r="AC198" s="27"/>
      <c r="AD198" s="27"/>
      <c r="AE198" s="27"/>
      <c r="AF198" s="27"/>
      <c r="AG198" s="27"/>
      <c r="AH198" s="27">
        <f>IF(AND(V198=1,Control_Achizitii!$J198="DOSAR COMPLET",Control_Achizitii!$K198&lt;&gt;""),1,0)</f>
        <v>0</v>
      </c>
    </row>
    <row r="199" spans="1:34">
      <c r="A199" s="27"/>
      <c r="B199" s="27"/>
      <c r="C199" s="27"/>
      <c r="D199" s="27"/>
      <c r="E199" s="27"/>
      <c r="F199" s="27"/>
      <c r="G199" s="27"/>
      <c r="H199" s="27"/>
      <c r="I199" s="27"/>
      <c r="J199" s="27"/>
      <c r="K199" s="27"/>
      <c r="L199" s="27"/>
      <c r="M199" s="27"/>
      <c r="N199" s="27"/>
      <c r="O199" s="27"/>
      <c r="P199" s="27"/>
      <c r="Q199" s="27"/>
      <c r="R199" s="27"/>
      <c r="S199" s="27"/>
      <c r="T199" s="27">
        <f>IF(LEFT(Control_Achizitii!$E199,4)="Fact",1,0)</f>
        <v>0</v>
      </c>
      <c r="U199" s="27">
        <f>IF(Control_Achizitii!$C199="",0,IF(ISNUMBER(Control_Achizitii!$B199),0,1))</f>
        <v>0</v>
      </c>
      <c r="V199" s="27">
        <f>IF(Control_Achizitii!$C199="",0,IF($Z$2&lt;&gt;"OK",0,IF(AND(ISNUMBER(Control_Achizitii!$B199),Control_Achizitii!$B199&gt;=$E$5,Control_Achizitii!$B199&lt;$J$5+1,OR($O$5="Toate proiectele",Control_Achizitii!$Q199=$O$5)),1,0)))</f>
        <v>0</v>
      </c>
      <c r="W199" s="27">
        <f>IF(AND(V199=1,OR(Control_Achizitii!$J199&lt;&gt;"DOSAR COMPLET",Control_Achizitii!$K199&lt;&gt;"")),ROW(),1000000000)</f>
        <v>1000000000</v>
      </c>
      <c r="X199" s="27">
        <f>IF(AND(V199=1,LEFT(Control_Achizitii!$E199,4)="Fact",NOT(ISNUMBER(Control_Achizitii!$P199))),1,0)</f>
        <v>0</v>
      </c>
      <c r="Y199" s="27">
        <f>IF(V199=0,0,IF(Control_Achizitii!$J199="DOSAR COMPLET",1,IF(LEFT(Control_Achizitii!$J199,9)="INCOMPLET",2,3)))</f>
        <v>0</v>
      </c>
      <c r="Z199" s="27"/>
      <c r="AA199" s="27"/>
      <c r="AB199" s="27"/>
      <c r="AC199" s="27"/>
      <c r="AD199" s="27"/>
      <c r="AE199" s="27"/>
      <c r="AF199" s="27"/>
      <c r="AG199" s="27"/>
      <c r="AH199" s="27">
        <f>IF(AND(V199=1,Control_Achizitii!$J199="DOSAR COMPLET",Control_Achizitii!$K199&lt;&gt;""),1,0)</f>
        <v>0</v>
      </c>
    </row>
    <row r="200" spans="1:34">
      <c r="A200" s="27"/>
      <c r="B200" s="27"/>
      <c r="C200" s="27"/>
      <c r="D200" s="27"/>
      <c r="E200" s="27"/>
      <c r="F200" s="27"/>
      <c r="G200" s="27"/>
      <c r="H200" s="27"/>
      <c r="I200" s="27"/>
      <c r="J200" s="27"/>
      <c r="K200" s="27"/>
      <c r="L200" s="27"/>
      <c r="M200" s="27"/>
      <c r="N200" s="27"/>
      <c r="O200" s="27"/>
      <c r="P200" s="27"/>
      <c r="Q200" s="27"/>
      <c r="R200" s="27"/>
      <c r="S200" s="27"/>
      <c r="T200" s="27">
        <f>IF(LEFT(Control_Achizitii!$E200,4)="Fact",1,0)</f>
        <v>0</v>
      </c>
      <c r="U200" s="27">
        <f>IF(Control_Achizitii!$C200="",0,IF(ISNUMBER(Control_Achizitii!$B200),0,1))</f>
        <v>0</v>
      </c>
      <c r="V200" s="27">
        <f>IF(Control_Achizitii!$C200="",0,IF($Z$2&lt;&gt;"OK",0,IF(AND(ISNUMBER(Control_Achizitii!$B200),Control_Achizitii!$B200&gt;=$E$5,Control_Achizitii!$B200&lt;$J$5+1,OR($O$5="Toate proiectele",Control_Achizitii!$Q200=$O$5)),1,0)))</f>
        <v>0</v>
      </c>
      <c r="W200" s="27">
        <f>IF(AND(V200=1,OR(Control_Achizitii!$J200&lt;&gt;"DOSAR COMPLET",Control_Achizitii!$K200&lt;&gt;"")),ROW(),1000000000)</f>
        <v>1000000000</v>
      </c>
      <c r="X200" s="27">
        <f>IF(AND(V200=1,LEFT(Control_Achizitii!$E200,4)="Fact",NOT(ISNUMBER(Control_Achizitii!$P200))),1,0)</f>
        <v>0</v>
      </c>
      <c r="Y200" s="27">
        <f>IF(V200=0,0,IF(Control_Achizitii!$J200="DOSAR COMPLET",1,IF(LEFT(Control_Achizitii!$J200,9)="INCOMPLET",2,3)))</f>
        <v>0</v>
      </c>
      <c r="Z200" s="27"/>
      <c r="AA200" s="27"/>
      <c r="AB200" s="27"/>
      <c r="AC200" s="27"/>
      <c r="AD200" s="27"/>
      <c r="AE200" s="27"/>
      <c r="AF200" s="27"/>
      <c r="AG200" s="27"/>
      <c r="AH200" s="27">
        <f>IF(AND(V200=1,Control_Achizitii!$J200="DOSAR COMPLET",Control_Achizitii!$K200&lt;&gt;""),1,0)</f>
        <v>0</v>
      </c>
    </row>
    <row r="201" spans="1:34">
      <c r="A201" s="27"/>
      <c r="B201" s="27"/>
      <c r="C201" s="27"/>
      <c r="D201" s="27"/>
      <c r="E201" s="27"/>
      <c r="F201" s="27"/>
      <c r="G201" s="27"/>
      <c r="H201" s="27"/>
      <c r="I201" s="27"/>
      <c r="J201" s="27"/>
      <c r="K201" s="27"/>
      <c r="L201" s="27"/>
      <c r="M201" s="27"/>
      <c r="N201" s="27"/>
      <c r="O201" s="27"/>
      <c r="P201" s="27"/>
      <c r="Q201" s="27"/>
      <c r="R201" s="27"/>
      <c r="S201" s="27"/>
      <c r="T201" s="27">
        <f>IF(LEFT(Control_Achizitii!$E201,4)="Fact",1,0)</f>
        <v>0</v>
      </c>
      <c r="U201" s="27">
        <f>IF(Control_Achizitii!$C201="",0,IF(ISNUMBER(Control_Achizitii!$B201),0,1))</f>
        <v>0</v>
      </c>
      <c r="V201" s="27">
        <f>IF(Control_Achizitii!$C201="",0,IF($Z$2&lt;&gt;"OK",0,IF(AND(ISNUMBER(Control_Achizitii!$B201),Control_Achizitii!$B201&gt;=$E$5,Control_Achizitii!$B201&lt;$J$5+1,OR($O$5="Toate proiectele",Control_Achizitii!$Q201=$O$5)),1,0)))</f>
        <v>0</v>
      </c>
      <c r="W201" s="27">
        <f>IF(AND(V201=1,OR(Control_Achizitii!$J201&lt;&gt;"DOSAR COMPLET",Control_Achizitii!$K201&lt;&gt;"")),ROW(),1000000000)</f>
        <v>1000000000</v>
      </c>
      <c r="X201" s="27">
        <f>IF(AND(V201=1,LEFT(Control_Achizitii!$E201,4)="Fact",NOT(ISNUMBER(Control_Achizitii!$P201))),1,0)</f>
        <v>0</v>
      </c>
      <c r="Y201" s="27">
        <f>IF(V201=0,0,IF(Control_Achizitii!$J201="DOSAR COMPLET",1,IF(LEFT(Control_Achizitii!$J201,9)="INCOMPLET",2,3)))</f>
        <v>0</v>
      </c>
      <c r="Z201" s="27"/>
      <c r="AA201" s="27"/>
      <c r="AB201" s="27"/>
      <c r="AC201" s="27"/>
      <c r="AD201" s="27"/>
      <c r="AE201" s="27"/>
      <c r="AF201" s="27"/>
      <c r="AG201" s="27"/>
      <c r="AH201" s="27">
        <f>IF(AND(V201=1,Control_Achizitii!$J201="DOSAR COMPLET",Control_Achizitii!$K201&lt;&gt;""),1,0)</f>
        <v>0</v>
      </c>
    </row>
    <row r="202" spans="1:34">
      <c r="A202" s="27"/>
      <c r="B202" s="27"/>
      <c r="C202" s="27"/>
      <c r="D202" s="27"/>
      <c r="E202" s="27"/>
      <c r="F202" s="27"/>
      <c r="G202" s="27"/>
      <c r="H202" s="27"/>
      <c r="I202" s="27"/>
      <c r="J202" s="27"/>
      <c r="K202" s="27"/>
      <c r="L202" s="27"/>
      <c r="M202" s="27"/>
      <c r="N202" s="27"/>
      <c r="O202" s="27"/>
      <c r="P202" s="27"/>
      <c r="Q202" s="27"/>
      <c r="R202" s="27"/>
      <c r="S202" s="27"/>
      <c r="T202" s="27">
        <f>IF(LEFT(Control_Achizitii!$E202,4)="Fact",1,0)</f>
        <v>0</v>
      </c>
      <c r="U202" s="27">
        <f>IF(Control_Achizitii!$C202="",0,IF(ISNUMBER(Control_Achizitii!$B202),0,1))</f>
        <v>0</v>
      </c>
      <c r="V202" s="27">
        <f>IF(Control_Achizitii!$C202="",0,IF($Z$2&lt;&gt;"OK",0,IF(AND(ISNUMBER(Control_Achizitii!$B202),Control_Achizitii!$B202&gt;=$E$5,Control_Achizitii!$B202&lt;$J$5+1,OR($O$5="Toate proiectele",Control_Achizitii!$Q202=$O$5)),1,0)))</f>
        <v>0</v>
      </c>
      <c r="W202" s="27">
        <f>IF(AND(V202=1,OR(Control_Achizitii!$J202&lt;&gt;"DOSAR COMPLET",Control_Achizitii!$K202&lt;&gt;"")),ROW(),1000000000)</f>
        <v>1000000000</v>
      </c>
      <c r="X202" s="27">
        <f>IF(AND(V202=1,LEFT(Control_Achizitii!$E202,4)="Fact",NOT(ISNUMBER(Control_Achizitii!$P202))),1,0)</f>
        <v>0</v>
      </c>
      <c r="Y202" s="27">
        <f>IF(V202=0,0,IF(Control_Achizitii!$J202="DOSAR COMPLET",1,IF(LEFT(Control_Achizitii!$J202,9)="INCOMPLET",2,3)))</f>
        <v>0</v>
      </c>
      <c r="Z202" s="27"/>
      <c r="AA202" s="27"/>
      <c r="AB202" s="27"/>
      <c r="AC202" s="27"/>
      <c r="AD202" s="27"/>
      <c r="AE202" s="27"/>
      <c r="AF202" s="27"/>
      <c r="AG202" s="27"/>
      <c r="AH202" s="27">
        <f>IF(AND(V202=1,Control_Achizitii!$J202="DOSAR COMPLET",Control_Achizitii!$K202&lt;&gt;""),1,0)</f>
        <v>0</v>
      </c>
    </row>
    <row r="203" spans="1:34">
      <c r="A203" s="27"/>
      <c r="B203" s="27"/>
      <c r="C203" s="27"/>
      <c r="D203" s="27"/>
      <c r="E203" s="27"/>
      <c r="F203" s="27"/>
      <c r="G203" s="27"/>
      <c r="H203" s="27"/>
      <c r="I203" s="27"/>
      <c r="J203" s="27"/>
      <c r="K203" s="27"/>
      <c r="L203" s="27"/>
      <c r="M203" s="27"/>
      <c r="N203" s="27"/>
      <c r="O203" s="27"/>
      <c r="P203" s="27"/>
      <c r="Q203" s="27"/>
      <c r="R203" s="27"/>
      <c r="S203" s="27"/>
      <c r="T203" s="27">
        <f>IF(LEFT(Control_Achizitii!$E203,4)="Fact",1,0)</f>
        <v>0</v>
      </c>
      <c r="U203" s="27">
        <f>IF(Control_Achizitii!$C203="",0,IF(ISNUMBER(Control_Achizitii!$B203),0,1))</f>
        <v>0</v>
      </c>
      <c r="V203" s="27">
        <f>IF(Control_Achizitii!$C203="",0,IF($Z$2&lt;&gt;"OK",0,IF(AND(ISNUMBER(Control_Achizitii!$B203),Control_Achizitii!$B203&gt;=$E$5,Control_Achizitii!$B203&lt;$J$5+1,OR($O$5="Toate proiectele",Control_Achizitii!$Q203=$O$5)),1,0)))</f>
        <v>0</v>
      </c>
      <c r="W203" s="27">
        <f>IF(AND(V203=1,OR(Control_Achizitii!$J203&lt;&gt;"DOSAR COMPLET",Control_Achizitii!$K203&lt;&gt;"")),ROW(),1000000000)</f>
        <v>1000000000</v>
      </c>
      <c r="X203" s="27">
        <f>IF(AND(V203=1,LEFT(Control_Achizitii!$E203,4)="Fact",NOT(ISNUMBER(Control_Achizitii!$P203))),1,0)</f>
        <v>0</v>
      </c>
      <c r="Y203" s="27">
        <f>IF(V203=0,0,IF(Control_Achizitii!$J203="DOSAR COMPLET",1,IF(LEFT(Control_Achizitii!$J203,9)="INCOMPLET",2,3)))</f>
        <v>0</v>
      </c>
      <c r="Z203" s="27"/>
      <c r="AA203" s="27"/>
      <c r="AB203" s="27"/>
      <c r="AC203" s="27"/>
      <c r="AD203" s="27"/>
      <c r="AE203" s="27"/>
      <c r="AF203" s="27"/>
      <c r="AG203" s="27"/>
      <c r="AH203" s="27">
        <f>IF(AND(V203=1,Control_Achizitii!$J203="DOSAR COMPLET",Control_Achizitii!$K203&lt;&gt;""),1,0)</f>
        <v>0</v>
      </c>
    </row>
    <row r="204" spans="1:34">
      <c r="A204" s="27"/>
      <c r="B204" s="27"/>
      <c r="C204" s="27"/>
      <c r="D204" s="27"/>
      <c r="E204" s="27"/>
      <c r="F204" s="27"/>
      <c r="G204" s="27"/>
      <c r="H204" s="27"/>
      <c r="I204" s="27"/>
      <c r="J204" s="27"/>
      <c r="K204" s="27"/>
      <c r="L204" s="27"/>
      <c r="M204" s="27"/>
      <c r="N204" s="27"/>
      <c r="O204" s="27"/>
      <c r="P204" s="27"/>
      <c r="Q204" s="27"/>
      <c r="R204" s="27"/>
      <c r="S204" s="27"/>
      <c r="T204" s="27">
        <f>IF(LEFT(Control_Achizitii!$E204,4)="Fact",1,0)</f>
        <v>0</v>
      </c>
      <c r="U204" s="27">
        <f>IF(Control_Achizitii!$C204="",0,IF(ISNUMBER(Control_Achizitii!$B204),0,1))</f>
        <v>0</v>
      </c>
      <c r="V204" s="27">
        <f>IF(Control_Achizitii!$C204="",0,IF($Z$2&lt;&gt;"OK",0,IF(AND(ISNUMBER(Control_Achizitii!$B204),Control_Achizitii!$B204&gt;=$E$5,Control_Achizitii!$B204&lt;$J$5+1,OR($O$5="Toate proiectele",Control_Achizitii!$Q204=$O$5)),1,0)))</f>
        <v>0</v>
      </c>
      <c r="W204" s="27">
        <f>IF(AND(V204=1,OR(Control_Achizitii!$J204&lt;&gt;"DOSAR COMPLET",Control_Achizitii!$K204&lt;&gt;"")),ROW(),1000000000)</f>
        <v>1000000000</v>
      </c>
      <c r="X204" s="27">
        <f>IF(AND(V204=1,LEFT(Control_Achizitii!$E204,4)="Fact",NOT(ISNUMBER(Control_Achizitii!$P204))),1,0)</f>
        <v>0</v>
      </c>
      <c r="Y204" s="27">
        <f>IF(V204=0,0,IF(Control_Achizitii!$J204="DOSAR COMPLET",1,IF(LEFT(Control_Achizitii!$J204,9)="INCOMPLET",2,3)))</f>
        <v>0</v>
      </c>
      <c r="Z204" s="27"/>
      <c r="AA204" s="27"/>
      <c r="AB204" s="27"/>
      <c r="AC204" s="27"/>
      <c r="AD204" s="27"/>
      <c r="AE204" s="27"/>
      <c r="AF204" s="27"/>
      <c r="AG204" s="27"/>
      <c r="AH204" s="27">
        <f>IF(AND(V204=1,Control_Achizitii!$J204="DOSAR COMPLET",Control_Achizitii!$K204&lt;&gt;""),1,0)</f>
        <v>0</v>
      </c>
    </row>
    <row r="205" spans="1:34">
      <c r="A205" s="27"/>
      <c r="B205" s="27"/>
      <c r="C205" s="27"/>
      <c r="D205" s="27"/>
      <c r="E205" s="27"/>
      <c r="F205" s="27"/>
      <c r="G205" s="27"/>
      <c r="H205" s="27"/>
      <c r="I205" s="27"/>
      <c r="J205" s="27"/>
      <c r="K205" s="27"/>
      <c r="L205" s="27"/>
      <c r="M205" s="27"/>
      <c r="N205" s="27"/>
      <c r="O205" s="27"/>
      <c r="P205" s="27"/>
      <c r="Q205" s="27"/>
      <c r="R205" s="27"/>
      <c r="S205" s="27"/>
      <c r="T205" s="27">
        <f>IF(LEFT(Control_Achizitii!$E205,4)="Fact",1,0)</f>
        <v>0</v>
      </c>
      <c r="U205" s="27">
        <f>IF(Control_Achizitii!$C205="",0,IF(ISNUMBER(Control_Achizitii!$B205),0,1))</f>
        <v>0</v>
      </c>
      <c r="V205" s="27">
        <f>IF(Control_Achizitii!$C205="",0,IF($Z$2&lt;&gt;"OK",0,IF(AND(ISNUMBER(Control_Achizitii!$B205),Control_Achizitii!$B205&gt;=$E$5,Control_Achizitii!$B205&lt;$J$5+1,OR($O$5="Toate proiectele",Control_Achizitii!$Q205=$O$5)),1,0)))</f>
        <v>0</v>
      </c>
      <c r="W205" s="27">
        <f>IF(AND(V205=1,OR(Control_Achizitii!$J205&lt;&gt;"DOSAR COMPLET",Control_Achizitii!$K205&lt;&gt;"")),ROW(),1000000000)</f>
        <v>1000000000</v>
      </c>
      <c r="X205" s="27">
        <f>IF(AND(V205=1,LEFT(Control_Achizitii!$E205,4)="Fact",NOT(ISNUMBER(Control_Achizitii!$P205))),1,0)</f>
        <v>0</v>
      </c>
      <c r="Y205" s="27">
        <f>IF(V205=0,0,IF(Control_Achizitii!$J205="DOSAR COMPLET",1,IF(LEFT(Control_Achizitii!$J205,9)="INCOMPLET",2,3)))</f>
        <v>0</v>
      </c>
      <c r="Z205" s="27"/>
      <c r="AA205" s="27"/>
      <c r="AB205" s="27"/>
      <c r="AC205" s="27"/>
      <c r="AD205" s="27"/>
      <c r="AE205" s="27"/>
      <c r="AF205" s="27"/>
      <c r="AG205" s="27"/>
      <c r="AH205" s="27">
        <f>IF(AND(V205=1,Control_Achizitii!$J205="DOSAR COMPLET",Control_Achizitii!$K205&lt;&gt;""),1,0)</f>
        <v>0</v>
      </c>
    </row>
    <row r="206" spans="1:34">
      <c r="A206" s="27"/>
      <c r="B206" s="27"/>
      <c r="C206" s="27"/>
      <c r="D206" s="27"/>
      <c r="E206" s="27"/>
      <c r="F206" s="27"/>
      <c r="G206" s="27"/>
      <c r="H206" s="27"/>
      <c r="I206" s="27"/>
      <c r="J206" s="27"/>
      <c r="K206" s="27"/>
      <c r="L206" s="27"/>
      <c r="M206" s="27"/>
      <c r="N206" s="27"/>
      <c r="O206" s="27"/>
      <c r="P206" s="27"/>
      <c r="Q206" s="27"/>
      <c r="R206" s="27"/>
      <c r="S206" s="27"/>
      <c r="T206" s="27">
        <f>IF(LEFT(Control_Achizitii!$E206,4)="Fact",1,0)</f>
        <v>0</v>
      </c>
      <c r="U206" s="27">
        <f>IF(Control_Achizitii!$C206="",0,IF(ISNUMBER(Control_Achizitii!$B206),0,1))</f>
        <v>0</v>
      </c>
      <c r="V206" s="27">
        <f>IF(Control_Achizitii!$C206="",0,IF($Z$2&lt;&gt;"OK",0,IF(AND(ISNUMBER(Control_Achizitii!$B206),Control_Achizitii!$B206&gt;=$E$5,Control_Achizitii!$B206&lt;$J$5+1,OR($O$5="Toate proiectele",Control_Achizitii!$Q206=$O$5)),1,0)))</f>
        <v>0</v>
      </c>
      <c r="W206" s="27">
        <f>IF(AND(V206=1,OR(Control_Achizitii!$J206&lt;&gt;"DOSAR COMPLET",Control_Achizitii!$K206&lt;&gt;"")),ROW(),1000000000)</f>
        <v>1000000000</v>
      </c>
      <c r="X206" s="27">
        <f>IF(AND(V206=1,LEFT(Control_Achizitii!$E206,4)="Fact",NOT(ISNUMBER(Control_Achizitii!$P206))),1,0)</f>
        <v>0</v>
      </c>
      <c r="Y206" s="27">
        <f>IF(V206=0,0,IF(Control_Achizitii!$J206="DOSAR COMPLET",1,IF(LEFT(Control_Achizitii!$J206,9)="INCOMPLET",2,3)))</f>
        <v>0</v>
      </c>
      <c r="Z206" s="27"/>
      <c r="AA206" s="27"/>
      <c r="AB206" s="27"/>
      <c r="AC206" s="27"/>
      <c r="AD206" s="27"/>
      <c r="AE206" s="27"/>
      <c r="AF206" s="27"/>
      <c r="AG206" s="27"/>
      <c r="AH206" s="27">
        <f>IF(AND(V206=1,Control_Achizitii!$J206="DOSAR COMPLET",Control_Achizitii!$K206&lt;&gt;""),1,0)</f>
        <v>0</v>
      </c>
    </row>
    <row r="207" spans="1:34">
      <c r="A207" s="27"/>
      <c r="B207" s="27"/>
      <c r="C207" s="27"/>
      <c r="D207" s="27"/>
      <c r="E207" s="27"/>
      <c r="F207" s="27"/>
      <c r="G207" s="27"/>
      <c r="H207" s="27"/>
      <c r="I207" s="27"/>
      <c r="J207" s="27"/>
      <c r="K207" s="27"/>
      <c r="L207" s="27"/>
      <c r="M207" s="27"/>
      <c r="N207" s="27"/>
      <c r="O207" s="27"/>
      <c r="P207" s="27"/>
      <c r="Q207" s="27"/>
      <c r="R207" s="27"/>
      <c r="S207" s="27"/>
      <c r="T207" s="27">
        <f>IF(LEFT(Control_Achizitii!$E207,4)="Fact",1,0)</f>
        <v>0</v>
      </c>
      <c r="U207" s="27">
        <f>IF(Control_Achizitii!$C207="",0,IF(ISNUMBER(Control_Achizitii!$B207),0,1))</f>
        <v>0</v>
      </c>
      <c r="V207" s="27">
        <f>IF(Control_Achizitii!$C207="",0,IF($Z$2&lt;&gt;"OK",0,IF(AND(ISNUMBER(Control_Achizitii!$B207),Control_Achizitii!$B207&gt;=$E$5,Control_Achizitii!$B207&lt;$J$5+1,OR($O$5="Toate proiectele",Control_Achizitii!$Q207=$O$5)),1,0)))</f>
        <v>0</v>
      </c>
      <c r="W207" s="27">
        <f>IF(AND(V207=1,OR(Control_Achizitii!$J207&lt;&gt;"DOSAR COMPLET",Control_Achizitii!$K207&lt;&gt;"")),ROW(),1000000000)</f>
        <v>1000000000</v>
      </c>
      <c r="X207" s="27">
        <f>IF(AND(V207=1,LEFT(Control_Achizitii!$E207,4)="Fact",NOT(ISNUMBER(Control_Achizitii!$P207))),1,0)</f>
        <v>0</v>
      </c>
      <c r="Y207" s="27">
        <f>IF(V207=0,0,IF(Control_Achizitii!$J207="DOSAR COMPLET",1,IF(LEFT(Control_Achizitii!$J207,9)="INCOMPLET",2,3)))</f>
        <v>0</v>
      </c>
      <c r="Z207" s="27"/>
      <c r="AA207" s="27"/>
      <c r="AB207" s="27"/>
      <c r="AC207" s="27"/>
      <c r="AD207" s="27"/>
      <c r="AE207" s="27"/>
      <c r="AF207" s="27"/>
      <c r="AG207" s="27"/>
      <c r="AH207" s="27">
        <f>IF(AND(V207=1,Control_Achizitii!$J207="DOSAR COMPLET",Control_Achizitii!$K207&lt;&gt;""),1,0)</f>
        <v>0</v>
      </c>
    </row>
    <row r="208" spans="1:34">
      <c r="A208" s="27"/>
      <c r="B208" s="27"/>
      <c r="C208" s="27"/>
      <c r="D208" s="27"/>
      <c r="E208" s="27"/>
      <c r="F208" s="27"/>
      <c r="G208" s="27"/>
      <c r="H208" s="27"/>
      <c r="I208" s="27"/>
      <c r="J208" s="27"/>
      <c r="K208" s="27"/>
      <c r="L208" s="27"/>
      <c r="M208" s="27"/>
      <c r="N208" s="27"/>
      <c r="O208" s="27"/>
      <c r="P208" s="27"/>
      <c r="Q208" s="27"/>
      <c r="R208" s="27"/>
      <c r="S208" s="27"/>
      <c r="T208" s="27">
        <f>IF(LEFT(Control_Achizitii!$E208,4)="Fact",1,0)</f>
        <v>0</v>
      </c>
      <c r="U208" s="27">
        <f>IF(Control_Achizitii!$C208="",0,IF(ISNUMBER(Control_Achizitii!$B208),0,1))</f>
        <v>0</v>
      </c>
      <c r="V208" s="27">
        <f>IF(Control_Achizitii!$C208="",0,IF($Z$2&lt;&gt;"OK",0,IF(AND(ISNUMBER(Control_Achizitii!$B208),Control_Achizitii!$B208&gt;=$E$5,Control_Achizitii!$B208&lt;$J$5+1,OR($O$5="Toate proiectele",Control_Achizitii!$Q208=$O$5)),1,0)))</f>
        <v>0</v>
      </c>
      <c r="W208" s="27">
        <f>IF(AND(V208=1,OR(Control_Achizitii!$J208&lt;&gt;"DOSAR COMPLET",Control_Achizitii!$K208&lt;&gt;"")),ROW(),1000000000)</f>
        <v>1000000000</v>
      </c>
      <c r="X208" s="27">
        <f>IF(AND(V208=1,LEFT(Control_Achizitii!$E208,4)="Fact",NOT(ISNUMBER(Control_Achizitii!$P208))),1,0)</f>
        <v>0</v>
      </c>
      <c r="Y208" s="27">
        <f>IF(V208=0,0,IF(Control_Achizitii!$J208="DOSAR COMPLET",1,IF(LEFT(Control_Achizitii!$J208,9)="INCOMPLET",2,3)))</f>
        <v>0</v>
      </c>
      <c r="Z208" s="27"/>
      <c r="AA208" s="27"/>
      <c r="AB208" s="27"/>
      <c r="AC208" s="27"/>
      <c r="AD208" s="27"/>
      <c r="AE208" s="27"/>
      <c r="AF208" s="27"/>
      <c r="AG208" s="27"/>
      <c r="AH208" s="27">
        <f>IF(AND(V208=1,Control_Achizitii!$J208="DOSAR COMPLET",Control_Achizitii!$K208&lt;&gt;""),1,0)</f>
        <v>0</v>
      </c>
    </row>
    <row r="209" spans="1:34">
      <c r="A209" s="27"/>
      <c r="B209" s="27"/>
      <c r="C209" s="27"/>
      <c r="D209" s="27"/>
      <c r="E209" s="27"/>
      <c r="F209" s="27"/>
      <c r="G209" s="27"/>
      <c r="H209" s="27"/>
      <c r="I209" s="27"/>
      <c r="J209" s="27"/>
      <c r="K209" s="27"/>
      <c r="L209" s="27"/>
      <c r="M209" s="27"/>
      <c r="N209" s="27"/>
      <c r="O209" s="27"/>
      <c r="P209" s="27"/>
      <c r="Q209" s="27"/>
      <c r="R209" s="27"/>
      <c r="S209" s="27"/>
      <c r="T209" s="27">
        <f>IF(LEFT(Control_Achizitii!$E209,4)="Fact",1,0)</f>
        <v>0</v>
      </c>
      <c r="U209" s="27">
        <f>IF(Control_Achizitii!$C209="",0,IF(ISNUMBER(Control_Achizitii!$B209),0,1))</f>
        <v>0</v>
      </c>
      <c r="V209" s="27">
        <f>IF(Control_Achizitii!$C209="",0,IF($Z$2&lt;&gt;"OK",0,IF(AND(ISNUMBER(Control_Achizitii!$B209),Control_Achizitii!$B209&gt;=$E$5,Control_Achizitii!$B209&lt;$J$5+1,OR($O$5="Toate proiectele",Control_Achizitii!$Q209=$O$5)),1,0)))</f>
        <v>0</v>
      </c>
      <c r="W209" s="27">
        <f>IF(AND(V209=1,OR(Control_Achizitii!$J209&lt;&gt;"DOSAR COMPLET",Control_Achizitii!$K209&lt;&gt;"")),ROW(),1000000000)</f>
        <v>1000000000</v>
      </c>
      <c r="X209" s="27">
        <f>IF(AND(V209=1,LEFT(Control_Achizitii!$E209,4)="Fact",NOT(ISNUMBER(Control_Achizitii!$P209))),1,0)</f>
        <v>0</v>
      </c>
      <c r="Y209" s="27">
        <f>IF(V209=0,0,IF(Control_Achizitii!$J209="DOSAR COMPLET",1,IF(LEFT(Control_Achizitii!$J209,9)="INCOMPLET",2,3)))</f>
        <v>0</v>
      </c>
      <c r="Z209" s="27"/>
      <c r="AA209" s="27"/>
      <c r="AB209" s="27"/>
      <c r="AC209" s="27"/>
      <c r="AD209" s="27"/>
      <c r="AE209" s="27"/>
      <c r="AF209" s="27"/>
      <c r="AG209" s="27"/>
      <c r="AH209" s="27">
        <f>IF(AND(V209=1,Control_Achizitii!$J209="DOSAR COMPLET",Control_Achizitii!$K209&lt;&gt;""),1,0)</f>
        <v>0</v>
      </c>
    </row>
    <row r="210" spans="1:34">
      <c r="A210" s="27"/>
      <c r="B210" s="27"/>
      <c r="C210" s="27"/>
      <c r="D210" s="27"/>
      <c r="E210" s="27"/>
      <c r="F210" s="27"/>
      <c r="G210" s="27"/>
      <c r="H210" s="27"/>
      <c r="I210" s="27"/>
      <c r="J210" s="27"/>
      <c r="K210" s="27"/>
      <c r="L210" s="27"/>
      <c r="M210" s="27"/>
      <c r="N210" s="27"/>
      <c r="O210" s="27"/>
      <c r="P210" s="27"/>
      <c r="Q210" s="27"/>
      <c r="R210" s="27"/>
      <c r="S210" s="27"/>
      <c r="T210" s="27">
        <f>IF(LEFT(Control_Achizitii!$E210,4)="Fact",1,0)</f>
        <v>0</v>
      </c>
      <c r="U210" s="27">
        <f>IF(Control_Achizitii!$C210="",0,IF(ISNUMBER(Control_Achizitii!$B210),0,1))</f>
        <v>0</v>
      </c>
      <c r="V210" s="27">
        <f>IF(Control_Achizitii!$C210="",0,IF($Z$2&lt;&gt;"OK",0,IF(AND(ISNUMBER(Control_Achizitii!$B210),Control_Achizitii!$B210&gt;=$E$5,Control_Achizitii!$B210&lt;$J$5+1,OR($O$5="Toate proiectele",Control_Achizitii!$Q210=$O$5)),1,0)))</f>
        <v>0</v>
      </c>
      <c r="W210" s="27">
        <f>IF(AND(V210=1,OR(Control_Achizitii!$J210&lt;&gt;"DOSAR COMPLET",Control_Achizitii!$K210&lt;&gt;"")),ROW(),1000000000)</f>
        <v>1000000000</v>
      </c>
      <c r="X210" s="27">
        <f>IF(AND(V210=1,LEFT(Control_Achizitii!$E210,4)="Fact",NOT(ISNUMBER(Control_Achizitii!$P210))),1,0)</f>
        <v>0</v>
      </c>
      <c r="Y210" s="27">
        <f>IF(V210=0,0,IF(Control_Achizitii!$J210="DOSAR COMPLET",1,IF(LEFT(Control_Achizitii!$J210,9)="INCOMPLET",2,3)))</f>
        <v>0</v>
      </c>
      <c r="Z210" s="27"/>
      <c r="AA210" s="27"/>
      <c r="AB210" s="27"/>
      <c r="AC210" s="27"/>
      <c r="AD210" s="27"/>
      <c r="AE210" s="27"/>
      <c r="AF210" s="27"/>
      <c r="AG210" s="27"/>
      <c r="AH210" s="27">
        <f>IF(AND(V210=1,Control_Achizitii!$J210="DOSAR COMPLET",Control_Achizitii!$K210&lt;&gt;""),1,0)</f>
        <v>0</v>
      </c>
    </row>
    <row r="211" spans="1:34">
      <c r="A211" s="27"/>
      <c r="B211" s="27"/>
      <c r="C211" s="27"/>
      <c r="D211" s="27"/>
      <c r="E211" s="27"/>
      <c r="F211" s="27"/>
      <c r="G211" s="27"/>
      <c r="H211" s="27"/>
      <c r="I211" s="27"/>
      <c r="J211" s="27"/>
      <c r="K211" s="27"/>
      <c r="L211" s="27"/>
      <c r="M211" s="27"/>
      <c r="N211" s="27"/>
      <c r="O211" s="27"/>
      <c r="P211" s="27"/>
      <c r="Q211" s="27"/>
      <c r="R211" s="27"/>
      <c r="S211" s="27"/>
      <c r="T211" s="27">
        <f>IF(LEFT(Control_Achizitii!$E211,4)="Fact",1,0)</f>
        <v>0</v>
      </c>
      <c r="U211" s="27">
        <f>IF(Control_Achizitii!$C211="",0,IF(ISNUMBER(Control_Achizitii!$B211),0,1))</f>
        <v>0</v>
      </c>
      <c r="V211" s="27">
        <f>IF(Control_Achizitii!$C211="",0,IF($Z$2&lt;&gt;"OK",0,IF(AND(ISNUMBER(Control_Achizitii!$B211),Control_Achizitii!$B211&gt;=$E$5,Control_Achizitii!$B211&lt;$J$5+1,OR($O$5="Toate proiectele",Control_Achizitii!$Q211=$O$5)),1,0)))</f>
        <v>0</v>
      </c>
      <c r="W211" s="27">
        <f>IF(AND(V211=1,OR(Control_Achizitii!$J211&lt;&gt;"DOSAR COMPLET",Control_Achizitii!$K211&lt;&gt;"")),ROW(),1000000000)</f>
        <v>1000000000</v>
      </c>
      <c r="X211" s="27">
        <f>IF(AND(V211=1,LEFT(Control_Achizitii!$E211,4)="Fact",NOT(ISNUMBER(Control_Achizitii!$P211))),1,0)</f>
        <v>0</v>
      </c>
      <c r="Y211" s="27">
        <f>IF(V211=0,0,IF(Control_Achizitii!$J211="DOSAR COMPLET",1,IF(LEFT(Control_Achizitii!$J211,9)="INCOMPLET",2,3)))</f>
        <v>0</v>
      </c>
      <c r="Z211" s="27"/>
      <c r="AA211" s="27"/>
      <c r="AB211" s="27"/>
      <c r="AC211" s="27"/>
      <c r="AD211" s="27"/>
      <c r="AE211" s="27"/>
      <c r="AF211" s="27"/>
      <c r="AG211" s="27"/>
      <c r="AH211" s="27">
        <f>IF(AND(V211=1,Control_Achizitii!$J211="DOSAR COMPLET",Control_Achizitii!$K211&lt;&gt;""),1,0)</f>
        <v>0</v>
      </c>
    </row>
    <row r="212" spans="1:34">
      <c r="A212" s="27"/>
      <c r="B212" s="27"/>
      <c r="C212" s="27"/>
      <c r="D212" s="27"/>
      <c r="E212" s="27"/>
      <c r="F212" s="27"/>
      <c r="G212" s="27"/>
      <c r="H212" s="27"/>
      <c r="I212" s="27"/>
      <c r="J212" s="27"/>
      <c r="K212" s="27"/>
      <c r="L212" s="27"/>
      <c r="M212" s="27"/>
      <c r="N212" s="27"/>
      <c r="O212" s="27"/>
      <c r="P212" s="27"/>
      <c r="Q212" s="27"/>
      <c r="R212" s="27"/>
      <c r="S212" s="27"/>
      <c r="T212" s="27">
        <f>IF(LEFT(Control_Achizitii!$E212,4)="Fact",1,0)</f>
        <v>0</v>
      </c>
      <c r="U212" s="27">
        <f>IF(Control_Achizitii!$C212="",0,IF(ISNUMBER(Control_Achizitii!$B212),0,1))</f>
        <v>0</v>
      </c>
      <c r="V212" s="27">
        <f>IF(Control_Achizitii!$C212="",0,IF($Z$2&lt;&gt;"OK",0,IF(AND(ISNUMBER(Control_Achizitii!$B212),Control_Achizitii!$B212&gt;=$E$5,Control_Achizitii!$B212&lt;$J$5+1,OR($O$5="Toate proiectele",Control_Achizitii!$Q212=$O$5)),1,0)))</f>
        <v>0</v>
      </c>
      <c r="W212" s="27">
        <f>IF(AND(V212=1,OR(Control_Achizitii!$J212&lt;&gt;"DOSAR COMPLET",Control_Achizitii!$K212&lt;&gt;"")),ROW(),1000000000)</f>
        <v>1000000000</v>
      </c>
      <c r="X212" s="27">
        <f>IF(AND(V212=1,LEFT(Control_Achizitii!$E212,4)="Fact",NOT(ISNUMBER(Control_Achizitii!$P212))),1,0)</f>
        <v>0</v>
      </c>
      <c r="Y212" s="27">
        <f>IF(V212=0,0,IF(Control_Achizitii!$J212="DOSAR COMPLET",1,IF(LEFT(Control_Achizitii!$J212,9)="INCOMPLET",2,3)))</f>
        <v>0</v>
      </c>
      <c r="Z212" s="27"/>
      <c r="AA212" s="27"/>
      <c r="AB212" s="27"/>
      <c r="AC212" s="27"/>
      <c r="AD212" s="27"/>
      <c r="AE212" s="27"/>
      <c r="AF212" s="27"/>
      <c r="AG212" s="27"/>
      <c r="AH212" s="27">
        <f>IF(AND(V212=1,Control_Achizitii!$J212="DOSAR COMPLET",Control_Achizitii!$K212&lt;&gt;""),1,0)</f>
        <v>0</v>
      </c>
    </row>
    <row r="213" spans="1:34">
      <c r="A213" s="27"/>
      <c r="B213" s="27"/>
      <c r="C213" s="27"/>
      <c r="D213" s="27"/>
      <c r="E213" s="27"/>
      <c r="F213" s="27"/>
      <c r="G213" s="27"/>
      <c r="H213" s="27"/>
      <c r="I213" s="27"/>
      <c r="J213" s="27"/>
      <c r="K213" s="27"/>
      <c r="L213" s="27"/>
      <c r="M213" s="27"/>
      <c r="N213" s="27"/>
      <c r="O213" s="27"/>
      <c r="P213" s="27"/>
      <c r="Q213" s="27"/>
      <c r="R213" s="27"/>
      <c r="S213" s="27"/>
      <c r="T213" s="27">
        <f>IF(LEFT(Control_Achizitii!$E213,4)="Fact",1,0)</f>
        <v>0</v>
      </c>
      <c r="U213" s="27">
        <f>IF(Control_Achizitii!$C213="",0,IF(ISNUMBER(Control_Achizitii!$B213),0,1))</f>
        <v>0</v>
      </c>
      <c r="V213" s="27">
        <f>IF(Control_Achizitii!$C213="",0,IF($Z$2&lt;&gt;"OK",0,IF(AND(ISNUMBER(Control_Achizitii!$B213),Control_Achizitii!$B213&gt;=$E$5,Control_Achizitii!$B213&lt;$J$5+1,OR($O$5="Toate proiectele",Control_Achizitii!$Q213=$O$5)),1,0)))</f>
        <v>0</v>
      </c>
      <c r="W213" s="27">
        <f>IF(AND(V213=1,OR(Control_Achizitii!$J213&lt;&gt;"DOSAR COMPLET",Control_Achizitii!$K213&lt;&gt;"")),ROW(),1000000000)</f>
        <v>1000000000</v>
      </c>
      <c r="X213" s="27">
        <f>IF(AND(V213=1,LEFT(Control_Achizitii!$E213,4)="Fact",NOT(ISNUMBER(Control_Achizitii!$P213))),1,0)</f>
        <v>0</v>
      </c>
      <c r="Y213" s="27">
        <f>IF(V213=0,0,IF(Control_Achizitii!$J213="DOSAR COMPLET",1,IF(LEFT(Control_Achizitii!$J213,9)="INCOMPLET",2,3)))</f>
        <v>0</v>
      </c>
      <c r="Z213" s="27"/>
      <c r="AA213" s="27"/>
      <c r="AB213" s="27"/>
      <c r="AC213" s="27"/>
      <c r="AD213" s="27"/>
      <c r="AE213" s="27"/>
      <c r="AF213" s="27"/>
      <c r="AG213" s="27"/>
      <c r="AH213" s="27">
        <f>IF(AND(V213=1,Control_Achizitii!$J213="DOSAR COMPLET",Control_Achizitii!$K213&lt;&gt;""),1,0)</f>
        <v>0</v>
      </c>
    </row>
    <row r="214" spans="1:34">
      <c r="A214" s="27"/>
      <c r="B214" s="27"/>
      <c r="C214" s="27"/>
      <c r="D214" s="27"/>
      <c r="E214" s="27"/>
      <c r="F214" s="27"/>
      <c r="G214" s="27"/>
      <c r="H214" s="27"/>
      <c r="I214" s="27"/>
      <c r="J214" s="27"/>
      <c r="K214" s="27"/>
      <c r="L214" s="27"/>
      <c r="M214" s="27"/>
      <c r="N214" s="27"/>
      <c r="O214" s="27"/>
      <c r="P214" s="27"/>
      <c r="Q214" s="27"/>
      <c r="R214" s="27"/>
      <c r="S214" s="27"/>
      <c r="T214" s="27">
        <f>IF(LEFT(Control_Achizitii!$E214,4)="Fact",1,0)</f>
        <v>0</v>
      </c>
      <c r="U214" s="27">
        <f>IF(Control_Achizitii!$C214="",0,IF(ISNUMBER(Control_Achizitii!$B214),0,1))</f>
        <v>0</v>
      </c>
      <c r="V214" s="27">
        <f>IF(Control_Achizitii!$C214="",0,IF($Z$2&lt;&gt;"OK",0,IF(AND(ISNUMBER(Control_Achizitii!$B214),Control_Achizitii!$B214&gt;=$E$5,Control_Achizitii!$B214&lt;$J$5+1,OR($O$5="Toate proiectele",Control_Achizitii!$Q214=$O$5)),1,0)))</f>
        <v>0</v>
      </c>
      <c r="W214" s="27">
        <f>IF(AND(V214=1,OR(Control_Achizitii!$J214&lt;&gt;"DOSAR COMPLET",Control_Achizitii!$K214&lt;&gt;"")),ROW(),1000000000)</f>
        <v>1000000000</v>
      </c>
      <c r="X214" s="27">
        <f>IF(AND(V214=1,LEFT(Control_Achizitii!$E214,4)="Fact",NOT(ISNUMBER(Control_Achizitii!$P214))),1,0)</f>
        <v>0</v>
      </c>
      <c r="Y214" s="27">
        <f>IF(V214=0,0,IF(Control_Achizitii!$J214="DOSAR COMPLET",1,IF(LEFT(Control_Achizitii!$J214,9)="INCOMPLET",2,3)))</f>
        <v>0</v>
      </c>
      <c r="Z214" s="27"/>
      <c r="AA214" s="27"/>
      <c r="AB214" s="27"/>
      <c r="AC214" s="27"/>
      <c r="AD214" s="27"/>
      <c r="AE214" s="27"/>
      <c r="AF214" s="27"/>
      <c r="AG214" s="27"/>
      <c r="AH214" s="27">
        <f>IF(AND(V214=1,Control_Achizitii!$J214="DOSAR COMPLET",Control_Achizitii!$K214&lt;&gt;""),1,0)</f>
        <v>0</v>
      </c>
    </row>
    <row r="215" spans="1:34">
      <c r="A215" s="27"/>
      <c r="B215" s="27"/>
      <c r="C215" s="27"/>
      <c r="D215" s="27"/>
      <c r="E215" s="27"/>
      <c r="F215" s="27"/>
      <c r="G215" s="27"/>
      <c r="H215" s="27"/>
      <c r="I215" s="27"/>
      <c r="J215" s="27"/>
      <c r="K215" s="27"/>
      <c r="L215" s="27"/>
      <c r="M215" s="27"/>
      <c r="N215" s="27"/>
      <c r="O215" s="27"/>
      <c r="P215" s="27"/>
      <c r="Q215" s="27"/>
      <c r="R215" s="27"/>
      <c r="S215" s="27"/>
      <c r="T215" s="27">
        <f>IF(LEFT(Control_Achizitii!$E215,4)="Fact",1,0)</f>
        <v>0</v>
      </c>
      <c r="U215" s="27">
        <f>IF(Control_Achizitii!$C215="",0,IF(ISNUMBER(Control_Achizitii!$B215),0,1))</f>
        <v>0</v>
      </c>
      <c r="V215" s="27">
        <f>IF(Control_Achizitii!$C215="",0,IF($Z$2&lt;&gt;"OK",0,IF(AND(ISNUMBER(Control_Achizitii!$B215),Control_Achizitii!$B215&gt;=$E$5,Control_Achizitii!$B215&lt;$J$5+1,OR($O$5="Toate proiectele",Control_Achizitii!$Q215=$O$5)),1,0)))</f>
        <v>0</v>
      </c>
      <c r="W215" s="27">
        <f>IF(AND(V215=1,OR(Control_Achizitii!$J215&lt;&gt;"DOSAR COMPLET",Control_Achizitii!$K215&lt;&gt;"")),ROW(),1000000000)</f>
        <v>1000000000</v>
      </c>
      <c r="X215" s="27">
        <f>IF(AND(V215=1,LEFT(Control_Achizitii!$E215,4)="Fact",NOT(ISNUMBER(Control_Achizitii!$P215))),1,0)</f>
        <v>0</v>
      </c>
      <c r="Y215" s="27">
        <f>IF(V215=0,0,IF(Control_Achizitii!$J215="DOSAR COMPLET",1,IF(LEFT(Control_Achizitii!$J215,9)="INCOMPLET",2,3)))</f>
        <v>0</v>
      </c>
      <c r="Z215" s="27"/>
      <c r="AA215" s="27"/>
      <c r="AB215" s="27"/>
      <c r="AC215" s="27"/>
      <c r="AD215" s="27"/>
      <c r="AE215" s="27"/>
      <c r="AF215" s="27"/>
      <c r="AG215" s="27"/>
      <c r="AH215" s="27">
        <f>IF(AND(V215=1,Control_Achizitii!$J215="DOSAR COMPLET",Control_Achizitii!$K215&lt;&gt;""),1,0)</f>
        <v>0</v>
      </c>
    </row>
    <row r="216" spans="1:34">
      <c r="A216" s="27"/>
      <c r="B216" s="27"/>
      <c r="C216" s="27"/>
      <c r="D216" s="27"/>
      <c r="E216" s="27"/>
      <c r="F216" s="27"/>
      <c r="G216" s="27"/>
      <c r="H216" s="27"/>
      <c r="I216" s="27"/>
      <c r="J216" s="27"/>
      <c r="K216" s="27"/>
      <c r="L216" s="27"/>
      <c r="M216" s="27"/>
      <c r="N216" s="27"/>
      <c r="O216" s="27"/>
      <c r="P216" s="27"/>
      <c r="Q216" s="27"/>
      <c r="R216" s="27"/>
      <c r="S216" s="27"/>
      <c r="T216" s="27">
        <f>IF(LEFT(Control_Achizitii!$E216,4)="Fact",1,0)</f>
        <v>0</v>
      </c>
      <c r="U216" s="27">
        <f>IF(Control_Achizitii!$C216="",0,IF(ISNUMBER(Control_Achizitii!$B216),0,1))</f>
        <v>0</v>
      </c>
      <c r="V216" s="27">
        <f>IF(Control_Achizitii!$C216="",0,IF($Z$2&lt;&gt;"OK",0,IF(AND(ISNUMBER(Control_Achizitii!$B216),Control_Achizitii!$B216&gt;=$E$5,Control_Achizitii!$B216&lt;$J$5+1,OR($O$5="Toate proiectele",Control_Achizitii!$Q216=$O$5)),1,0)))</f>
        <v>0</v>
      </c>
      <c r="W216" s="27">
        <f>IF(AND(V216=1,OR(Control_Achizitii!$J216&lt;&gt;"DOSAR COMPLET",Control_Achizitii!$K216&lt;&gt;"")),ROW(),1000000000)</f>
        <v>1000000000</v>
      </c>
      <c r="X216" s="27">
        <f>IF(AND(V216=1,LEFT(Control_Achizitii!$E216,4)="Fact",NOT(ISNUMBER(Control_Achizitii!$P216))),1,0)</f>
        <v>0</v>
      </c>
      <c r="Y216" s="27">
        <f>IF(V216=0,0,IF(Control_Achizitii!$J216="DOSAR COMPLET",1,IF(LEFT(Control_Achizitii!$J216,9)="INCOMPLET",2,3)))</f>
        <v>0</v>
      </c>
      <c r="Z216" s="27"/>
      <c r="AA216" s="27"/>
      <c r="AB216" s="27"/>
      <c r="AC216" s="27"/>
      <c r="AD216" s="27"/>
      <c r="AE216" s="27"/>
      <c r="AF216" s="27"/>
      <c r="AG216" s="27"/>
      <c r="AH216" s="27">
        <f>IF(AND(V216=1,Control_Achizitii!$J216="DOSAR COMPLET",Control_Achizitii!$K216&lt;&gt;""),1,0)</f>
        <v>0</v>
      </c>
    </row>
    <row r="217" spans="1:34">
      <c r="A217" s="27"/>
      <c r="B217" s="27"/>
      <c r="C217" s="27"/>
      <c r="D217" s="27"/>
      <c r="E217" s="27"/>
      <c r="F217" s="27"/>
      <c r="G217" s="27"/>
      <c r="H217" s="27"/>
      <c r="I217" s="27"/>
      <c r="J217" s="27"/>
      <c r="K217" s="27"/>
      <c r="L217" s="27"/>
      <c r="M217" s="27"/>
      <c r="N217" s="27"/>
      <c r="O217" s="27"/>
      <c r="P217" s="27"/>
      <c r="Q217" s="27"/>
      <c r="R217" s="27"/>
      <c r="S217" s="27"/>
      <c r="T217" s="27">
        <f>IF(LEFT(Control_Achizitii!$E217,4)="Fact",1,0)</f>
        <v>0</v>
      </c>
      <c r="U217" s="27">
        <f>IF(Control_Achizitii!$C217="",0,IF(ISNUMBER(Control_Achizitii!$B217),0,1))</f>
        <v>0</v>
      </c>
      <c r="V217" s="27">
        <f>IF(Control_Achizitii!$C217="",0,IF($Z$2&lt;&gt;"OK",0,IF(AND(ISNUMBER(Control_Achizitii!$B217),Control_Achizitii!$B217&gt;=$E$5,Control_Achizitii!$B217&lt;$J$5+1,OR($O$5="Toate proiectele",Control_Achizitii!$Q217=$O$5)),1,0)))</f>
        <v>0</v>
      </c>
      <c r="W217" s="27">
        <f>IF(AND(V217=1,OR(Control_Achizitii!$J217&lt;&gt;"DOSAR COMPLET",Control_Achizitii!$K217&lt;&gt;"")),ROW(),1000000000)</f>
        <v>1000000000</v>
      </c>
      <c r="X217" s="27">
        <f>IF(AND(V217=1,LEFT(Control_Achizitii!$E217,4)="Fact",NOT(ISNUMBER(Control_Achizitii!$P217))),1,0)</f>
        <v>0</v>
      </c>
      <c r="Y217" s="27">
        <f>IF(V217=0,0,IF(Control_Achizitii!$J217="DOSAR COMPLET",1,IF(LEFT(Control_Achizitii!$J217,9)="INCOMPLET",2,3)))</f>
        <v>0</v>
      </c>
      <c r="Z217" s="27"/>
      <c r="AA217" s="27"/>
      <c r="AB217" s="27"/>
      <c r="AC217" s="27"/>
      <c r="AD217" s="27"/>
      <c r="AE217" s="27"/>
      <c r="AF217" s="27"/>
      <c r="AG217" s="27"/>
      <c r="AH217" s="27">
        <f>IF(AND(V217=1,Control_Achizitii!$J217="DOSAR COMPLET",Control_Achizitii!$K217&lt;&gt;""),1,0)</f>
        <v>0</v>
      </c>
    </row>
    <row r="218" spans="1:34">
      <c r="A218" s="27"/>
      <c r="B218" s="27"/>
      <c r="C218" s="27"/>
      <c r="D218" s="27"/>
      <c r="E218" s="27"/>
      <c r="F218" s="27"/>
      <c r="G218" s="27"/>
      <c r="H218" s="27"/>
      <c r="I218" s="27"/>
      <c r="J218" s="27"/>
      <c r="K218" s="27"/>
      <c r="L218" s="27"/>
      <c r="M218" s="27"/>
      <c r="N218" s="27"/>
      <c r="O218" s="27"/>
      <c r="P218" s="27"/>
      <c r="Q218" s="27"/>
      <c r="R218" s="27"/>
      <c r="S218" s="27"/>
      <c r="T218" s="27">
        <f>IF(LEFT(Control_Achizitii!$E218,4)="Fact",1,0)</f>
        <v>0</v>
      </c>
      <c r="U218" s="27">
        <f>IF(Control_Achizitii!$C218="",0,IF(ISNUMBER(Control_Achizitii!$B218),0,1))</f>
        <v>0</v>
      </c>
      <c r="V218" s="27">
        <f>IF(Control_Achizitii!$C218="",0,IF($Z$2&lt;&gt;"OK",0,IF(AND(ISNUMBER(Control_Achizitii!$B218),Control_Achizitii!$B218&gt;=$E$5,Control_Achizitii!$B218&lt;$J$5+1,OR($O$5="Toate proiectele",Control_Achizitii!$Q218=$O$5)),1,0)))</f>
        <v>0</v>
      </c>
      <c r="W218" s="27">
        <f>IF(AND(V218=1,OR(Control_Achizitii!$J218&lt;&gt;"DOSAR COMPLET",Control_Achizitii!$K218&lt;&gt;"")),ROW(),1000000000)</f>
        <v>1000000000</v>
      </c>
      <c r="X218" s="27">
        <f>IF(AND(V218=1,LEFT(Control_Achizitii!$E218,4)="Fact",NOT(ISNUMBER(Control_Achizitii!$P218))),1,0)</f>
        <v>0</v>
      </c>
      <c r="Y218" s="27">
        <f>IF(V218=0,0,IF(Control_Achizitii!$J218="DOSAR COMPLET",1,IF(LEFT(Control_Achizitii!$J218,9)="INCOMPLET",2,3)))</f>
        <v>0</v>
      </c>
      <c r="Z218" s="27"/>
      <c r="AA218" s="27"/>
      <c r="AB218" s="27"/>
      <c r="AC218" s="27"/>
      <c r="AD218" s="27"/>
      <c r="AE218" s="27"/>
      <c r="AF218" s="27"/>
      <c r="AG218" s="27"/>
      <c r="AH218" s="27">
        <f>IF(AND(V218=1,Control_Achizitii!$J218="DOSAR COMPLET",Control_Achizitii!$K218&lt;&gt;""),1,0)</f>
        <v>0</v>
      </c>
    </row>
    <row r="219" spans="1:34">
      <c r="A219" s="27"/>
      <c r="B219" s="27"/>
      <c r="C219" s="27"/>
      <c r="D219" s="27"/>
      <c r="E219" s="27"/>
      <c r="F219" s="27"/>
      <c r="G219" s="27"/>
      <c r="H219" s="27"/>
      <c r="I219" s="27"/>
      <c r="J219" s="27"/>
      <c r="K219" s="27"/>
      <c r="L219" s="27"/>
      <c r="M219" s="27"/>
      <c r="N219" s="27"/>
      <c r="O219" s="27"/>
      <c r="P219" s="27"/>
      <c r="Q219" s="27"/>
      <c r="R219" s="27"/>
      <c r="S219" s="27"/>
      <c r="T219" s="27">
        <f>IF(LEFT(Control_Achizitii!$E219,4)="Fact",1,0)</f>
        <v>0</v>
      </c>
      <c r="U219" s="27">
        <f>IF(Control_Achizitii!$C219="",0,IF(ISNUMBER(Control_Achizitii!$B219),0,1))</f>
        <v>0</v>
      </c>
      <c r="V219" s="27">
        <f>IF(Control_Achizitii!$C219="",0,IF($Z$2&lt;&gt;"OK",0,IF(AND(ISNUMBER(Control_Achizitii!$B219),Control_Achizitii!$B219&gt;=$E$5,Control_Achizitii!$B219&lt;$J$5+1,OR($O$5="Toate proiectele",Control_Achizitii!$Q219=$O$5)),1,0)))</f>
        <v>0</v>
      </c>
      <c r="W219" s="27">
        <f>IF(AND(V219=1,OR(Control_Achizitii!$J219&lt;&gt;"DOSAR COMPLET",Control_Achizitii!$K219&lt;&gt;"")),ROW(),1000000000)</f>
        <v>1000000000</v>
      </c>
      <c r="X219" s="27">
        <f>IF(AND(V219=1,LEFT(Control_Achizitii!$E219,4)="Fact",NOT(ISNUMBER(Control_Achizitii!$P219))),1,0)</f>
        <v>0</v>
      </c>
      <c r="Y219" s="27">
        <f>IF(V219=0,0,IF(Control_Achizitii!$J219="DOSAR COMPLET",1,IF(LEFT(Control_Achizitii!$J219,9)="INCOMPLET",2,3)))</f>
        <v>0</v>
      </c>
      <c r="Z219" s="27"/>
      <c r="AA219" s="27"/>
      <c r="AB219" s="27"/>
      <c r="AC219" s="27"/>
      <c r="AD219" s="27"/>
      <c r="AE219" s="27"/>
      <c r="AF219" s="27"/>
      <c r="AG219" s="27"/>
      <c r="AH219" s="27">
        <f>IF(AND(V219=1,Control_Achizitii!$J219="DOSAR COMPLET",Control_Achizitii!$K219&lt;&gt;""),1,0)</f>
        <v>0</v>
      </c>
    </row>
    <row r="220" spans="1:34">
      <c r="A220" s="27"/>
      <c r="B220" s="27"/>
      <c r="C220" s="27"/>
      <c r="D220" s="27"/>
      <c r="E220" s="27"/>
      <c r="F220" s="27"/>
      <c r="G220" s="27"/>
      <c r="H220" s="27"/>
      <c r="I220" s="27"/>
      <c r="J220" s="27"/>
      <c r="K220" s="27"/>
      <c r="L220" s="27"/>
      <c r="M220" s="27"/>
      <c r="N220" s="27"/>
      <c r="O220" s="27"/>
      <c r="P220" s="27"/>
      <c r="Q220" s="27"/>
      <c r="R220" s="27"/>
      <c r="S220" s="27"/>
      <c r="T220" s="27">
        <f>IF(LEFT(Control_Achizitii!$E220,4)="Fact",1,0)</f>
        <v>0</v>
      </c>
      <c r="U220" s="27">
        <f>IF(Control_Achizitii!$C220="",0,IF(ISNUMBER(Control_Achizitii!$B220),0,1))</f>
        <v>0</v>
      </c>
      <c r="V220" s="27">
        <f>IF(Control_Achizitii!$C220="",0,IF($Z$2&lt;&gt;"OK",0,IF(AND(ISNUMBER(Control_Achizitii!$B220),Control_Achizitii!$B220&gt;=$E$5,Control_Achizitii!$B220&lt;$J$5+1,OR($O$5="Toate proiectele",Control_Achizitii!$Q220=$O$5)),1,0)))</f>
        <v>0</v>
      </c>
      <c r="W220" s="27">
        <f>IF(AND(V220=1,OR(Control_Achizitii!$J220&lt;&gt;"DOSAR COMPLET",Control_Achizitii!$K220&lt;&gt;"")),ROW(),1000000000)</f>
        <v>1000000000</v>
      </c>
      <c r="X220" s="27">
        <f>IF(AND(V220=1,LEFT(Control_Achizitii!$E220,4)="Fact",NOT(ISNUMBER(Control_Achizitii!$P220))),1,0)</f>
        <v>0</v>
      </c>
      <c r="Y220" s="27">
        <f>IF(V220=0,0,IF(Control_Achizitii!$J220="DOSAR COMPLET",1,IF(LEFT(Control_Achizitii!$J220,9)="INCOMPLET",2,3)))</f>
        <v>0</v>
      </c>
      <c r="Z220" s="27"/>
      <c r="AA220" s="27"/>
      <c r="AB220" s="27"/>
      <c r="AC220" s="27"/>
      <c r="AD220" s="27"/>
      <c r="AE220" s="27"/>
      <c r="AF220" s="27"/>
      <c r="AG220" s="27"/>
      <c r="AH220" s="27">
        <f>IF(AND(V220=1,Control_Achizitii!$J220="DOSAR COMPLET",Control_Achizitii!$K220&lt;&gt;""),1,0)</f>
        <v>0</v>
      </c>
    </row>
    <row r="221" spans="1:34">
      <c r="A221" s="27"/>
      <c r="B221" s="27"/>
      <c r="C221" s="27"/>
      <c r="D221" s="27"/>
      <c r="E221" s="27"/>
      <c r="F221" s="27"/>
      <c r="G221" s="27"/>
      <c r="H221" s="27"/>
      <c r="I221" s="27"/>
      <c r="J221" s="27"/>
      <c r="K221" s="27"/>
      <c r="L221" s="27"/>
      <c r="M221" s="27"/>
      <c r="N221" s="27"/>
      <c r="O221" s="27"/>
      <c r="P221" s="27"/>
      <c r="Q221" s="27"/>
      <c r="R221" s="27"/>
      <c r="S221" s="27"/>
      <c r="T221" s="27">
        <f>IF(LEFT(Control_Achizitii!$E221,4)="Fact",1,0)</f>
        <v>0</v>
      </c>
      <c r="U221" s="27">
        <f>IF(Control_Achizitii!$C221="",0,IF(ISNUMBER(Control_Achizitii!$B221),0,1))</f>
        <v>0</v>
      </c>
      <c r="V221" s="27">
        <f>IF(Control_Achizitii!$C221="",0,IF($Z$2&lt;&gt;"OK",0,IF(AND(ISNUMBER(Control_Achizitii!$B221),Control_Achizitii!$B221&gt;=$E$5,Control_Achizitii!$B221&lt;$J$5+1,OR($O$5="Toate proiectele",Control_Achizitii!$Q221=$O$5)),1,0)))</f>
        <v>0</v>
      </c>
      <c r="W221" s="27">
        <f>IF(AND(V221=1,OR(Control_Achizitii!$J221&lt;&gt;"DOSAR COMPLET",Control_Achizitii!$K221&lt;&gt;"")),ROW(),1000000000)</f>
        <v>1000000000</v>
      </c>
      <c r="X221" s="27">
        <f>IF(AND(V221=1,LEFT(Control_Achizitii!$E221,4)="Fact",NOT(ISNUMBER(Control_Achizitii!$P221))),1,0)</f>
        <v>0</v>
      </c>
      <c r="Y221" s="27">
        <f>IF(V221=0,0,IF(Control_Achizitii!$J221="DOSAR COMPLET",1,IF(LEFT(Control_Achizitii!$J221,9)="INCOMPLET",2,3)))</f>
        <v>0</v>
      </c>
      <c r="Z221" s="27"/>
      <c r="AA221" s="27"/>
      <c r="AB221" s="27"/>
      <c r="AC221" s="27"/>
      <c r="AD221" s="27"/>
      <c r="AE221" s="27"/>
      <c r="AF221" s="27"/>
      <c r="AG221" s="27"/>
      <c r="AH221" s="27">
        <f>IF(AND(V221=1,Control_Achizitii!$J221="DOSAR COMPLET",Control_Achizitii!$K221&lt;&gt;""),1,0)</f>
        <v>0</v>
      </c>
    </row>
    <row r="222" spans="1:34">
      <c r="A222" s="27"/>
      <c r="B222" s="27"/>
      <c r="C222" s="27"/>
      <c r="D222" s="27"/>
      <c r="E222" s="27"/>
      <c r="F222" s="27"/>
      <c r="G222" s="27"/>
      <c r="H222" s="27"/>
      <c r="I222" s="27"/>
      <c r="J222" s="27"/>
      <c r="K222" s="27"/>
      <c r="L222" s="27"/>
      <c r="M222" s="27"/>
      <c r="N222" s="27"/>
      <c r="O222" s="27"/>
      <c r="P222" s="27"/>
      <c r="Q222" s="27"/>
      <c r="R222" s="27"/>
      <c r="S222" s="27"/>
      <c r="T222" s="27">
        <f>IF(LEFT(Control_Achizitii!$E222,4)="Fact",1,0)</f>
        <v>0</v>
      </c>
      <c r="U222" s="27">
        <f>IF(Control_Achizitii!$C222="",0,IF(ISNUMBER(Control_Achizitii!$B222),0,1))</f>
        <v>0</v>
      </c>
      <c r="V222" s="27">
        <f>IF(Control_Achizitii!$C222="",0,IF($Z$2&lt;&gt;"OK",0,IF(AND(ISNUMBER(Control_Achizitii!$B222),Control_Achizitii!$B222&gt;=$E$5,Control_Achizitii!$B222&lt;$J$5+1,OR($O$5="Toate proiectele",Control_Achizitii!$Q222=$O$5)),1,0)))</f>
        <v>0</v>
      </c>
      <c r="W222" s="27">
        <f>IF(AND(V222=1,OR(Control_Achizitii!$J222&lt;&gt;"DOSAR COMPLET",Control_Achizitii!$K222&lt;&gt;"")),ROW(),1000000000)</f>
        <v>1000000000</v>
      </c>
      <c r="X222" s="27">
        <f>IF(AND(V222=1,LEFT(Control_Achizitii!$E222,4)="Fact",NOT(ISNUMBER(Control_Achizitii!$P222))),1,0)</f>
        <v>0</v>
      </c>
      <c r="Y222" s="27">
        <f>IF(V222=0,0,IF(Control_Achizitii!$J222="DOSAR COMPLET",1,IF(LEFT(Control_Achizitii!$J222,9)="INCOMPLET",2,3)))</f>
        <v>0</v>
      </c>
      <c r="Z222" s="27"/>
      <c r="AA222" s="27"/>
      <c r="AB222" s="27"/>
      <c r="AC222" s="27"/>
      <c r="AD222" s="27"/>
      <c r="AE222" s="27"/>
      <c r="AF222" s="27"/>
      <c r="AG222" s="27"/>
      <c r="AH222" s="27">
        <f>IF(AND(V222=1,Control_Achizitii!$J222="DOSAR COMPLET",Control_Achizitii!$K222&lt;&gt;""),1,0)</f>
        <v>0</v>
      </c>
    </row>
    <row r="223" spans="1:34">
      <c r="A223" s="27"/>
      <c r="B223" s="27"/>
      <c r="C223" s="27"/>
      <c r="D223" s="27"/>
      <c r="E223" s="27"/>
      <c r="F223" s="27"/>
      <c r="G223" s="27"/>
      <c r="H223" s="27"/>
      <c r="I223" s="27"/>
      <c r="J223" s="27"/>
      <c r="K223" s="27"/>
      <c r="L223" s="27"/>
      <c r="M223" s="27"/>
      <c r="N223" s="27"/>
      <c r="O223" s="27"/>
      <c r="P223" s="27"/>
      <c r="Q223" s="27"/>
      <c r="R223" s="27"/>
      <c r="S223" s="27"/>
      <c r="T223" s="27">
        <f>IF(LEFT(Control_Achizitii!$E223,4)="Fact",1,0)</f>
        <v>0</v>
      </c>
      <c r="U223" s="27">
        <f>IF(Control_Achizitii!$C223="",0,IF(ISNUMBER(Control_Achizitii!$B223),0,1))</f>
        <v>0</v>
      </c>
      <c r="V223" s="27">
        <f>IF(Control_Achizitii!$C223="",0,IF($Z$2&lt;&gt;"OK",0,IF(AND(ISNUMBER(Control_Achizitii!$B223),Control_Achizitii!$B223&gt;=$E$5,Control_Achizitii!$B223&lt;$J$5+1,OR($O$5="Toate proiectele",Control_Achizitii!$Q223=$O$5)),1,0)))</f>
        <v>0</v>
      </c>
      <c r="W223" s="27">
        <f>IF(AND(V223=1,OR(Control_Achizitii!$J223&lt;&gt;"DOSAR COMPLET",Control_Achizitii!$K223&lt;&gt;"")),ROW(),1000000000)</f>
        <v>1000000000</v>
      </c>
      <c r="X223" s="27">
        <f>IF(AND(V223=1,LEFT(Control_Achizitii!$E223,4)="Fact",NOT(ISNUMBER(Control_Achizitii!$P223))),1,0)</f>
        <v>0</v>
      </c>
      <c r="Y223" s="27">
        <f>IF(V223=0,0,IF(Control_Achizitii!$J223="DOSAR COMPLET",1,IF(LEFT(Control_Achizitii!$J223,9)="INCOMPLET",2,3)))</f>
        <v>0</v>
      </c>
      <c r="Z223" s="27"/>
      <c r="AA223" s="27"/>
      <c r="AB223" s="27"/>
      <c r="AC223" s="27"/>
      <c r="AD223" s="27"/>
      <c r="AE223" s="27"/>
      <c r="AF223" s="27"/>
      <c r="AG223" s="27"/>
      <c r="AH223" s="27">
        <f>IF(AND(V223=1,Control_Achizitii!$J223="DOSAR COMPLET",Control_Achizitii!$K223&lt;&gt;""),1,0)</f>
        <v>0</v>
      </c>
    </row>
    <row r="224" spans="1:34">
      <c r="A224" s="27"/>
      <c r="B224" s="27"/>
      <c r="C224" s="27"/>
      <c r="D224" s="27"/>
      <c r="E224" s="27"/>
      <c r="F224" s="27"/>
      <c r="G224" s="27"/>
      <c r="H224" s="27"/>
      <c r="I224" s="27"/>
      <c r="J224" s="27"/>
      <c r="K224" s="27"/>
      <c r="L224" s="27"/>
      <c r="M224" s="27"/>
      <c r="N224" s="27"/>
      <c r="O224" s="27"/>
      <c r="P224" s="27"/>
      <c r="Q224" s="27"/>
      <c r="R224" s="27"/>
      <c r="S224" s="27"/>
      <c r="T224" s="27">
        <f>IF(LEFT(Control_Achizitii!$E224,4)="Fact",1,0)</f>
        <v>0</v>
      </c>
      <c r="U224" s="27">
        <f>IF(Control_Achizitii!$C224="",0,IF(ISNUMBER(Control_Achizitii!$B224),0,1))</f>
        <v>0</v>
      </c>
      <c r="V224" s="27">
        <f>IF(Control_Achizitii!$C224="",0,IF($Z$2&lt;&gt;"OK",0,IF(AND(ISNUMBER(Control_Achizitii!$B224),Control_Achizitii!$B224&gt;=$E$5,Control_Achizitii!$B224&lt;$J$5+1,OR($O$5="Toate proiectele",Control_Achizitii!$Q224=$O$5)),1,0)))</f>
        <v>0</v>
      </c>
      <c r="W224" s="27">
        <f>IF(AND(V224=1,OR(Control_Achizitii!$J224&lt;&gt;"DOSAR COMPLET",Control_Achizitii!$K224&lt;&gt;"")),ROW(),1000000000)</f>
        <v>1000000000</v>
      </c>
      <c r="X224" s="27">
        <f>IF(AND(V224=1,LEFT(Control_Achizitii!$E224,4)="Fact",NOT(ISNUMBER(Control_Achizitii!$P224))),1,0)</f>
        <v>0</v>
      </c>
      <c r="Y224" s="27">
        <f>IF(V224=0,0,IF(Control_Achizitii!$J224="DOSAR COMPLET",1,IF(LEFT(Control_Achizitii!$J224,9)="INCOMPLET",2,3)))</f>
        <v>0</v>
      </c>
      <c r="Z224" s="27"/>
      <c r="AA224" s="27"/>
      <c r="AB224" s="27"/>
      <c r="AC224" s="27"/>
      <c r="AD224" s="27"/>
      <c r="AE224" s="27"/>
      <c r="AF224" s="27"/>
      <c r="AG224" s="27"/>
      <c r="AH224" s="27">
        <f>IF(AND(V224=1,Control_Achizitii!$J224="DOSAR COMPLET",Control_Achizitii!$K224&lt;&gt;""),1,0)</f>
        <v>0</v>
      </c>
    </row>
    <row r="225" spans="1:34">
      <c r="A225" s="27"/>
      <c r="B225" s="27"/>
      <c r="C225" s="27"/>
      <c r="D225" s="27"/>
      <c r="E225" s="27"/>
      <c r="F225" s="27"/>
      <c r="G225" s="27"/>
      <c r="H225" s="27"/>
      <c r="I225" s="27"/>
      <c r="J225" s="27"/>
      <c r="K225" s="27"/>
      <c r="L225" s="27"/>
      <c r="M225" s="27"/>
      <c r="N225" s="27"/>
      <c r="O225" s="27"/>
      <c r="P225" s="27"/>
      <c r="Q225" s="27"/>
      <c r="R225" s="27"/>
      <c r="S225" s="27"/>
      <c r="T225" s="27">
        <f>IF(LEFT(Control_Achizitii!$E225,4)="Fact",1,0)</f>
        <v>0</v>
      </c>
      <c r="U225" s="27">
        <f>IF(Control_Achizitii!$C225="",0,IF(ISNUMBER(Control_Achizitii!$B225),0,1))</f>
        <v>0</v>
      </c>
      <c r="V225" s="27">
        <f>IF(Control_Achizitii!$C225="",0,IF($Z$2&lt;&gt;"OK",0,IF(AND(ISNUMBER(Control_Achizitii!$B225),Control_Achizitii!$B225&gt;=$E$5,Control_Achizitii!$B225&lt;$J$5+1,OR($O$5="Toate proiectele",Control_Achizitii!$Q225=$O$5)),1,0)))</f>
        <v>0</v>
      </c>
      <c r="W225" s="27">
        <f>IF(AND(V225=1,OR(Control_Achizitii!$J225&lt;&gt;"DOSAR COMPLET",Control_Achizitii!$K225&lt;&gt;"")),ROW(),1000000000)</f>
        <v>1000000000</v>
      </c>
      <c r="X225" s="27">
        <f>IF(AND(V225=1,LEFT(Control_Achizitii!$E225,4)="Fact",NOT(ISNUMBER(Control_Achizitii!$P225))),1,0)</f>
        <v>0</v>
      </c>
      <c r="Y225" s="27">
        <f>IF(V225=0,0,IF(Control_Achizitii!$J225="DOSAR COMPLET",1,IF(LEFT(Control_Achizitii!$J225,9)="INCOMPLET",2,3)))</f>
        <v>0</v>
      </c>
      <c r="Z225" s="27"/>
      <c r="AA225" s="27"/>
      <c r="AB225" s="27"/>
      <c r="AC225" s="27"/>
      <c r="AD225" s="27"/>
      <c r="AE225" s="27"/>
      <c r="AF225" s="27"/>
      <c r="AG225" s="27"/>
      <c r="AH225" s="27">
        <f>IF(AND(V225=1,Control_Achizitii!$J225="DOSAR COMPLET",Control_Achizitii!$K225&lt;&gt;""),1,0)</f>
        <v>0</v>
      </c>
    </row>
    <row r="226" spans="1:34">
      <c r="A226" s="27"/>
      <c r="B226" s="27"/>
      <c r="C226" s="27"/>
      <c r="D226" s="27"/>
      <c r="E226" s="27"/>
      <c r="F226" s="27"/>
      <c r="G226" s="27"/>
      <c r="H226" s="27"/>
      <c r="I226" s="27"/>
      <c r="J226" s="27"/>
      <c r="K226" s="27"/>
      <c r="L226" s="27"/>
      <c r="M226" s="27"/>
      <c r="N226" s="27"/>
      <c r="O226" s="27"/>
      <c r="P226" s="27"/>
      <c r="Q226" s="27"/>
      <c r="R226" s="27"/>
      <c r="S226" s="27"/>
      <c r="T226" s="27">
        <f>IF(LEFT(Control_Achizitii!$E226,4)="Fact",1,0)</f>
        <v>0</v>
      </c>
      <c r="U226" s="27">
        <f>IF(Control_Achizitii!$C226="",0,IF(ISNUMBER(Control_Achizitii!$B226),0,1))</f>
        <v>0</v>
      </c>
      <c r="V226" s="27">
        <f>IF(Control_Achizitii!$C226="",0,IF($Z$2&lt;&gt;"OK",0,IF(AND(ISNUMBER(Control_Achizitii!$B226),Control_Achizitii!$B226&gt;=$E$5,Control_Achizitii!$B226&lt;$J$5+1,OR($O$5="Toate proiectele",Control_Achizitii!$Q226=$O$5)),1,0)))</f>
        <v>0</v>
      </c>
      <c r="W226" s="27">
        <f>IF(AND(V226=1,OR(Control_Achizitii!$J226&lt;&gt;"DOSAR COMPLET",Control_Achizitii!$K226&lt;&gt;"")),ROW(),1000000000)</f>
        <v>1000000000</v>
      </c>
      <c r="X226" s="27">
        <f>IF(AND(V226=1,LEFT(Control_Achizitii!$E226,4)="Fact",NOT(ISNUMBER(Control_Achizitii!$P226))),1,0)</f>
        <v>0</v>
      </c>
      <c r="Y226" s="27">
        <f>IF(V226=0,0,IF(Control_Achizitii!$J226="DOSAR COMPLET",1,IF(LEFT(Control_Achizitii!$J226,9)="INCOMPLET",2,3)))</f>
        <v>0</v>
      </c>
      <c r="Z226" s="27"/>
      <c r="AA226" s="27"/>
      <c r="AB226" s="27"/>
      <c r="AC226" s="27"/>
      <c r="AD226" s="27"/>
      <c r="AE226" s="27"/>
      <c r="AF226" s="27"/>
      <c r="AG226" s="27"/>
      <c r="AH226" s="27">
        <f>IF(AND(V226=1,Control_Achizitii!$J226="DOSAR COMPLET",Control_Achizitii!$K226&lt;&gt;""),1,0)</f>
        <v>0</v>
      </c>
    </row>
    <row r="227" spans="1:34">
      <c r="A227" s="27"/>
      <c r="B227" s="27"/>
      <c r="C227" s="27"/>
      <c r="D227" s="27"/>
      <c r="E227" s="27"/>
      <c r="F227" s="27"/>
      <c r="G227" s="27"/>
      <c r="H227" s="27"/>
      <c r="I227" s="27"/>
      <c r="J227" s="27"/>
      <c r="K227" s="27"/>
      <c r="L227" s="27"/>
      <c r="M227" s="27"/>
      <c r="N227" s="27"/>
      <c r="O227" s="27"/>
      <c r="P227" s="27"/>
      <c r="Q227" s="27"/>
      <c r="R227" s="27"/>
      <c r="S227" s="27"/>
      <c r="T227" s="27">
        <f>IF(LEFT(Control_Achizitii!$E227,4)="Fact",1,0)</f>
        <v>0</v>
      </c>
      <c r="U227" s="27">
        <f>IF(Control_Achizitii!$C227="",0,IF(ISNUMBER(Control_Achizitii!$B227),0,1))</f>
        <v>0</v>
      </c>
      <c r="V227" s="27">
        <f>IF(Control_Achizitii!$C227="",0,IF($Z$2&lt;&gt;"OK",0,IF(AND(ISNUMBER(Control_Achizitii!$B227),Control_Achizitii!$B227&gt;=$E$5,Control_Achizitii!$B227&lt;$J$5+1,OR($O$5="Toate proiectele",Control_Achizitii!$Q227=$O$5)),1,0)))</f>
        <v>0</v>
      </c>
      <c r="W227" s="27">
        <f>IF(AND(V227=1,OR(Control_Achizitii!$J227&lt;&gt;"DOSAR COMPLET",Control_Achizitii!$K227&lt;&gt;"")),ROW(),1000000000)</f>
        <v>1000000000</v>
      </c>
      <c r="X227" s="27">
        <f>IF(AND(V227=1,LEFT(Control_Achizitii!$E227,4)="Fact",NOT(ISNUMBER(Control_Achizitii!$P227))),1,0)</f>
        <v>0</v>
      </c>
      <c r="Y227" s="27">
        <f>IF(V227=0,0,IF(Control_Achizitii!$J227="DOSAR COMPLET",1,IF(LEFT(Control_Achizitii!$J227,9)="INCOMPLET",2,3)))</f>
        <v>0</v>
      </c>
      <c r="Z227" s="27"/>
      <c r="AA227" s="27"/>
      <c r="AB227" s="27"/>
      <c r="AC227" s="27"/>
      <c r="AD227" s="27"/>
      <c r="AE227" s="27"/>
      <c r="AF227" s="27"/>
      <c r="AG227" s="27"/>
      <c r="AH227" s="27">
        <f>IF(AND(V227=1,Control_Achizitii!$J227="DOSAR COMPLET",Control_Achizitii!$K227&lt;&gt;""),1,0)</f>
        <v>0</v>
      </c>
    </row>
    <row r="228" spans="1:34">
      <c r="A228" s="27"/>
      <c r="B228" s="27"/>
      <c r="C228" s="27"/>
      <c r="D228" s="27"/>
      <c r="E228" s="27"/>
      <c r="F228" s="27"/>
      <c r="G228" s="27"/>
      <c r="H228" s="27"/>
      <c r="I228" s="27"/>
      <c r="J228" s="27"/>
      <c r="K228" s="27"/>
      <c r="L228" s="27"/>
      <c r="M228" s="27"/>
      <c r="N228" s="27"/>
      <c r="O228" s="27"/>
      <c r="P228" s="27"/>
      <c r="Q228" s="27"/>
      <c r="R228" s="27"/>
      <c r="S228" s="27"/>
      <c r="T228" s="27">
        <f>IF(LEFT(Control_Achizitii!$E228,4)="Fact",1,0)</f>
        <v>0</v>
      </c>
      <c r="U228" s="27">
        <f>IF(Control_Achizitii!$C228="",0,IF(ISNUMBER(Control_Achizitii!$B228),0,1))</f>
        <v>0</v>
      </c>
      <c r="V228" s="27">
        <f>IF(Control_Achizitii!$C228="",0,IF($Z$2&lt;&gt;"OK",0,IF(AND(ISNUMBER(Control_Achizitii!$B228),Control_Achizitii!$B228&gt;=$E$5,Control_Achizitii!$B228&lt;$J$5+1,OR($O$5="Toate proiectele",Control_Achizitii!$Q228=$O$5)),1,0)))</f>
        <v>0</v>
      </c>
      <c r="W228" s="27">
        <f>IF(AND(V228=1,OR(Control_Achizitii!$J228&lt;&gt;"DOSAR COMPLET",Control_Achizitii!$K228&lt;&gt;"")),ROW(),1000000000)</f>
        <v>1000000000</v>
      </c>
      <c r="X228" s="27">
        <f>IF(AND(V228=1,LEFT(Control_Achizitii!$E228,4)="Fact",NOT(ISNUMBER(Control_Achizitii!$P228))),1,0)</f>
        <v>0</v>
      </c>
      <c r="Y228" s="27">
        <f>IF(V228=0,0,IF(Control_Achizitii!$J228="DOSAR COMPLET",1,IF(LEFT(Control_Achizitii!$J228,9)="INCOMPLET",2,3)))</f>
        <v>0</v>
      </c>
      <c r="Z228" s="27"/>
      <c r="AA228" s="27"/>
      <c r="AB228" s="27"/>
      <c r="AC228" s="27"/>
      <c r="AD228" s="27"/>
      <c r="AE228" s="27"/>
      <c r="AF228" s="27"/>
      <c r="AG228" s="27"/>
      <c r="AH228" s="27">
        <f>IF(AND(V228=1,Control_Achizitii!$J228="DOSAR COMPLET",Control_Achizitii!$K228&lt;&gt;""),1,0)</f>
        <v>0</v>
      </c>
    </row>
    <row r="229" spans="1:34">
      <c r="A229" s="27"/>
      <c r="B229" s="27"/>
      <c r="C229" s="27"/>
      <c r="D229" s="27"/>
      <c r="E229" s="27"/>
      <c r="F229" s="27"/>
      <c r="G229" s="27"/>
      <c r="H229" s="27"/>
      <c r="I229" s="27"/>
      <c r="J229" s="27"/>
      <c r="K229" s="27"/>
      <c r="L229" s="27"/>
      <c r="M229" s="27"/>
      <c r="N229" s="27"/>
      <c r="O229" s="27"/>
      <c r="P229" s="27"/>
      <c r="Q229" s="27"/>
      <c r="R229" s="27"/>
      <c r="S229" s="27"/>
      <c r="T229" s="27">
        <f>IF(LEFT(Control_Achizitii!$E229,4)="Fact",1,0)</f>
        <v>0</v>
      </c>
      <c r="U229" s="27">
        <f>IF(Control_Achizitii!$C229="",0,IF(ISNUMBER(Control_Achizitii!$B229),0,1))</f>
        <v>0</v>
      </c>
      <c r="V229" s="27">
        <f>IF(Control_Achizitii!$C229="",0,IF($Z$2&lt;&gt;"OK",0,IF(AND(ISNUMBER(Control_Achizitii!$B229),Control_Achizitii!$B229&gt;=$E$5,Control_Achizitii!$B229&lt;$J$5+1,OR($O$5="Toate proiectele",Control_Achizitii!$Q229=$O$5)),1,0)))</f>
        <v>0</v>
      </c>
      <c r="W229" s="27">
        <f>IF(AND(V229=1,OR(Control_Achizitii!$J229&lt;&gt;"DOSAR COMPLET",Control_Achizitii!$K229&lt;&gt;"")),ROW(),1000000000)</f>
        <v>1000000000</v>
      </c>
      <c r="X229" s="27">
        <f>IF(AND(V229=1,LEFT(Control_Achizitii!$E229,4)="Fact",NOT(ISNUMBER(Control_Achizitii!$P229))),1,0)</f>
        <v>0</v>
      </c>
      <c r="Y229" s="27">
        <f>IF(V229=0,0,IF(Control_Achizitii!$J229="DOSAR COMPLET",1,IF(LEFT(Control_Achizitii!$J229,9)="INCOMPLET",2,3)))</f>
        <v>0</v>
      </c>
      <c r="Z229" s="27"/>
      <c r="AA229" s="27"/>
      <c r="AB229" s="27"/>
      <c r="AC229" s="27"/>
      <c r="AD229" s="27"/>
      <c r="AE229" s="27"/>
      <c r="AF229" s="27"/>
      <c r="AG229" s="27"/>
      <c r="AH229" s="27">
        <f>IF(AND(V229=1,Control_Achizitii!$J229="DOSAR COMPLET",Control_Achizitii!$K229&lt;&gt;""),1,0)</f>
        <v>0</v>
      </c>
    </row>
    <row r="230" spans="1:34">
      <c r="A230" s="27"/>
      <c r="B230" s="27"/>
      <c r="C230" s="27"/>
      <c r="D230" s="27"/>
      <c r="E230" s="27"/>
      <c r="F230" s="27"/>
      <c r="G230" s="27"/>
      <c r="H230" s="27"/>
      <c r="I230" s="27"/>
      <c r="J230" s="27"/>
      <c r="K230" s="27"/>
      <c r="L230" s="27"/>
      <c r="M230" s="27"/>
      <c r="N230" s="27"/>
      <c r="O230" s="27"/>
      <c r="P230" s="27"/>
      <c r="Q230" s="27"/>
      <c r="R230" s="27"/>
      <c r="S230" s="27"/>
      <c r="T230" s="27">
        <f>IF(LEFT(Control_Achizitii!$E230,4)="Fact",1,0)</f>
        <v>0</v>
      </c>
      <c r="U230" s="27">
        <f>IF(Control_Achizitii!$C230="",0,IF(ISNUMBER(Control_Achizitii!$B230),0,1))</f>
        <v>0</v>
      </c>
      <c r="V230" s="27">
        <f>IF(Control_Achizitii!$C230="",0,IF($Z$2&lt;&gt;"OK",0,IF(AND(ISNUMBER(Control_Achizitii!$B230),Control_Achizitii!$B230&gt;=$E$5,Control_Achizitii!$B230&lt;$J$5+1,OR($O$5="Toate proiectele",Control_Achizitii!$Q230=$O$5)),1,0)))</f>
        <v>0</v>
      </c>
      <c r="W230" s="27">
        <f>IF(AND(V230=1,OR(Control_Achizitii!$J230&lt;&gt;"DOSAR COMPLET",Control_Achizitii!$K230&lt;&gt;"")),ROW(),1000000000)</f>
        <v>1000000000</v>
      </c>
      <c r="X230" s="27">
        <f>IF(AND(V230=1,LEFT(Control_Achizitii!$E230,4)="Fact",NOT(ISNUMBER(Control_Achizitii!$P230))),1,0)</f>
        <v>0</v>
      </c>
      <c r="Y230" s="27">
        <f>IF(V230=0,0,IF(Control_Achizitii!$J230="DOSAR COMPLET",1,IF(LEFT(Control_Achizitii!$J230,9)="INCOMPLET",2,3)))</f>
        <v>0</v>
      </c>
      <c r="Z230" s="27"/>
      <c r="AA230" s="27"/>
      <c r="AB230" s="27"/>
      <c r="AC230" s="27"/>
      <c r="AD230" s="27"/>
      <c r="AE230" s="27"/>
      <c r="AF230" s="27"/>
      <c r="AG230" s="27"/>
      <c r="AH230" s="27">
        <f>IF(AND(V230=1,Control_Achizitii!$J230="DOSAR COMPLET",Control_Achizitii!$K230&lt;&gt;""),1,0)</f>
        <v>0</v>
      </c>
    </row>
    <row r="231" spans="1:34">
      <c r="A231" s="27"/>
      <c r="B231" s="27"/>
      <c r="C231" s="27"/>
      <c r="D231" s="27"/>
      <c r="E231" s="27"/>
      <c r="F231" s="27"/>
      <c r="G231" s="27"/>
      <c r="H231" s="27"/>
      <c r="I231" s="27"/>
      <c r="J231" s="27"/>
      <c r="K231" s="27"/>
      <c r="L231" s="27"/>
      <c r="M231" s="27"/>
      <c r="N231" s="27"/>
      <c r="O231" s="27"/>
      <c r="P231" s="27"/>
      <c r="Q231" s="27"/>
      <c r="R231" s="27"/>
      <c r="S231" s="27"/>
      <c r="T231" s="27">
        <f>IF(LEFT(Control_Achizitii!$E231,4)="Fact",1,0)</f>
        <v>0</v>
      </c>
      <c r="U231" s="27">
        <f>IF(Control_Achizitii!$C231="",0,IF(ISNUMBER(Control_Achizitii!$B231),0,1))</f>
        <v>0</v>
      </c>
      <c r="V231" s="27">
        <f>IF(Control_Achizitii!$C231="",0,IF($Z$2&lt;&gt;"OK",0,IF(AND(ISNUMBER(Control_Achizitii!$B231),Control_Achizitii!$B231&gt;=$E$5,Control_Achizitii!$B231&lt;$J$5+1,OR($O$5="Toate proiectele",Control_Achizitii!$Q231=$O$5)),1,0)))</f>
        <v>0</v>
      </c>
      <c r="W231" s="27">
        <f>IF(AND(V231=1,OR(Control_Achizitii!$J231&lt;&gt;"DOSAR COMPLET",Control_Achizitii!$K231&lt;&gt;"")),ROW(),1000000000)</f>
        <v>1000000000</v>
      </c>
      <c r="X231" s="27">
        <f>IF(AND(V231=1,LEFT(Control_Achizitii!$E231,4)="Fact",NOT(ISNUMBER(Control_Achizitii!$P231))),1,0)</f>
        <v>0</v>
      </c>
      <c r="Y231" s="27">
        <f>IF(V231=0,0,IF(Control_Achizitii!$J231="DOSAR COMPLET",1,IF(LEFT(Control_Achizitii!$J231,9)="INCOMPLET",2,3)))</f>
        <v>0</v>
      </c>
      <c r="Z231" s="27"/>
      <c r="AA231" s="27"/>
      <c r="AB231" s="27"/>
      <c r="AC231" s="27"/>
      <c r="AD231" s="27"/>
      <c r="AE231" s="27"/>
      <c r="AF231" s="27"/>
      <c r="AG231" s="27"/>
      <c r="AH231" s="27">
        <f>IF(AND(V231=1,Control_Achizitii!$J231="DOSAR COMPLET",Control_Achizitii!$K231&lt;&gt;""),1,0)</f>
        <v>0</v>
      </c>
    </row>
    <row r="232" spans="1:34">
      <c r="A232" s="27"/>
      <c r="B232" s="27"/>
      <c r="C232" s="27"/>
      <c r="D232" s="27"/>
      <c r="E232" s="27"/>
      <c r="F232" s="27"/>
      <c r="G232" s="27"/>
      <c r="H232" s="27"/>
      <c r="I232" s="27"/>
      <c r="J232" s="27"/>
      <c r="K232" s="27"/>
      <c r="L232" s="27"/>
      <c r="M232" s="27"/>
      <c r="N232" s="27"/>
      <c r="O232" s="27"/>
      <c r="P232" s="27"/>
      <c r="Q232" s="27"/>
      <c r="R232" s="27"/>
      <c r="S232" s="27"/>
      <c r="T232" s="27">
        <f>IF(LEFT(Control_Achizitii!$E232,4)="Fact",1,0)</f>
        <v>0</v>
      </c>
      <c r="U232" s="27">
        <f>IF(Control_Achizitii!$C232="",0,IF(ISNUMBER(Control_Achizitii!$B232),0,1))</f>
        <v>0</v>
      </c>
      <c r="V232" s="27">
        <f>IF(Control_Achizitii!$C232="",0,IF($Z$2&lt;&gt;"OK",0,IF(AND(ISNUMBER(Control_Achizitii!$B232),Control_Achizitii!$B232&gt;=$E$5,Control_Achizitii!$B232&lt;$J$5+1,OR($O$5="Toate proiectele",Control_Achizitii!$Q232=$O$5)),1,0)))</f>
        <v>0</v>
      </c>
      <c r="W232" s="27">
        <f>IF(AND(V232=1,OR(Control_Achizitii!$J232&lt;&gt;"DOSAR COMPLET",Control_Achizitii!$K232&lt;&gt;"")),ROW(),1000000000)</f>
        <v>1000000000</v>
      </c>
      <c r="X232" s="27">
        <f>IF(AND(V232=1,LEFT(Control_Achizitii!$E232,4)="Fact",NOT(ISNUMBER(Control_Achizitii!$P232))),1,0)</f>
        <v>0</v>
      </c>
      <c r="Y232" s="27">
        <f>IF(V232=0,0,IF(Control_Achizitii!$J232="DOSAR COMPLET",1,IF(LEFT(Control_Achizitii!$J232,9)="INCOMPLET",2,3)))</f>
        <v>0</v>
      </c>
      <c r="Z232" s="27"/>
      <c r="AA232" s="27"/>
      <c r="AB232" s="27"/>
      <c r="AC232" s="27"/>
      <c r="AD232" s="27"/>
      <c r="AE232" s="27"/>
      <c r="AF232" s="27"/>
      <c r="AG232" s="27"/>
      <c r="AH232" s="27">
        <f>IF(AND(V232=1,Control_Achizitii!$J232="DOSAR COMPLET",Control_Achizitii!$K232&lt;&gt;""),1,0)</f>
        <v>0</v>
      </c>
    </row>
    <row r="233" spans="1:34">
      <c r="A233" s="27"/>
      <c r="B233" s="27"/>
      <c r="C233" s="27"/>
      <c r="D233" s="27"/>
      <c r="E233" s="27"/>
      <c r="F233" s="27"/>
      <c r="G233" s="27"/>
      <c r="H233" s="27"/>
      <c r="I233" s="27"/>
      <c r="J233" s="27"/>
      <c r="K233" s="27"/>
      <c r="L233" s="27"/>
      <c r="M233" s="27"/>
      <c r="N233" s="27"/>
      <c r="O233" s="27"/>
      <c r="P233" s="27"/>
      <c r="Q233" s="27"/>
      <c r="R233" s="27"/>
      <c r="S233" s="27"/>
      <c r="T233" s="27">
        <f>IF(LEFT(Control_Achizitii!$E233,4)="Fact",1,0)</f>
        <v>0</v>
      </c>
      <c r="U233" s="27">
        <f>IF(Control_Achizitii!$C233="",0,IF(ISNUMBER(Control_Achizitii!$B233),0,1))</f>
        <v>0</v>
      </c>
      <c r="V233" s="27">
        <f>IF(Control_Achizitii!$C233="",0,IF($Z$2&lt;&gt;"OK",0,IF(AND(ISNUMBER(Control_Achizitii!$B233),Control_Achizitii!$B233&gt;=$E$5,Control_Achizitii!$B233&lt;$J$5+1,OR($O$5="Toate proiectele",Control_Achizitii!$Q233=$O$5)),1,0)))</f>
        <v>0</v>
      </c>
      <c r="W233" s="27">
        <f>IF(AND(V233=1,OR(Control_Achizitii!$J233&lt;&gt;"DOSAR COMPLET",Control_Achizitii!$K233&lt;&gt;"")),ROW(),1000000000)</f>
        <v>1000000000</v>
      </c>
      <c r="X233" s="27">
        <f>IF(AND(V233=1,LEFT(Control_Achizitii!$E233,4)="Fact",NOT(ISNUMBER(Control_Achizitii!$P233))),1,0)</f>
        <v>0</v>
      </c>
      <c r="Y233" s="27">
        <f>IF(V233=0,0,IF(Control_Achizitii!$J233="DOSAR COMPLET",1,IF(LEFT(Control_Achizitii!$J233,9)="INCOMPLET",2,3)))</f>
        <v>0</v>
      </c>
      <c r="Z233" s="27"/>
      <c r="AA233" s="27"/>
      <c r="AB233" s="27"/>
      <c r="AC233" s="27"/>
      <c r="AD233" s="27"/>
      <c r="AE233" s="27"/>
      <c r="AF233" s="27"/>
      <c r="AG233" s="27"/>
      <c r="AH233" s="27">
        <f>IF(AND(V233=1,Control_Achizitii!$J233="DOSAR COMPLET",Control_Achizitii!$K233&lt;&gt;""),1,0)</f>
        <v>0</v>
      </c>
    </row>
    <row r="234" spans="1:34">
      <c r="A234" s="27"/>
      <c r="B234" s="27"/>
      <c r="C234" s="27"/>
      <c r="D234" s="27"/>
      <c r="E234" s="27"/>
      <c r="F234" s="27"/>
      <c r="G234" s="27"/>
      <c r="H234" s="27"/>
      <c r="I234" s="27"/>
      <c r="J234" s="27"/>
      <c r="K234" s="27"/>
      <c r="L234" s="27"/>
      <c r="M234" s="27"/>
      <c r="N234" s="27"/>
      <c r="O234" s="27"/>
      <c r="P234" s="27"/>
      <c r="Q234" s="27"/>
      <c r="R234" s="27"/>
      <c r="S234" s="27"/>
      <c r="T234" s="27">
        <f>IF(LEFT(Control_Achizitii!$E234,4)="Fact",1,0)</f>
        <v>0</v>
      </c>
      <c r="U234" s="27">
        <f>IF(Control_Achizitii!$C234="",0,IF(ISNUMBER(Control_Achizitii!$B234),0,1))</f>
        <v>0</v>
      </c>
      <c r="V234" s="27">
        <f>IF(Control_Achizitii!$C234="",0,IF($Z$2&lt;&gt;"OK",0,IF(AND(ISNUMBER(Control_Achizitii!$B234),Control_Achizitii!$B234&gt;=$E$5,Control_Achizitii!$B234&lt;$J$5+1,OR($O$5="Toate proiectele",Control_Achizitii!$Q234=$O$5)),1,0)))</f>
        <v>0</v>
      </c>
      <c r="W234" s="27">
        <f>IF(AND(V234=1,OR(Control_Achizitii!$J234&lt;&gt;"DOSAR COMPLET",Control_Achizitii!$K234&lt;&gt;"")),ROW(),1000000000)</f>
        <v>1000000000</v>
      </c>
      <c r="X234" s="27">
        <f>IF(AND(V234=1,LEFT(Control_Achizitii!$E234,4)="Fact",NOT(ISNUMBER(Control_Achizitii!$P234))),1,0)</f>
        <v>0</v>
      </c>
      <c r="Y234" s="27">
        <f>IF(V234=0,0,IF(Control_Achizitii!$J234="DOSAR COMPLET",1,IF(LEFT(Control_Achizitii!$J234,9)="INCOMPLET",2,3)))</f>
        <v>0</v>
      </c>
      <c r="Z234" s="27"/>
      <c r="AA234" s="27"/>
      <c r="AB234" s="27"/>
      <c r="AC234" s="27"/>
      <c r="AD234" s="27"/>
      <c r="AE234" s="27"/>
      <c r="AF234" s="27"/>
      <c r="AG234" s="27"/>
      <c r="AH234" s="27">
        <f>IF(AND(V234=1,Control_Achizitii!$J234="DOSAR COMPLET",Control_Achizitii!$K234&lt;&gt;""),1,0)</f>
        <v>0</v>
      </c>
    </row>
    <row r="235" spans="1:34">
      <c r="A235" s="27"/>
      <c r="B235" s="27"/>
      <c r="C235" s="27"/>
      <c r="D235" s="27"/>
      <c r="E235" s="27"/>
      <c r="F235" s="27"/>
      <c r="G235" s="27"/>
      <c r="H235" s="27"/>
      <c r="I235" s="27"/>
      <c r="J235" s="27"/>
      <c r="K235" s="27"/>
      <c r="L235" s="27"/>
      <c r="M235" s="27"/>
      <c r="N235" s="27"/>
      <c r="O235" s="27"/>
      <c r="P235" s="27"/>
      <c r="Q235" s="27"/>
      <c r="R235" s="27"/>
      <c r="S235" s="27"/>
      <c r="T235" s="27">
        <f>IF(LEFT(Control_Achizitii!$E235,4)="Fact",1,0)</f>
        <v>0</v>
      </c>
      <c r="U235" s="27">
        <f>IF(Control_Achizitii!$C235="",0,IF(ISNUMBER(Control_Achizitii!$B235),0,1))</f>
        <v>0</v>
      </c>
      <c r="V235" s="27">
        <f>IF(Control_Achizitii!$C235="",0,IF($Z$2&lt;&gt;"OK",0,IF(AND(ISNUMBER(Control_Achizitii!$B235),Control_Achizitii!$B235&gt;=$E$5,Control_Achizitii!$B235&lt;$J$5+1,OR($O$5="Toate proiectele",Control_Achizitii!$Q235=$O$5)),1,0)))</f>
        <v>0</v>
      </c>
      <c r="W235" s="27">
        <f>IF(AND(V235=1,OR(Control_Achizitii!$J235&lt;&gt;"DOSAR COMPLET",Control_Achizitii!$K235&lt;&gt;"")),ROW(),1000000000)</f>
        <v>1000000000</v>
      </c>
      <c r="X235" s="27">
        <f>IF(AND(V235=1,LEFT(Control_Achizitii!$E235,4)="Fact",NOT(ISNUMBER(Control_Achizitii!$P235))),1,0)</f>
        <v>0</v>
      </c>
      <c r="Y235" s="27">
        <f>IF(V235=0,0,IF(Control_Achizitii!$J235="DOSAR COMPLET",1,IF(LEFT(Control_Achizitii!$J235,9)="INCOMPLET",2,3)))</f>
        <v>0</v>
      </c>
      <c r="Z235" s="27"/>
      <c r="AA235" s="27"/>
      <c r="AB235" s="27"/>
      <c r="AC235" s="27"/>
      <c r="AD235" s="27"/>
      <c r="AE235" s="27"/>
      <c r="AF235" s="27"/>
      <c r="AG235" s="27"/>
      <c r="AH235" s="27">
        <f>IF(AND(V235=1,Control_Achizitii!$J235="DOSAR COMPLET",Control_Achizitii!$K235&lt;&gt;""),1,0)</f>
        <v>0</v>
      </c>
    </row>
    <row r="236" spans="1:34">
      <c r="A236" s="27"/>
      <c r="B236" s="27"/>
      <c r="C236" s="27"/>
      <c r="D236" s="27"/>
      <c r="E236" s="27"/>
      <c r="F236" s="27"/>
      <c r="G236" s="27"/>
      <c r="H236" s="27"/>
      <c r="I236" s="27"/>
      <c r="J236" s="27"/>
      <c r="K236" s="27"/>
      <c r="L236" s="27"/>
      <c r="M236" s="27"/>
      <c r="N236" s="27"/>
      <c r="O236" s="27"/>
      <c r="P236" s="27"/>
      <c r="Q236" s="27"/>
      <c r="R236" s="27"/>
      <c r="S236" s="27"/>
      <c r="T236" s="27">
        <f>IF(LEFT(Control_Achizitii!$E236,4)="Fact",1,0)</f>
        <v>0</v>
      </c>
      <c r="U236" s="27">
        <f>IF(Control_Achizitii!$C236="",0,IF(ISNUMBER(Control_Achizitii!$B236),0,1))</f>
        <v>0</v>
      </c>
      <c r="V236" s="27">
        <f>IF(Control_Achizitii!$C236="",0,IF($Z$2&lt;&gt;"OK",0,IF(AND(ISNUMBER(Control_Achizitii!$B236),Control_Achizitii!$B236&gt;=$E$5,Control_Achizitii!$B236&lt;$J$5+1,OR($O$5="Toate proiectele",Control_Achizitii!$Q236=$O$5)),1,0)))</f>
        <v>0</v>
      </c>
      <c r="W236" s="27">
        <f>IF(AND(V236=1,OR(Control_Achizitii!$J236&lt;&gt;"DOSAR COMPLET",Control_Achizitii!$K236&lt;&gt;"")),ROW(),1000000000)</f>
        <v>1000000000</v>
      </c>
      <c r="X236" s="27">
        <f>IF(AND(V236=1,LEFT(Control_Achizitii!$E236,4)="Fact",NOT(ISNUMBER(Control_Achizitii!$P236))),1,0)</f>
        <v>0</v>
      </c>
      <c r="Y236" s="27">
        <f>IF(V236=0,0,IF(Control_Achizitii!$J236="DOSAR COMPLET",1,IF(LEFT(Control_Achizitii!$J236,9)="INCOMPLET",2,3)))</f>
        <v>0</v>
      </c>
      <c r="Z236" s="27"/>
      <c r="AA236" s="27"/>
      <c r="AB236" s="27"/>
      <c r="AC236" s="27"/>
      <c r="AD236" s="27"/>
      <c r="AE236" s="27"/>
      <c r="AF236" s="27"/>
      <c r="AG236" s="27"/>
      <c r="AH236" s="27">
        <f>IF(AND(V236=1,Control_Achizitii!$J236="DOSAR COMPLET",Control_Achizitii!$K236&lt;&gt;""),1,0)</f>
        <v>0</v>
      </c>
    </row>
    <row r="237" spans="1:34">
      <c r="A237" s="27"/>
      <c r="B237" s="27"/>
      <c r="C237" s="27"/>
      <c r="D237" s="27"/>
      <c r="E237" s="27"/>
      <c r="F237" s="27"/>
      <c r="G237" s="27"/>
      <c r="H237" s="27"/>
      <c r="I237" s="27"/>
      <c r="J237" s="27"/>
      <c r="K237" s="27"/>
      <c r="L237" s="27"/>
      <c r="M237" s="27"/>
      <c r="N237" s="27"/>
      <c r="O237" s="27"/>
      <c r="P237" s="27"/>
      <c r="Q237" s="27"/>
      <c r="R237" s="27"/>
      <c r="S237" s="27"/>
      <c r="T237" s="27">
        <f>IF(LEFT(Control_Achizitii!$E237,4)="Fact",1,0)</f>
        <v>0</v>
      </c>
      <c r="U237" s="27">
        <f>IF(Control_Achizitii!$C237="",0,IF(ISNUMBER(Control_Achizitii!$B237),0,1))</f>
        <v>0</v>
      </c>
      <c r="V237" s="27">
        <f>IF(Control_Achizitii!$C237="",0,IF($Z$2&lt;&gt;"OK",0,IF(AND(ISNUMBER(Control_Achizitii!$B237),Control_Achizitii!$B237&gt;=$E$5,Control_Achizitii!$B237&lt;$J$5+1,OR($O$5="Toate proiectele",Control_Achizitii!$Q237=$O$5)),1,0)))</f>
        <v>0</v>
      </c>
      <c r="W237" s="27">
        <f>IF(AND(V237=1,OR(Control_Achizitii!$J237&lt;&gt;"DOSAR COMPLET",Control_Achizitii!$K237&lt;&gt;"")),ROW(),1000000000)</f>
        <v>1000000000</v>
      </c>
      <c r="X237" s="27">
        <f>IF(AND(V237=1,LEFT(Control_Achizitii!$E237,4)="Fact",NOT(ISNUMBER(Control_Achizitii!$P237))),1,0)</f>
        <v>0</v>
      </c>
      <c r="Y237" s="27">
        <f>IF(V237=0,0,IF(Control_Achizitii!$J237="DOSAR COMPLET",1,IF(LEFT(Control_Achizitii!$J237,9)="INCOMPLET",2,3)))</f>
        <v>0</v>
      </c>
      <c r="Z237" s="27"/>
      <c r="AA237" s="27"/>
      <c r="AB237" s="27"/>
      <c r="AC237" s="27"/>
      <c r="AD237" s="27"/>
      <c r="AE237" s="27"/>
      <c r="AF237" s="27"/>
      <c r="AG237" s="27"/>
      <c r="AH237" s="27">
        <f>IF(AND(V237=1,Control_Achizitii!$J237="DOSAR COMPLET",Control_Achizitii!$K237&lt;&gt;""),1,0)</f>
        <v>0</v>
      </c>
    </row>
    <row r="238" spans="1:34">
      <c r="A238" s="27"/>
      <c r="B238" s="27"/>
      <c r="C238" s="27"/>
      <c r="D238" s="27"/>
      <c r="E238" s="27"/>
      <c r="F238" s="27"/>
      <c r="G238" s="27"/>
      <c r="H238" s="27"/>
      <c r="I238" s="27"/>
      <c r="J238" s="27"/>
      <c r="K238" s="27"/>
      <c r="L238" s="27"/>
      <c r="M238" s="27"/>
      <c r="N238" s="27"/>
      <c r="O238" s="27"/>
      <c r="P238" s="27"/>
      <c r="Q238" s="27"/>
      <c r="R238" s="27"/>
      <c r="S238" s="27"/>
      <c r="T238" s="27">
        <f>IF(LEFT(Control_Achizitii!$E238,4)="Fact",1,0)</f>
        <v>0</v>
      </c>
      <c r="U238" s="27">
        <f>IF(Control_Achizitii!$C238="",0,IF(ISNUMBER(Control_Achizitii!$B238),0,1))</f>
        <v>0</v>
      </c>
      <c r="V238" s="27">
        <f>IF(Control_Achizitii!$C238="",0,IF($Z$2&lt;&gt;"OK",0,IF(AND(ISNUMBER(Control_Achizitii!$B238),Control_Achizitii!$B238&gt;=$E$5,Control_Achizitii!$B238&lt;$J$5+1,OR($O$5="Toate proiectele",Control_Achizitii!$Q238=$O$5)),1,0)))</f>
        <v>0</v>
      </c>
      <c r="W238" s="27">
        <f>IF(AND(V238=1,OR(Control_Achizitii!$J238&lt;&gt;"DOSAR COMPLET",Control_Achizitii!$K238&lt;&gt;"")),ROW(),1000000000)</f>
        <v>1000000000</v>
      </c>
      <c r="X238" s="27">
        <f>IF(AND(V238=1,LEFT(Control_Achizitii!$E238,4)="Fact",NOT(ISNUMBER(Control_Achizitii!$P238))),1,0)</f>
        <v>0</v>
      </c>
      <c r="Y238" s="27">
        <f>IF(V238=0,0,IF(Control_Achizitii!$J238="DOSAR COMPLET",1,IF(LEFT(Control_Achizitii!$J238,9)="INCOMPLET",2,3)))</f>
        <v>0</v>
      </c>
      <c r="Z238" s="27"/>
      <c r="AA238" s="27"/>
      <c r="AB238" s="27"/>
      <c r="AC238" s="27"/>
      <c r="AD238" s="27"/>
      <c r="AE238" s="27"/>
      <c r="AF238" s="27"/>
      <c r="AG238" s="27"/>
      <c r="AH238" s="27">
        <f>IF(AND(V238=1,Control_Achizitii!$J238="DOSAR COMPLET",Control_Achizitii!$K238&lt;&gt;""),1,0)</f>
        <v>0</v>
      </c>
    </row>
    <row r="239" spans="1:34">
      <c r="A239" s="27"/>
      <c r="B239" s="27"/>
      <c r="C239" s="27"/>
      <c r="D239" s="27"/>
      <c r="E239" s="27"/>
      <c r="F239" s="27"/>
      <c r="G239" s="27"/>
      <c r="H239" s="27"/>
      <c r="I239" s="27"/>
      <c r="J239" s="27"/>
      <c r="K239" s="27"/>
      <c r="L239" s="27"/>
      <c r="M239" s="27"/>
      <c r="N239" s="27"/>
      <c r="O239" s="27"/>
      <c r="P239" s="27"/>
      <c r="Q239" s="27"/>
      <c r="R239" s="27"/>
      <c r="S239" s="27"/>
      <c r="T239" s="27">
        <f>IF(LEFT(Control_Achizitii!$E239,4)="Fact",1,0)</f>
        <v>0</v>
      </c>
      <c r="U239" s="27">
        <f>IF(Control_Achizitii!$C239="",0,IF(ISNUMBER(Control_Achizitii!$B239),0,1))</f>
        <v>0</v>
      </c>
      <c r="V239" s="27">
        <f>IF(Control_Achizitii!$C239="",0,IF($Z$2&lt;&gt;"OK",0,IF(AND(ISNUMBER(Control_Achizitii!$B239),Control_Achizitii!$B239&gt;=$E$5,Control_Achizitii!$B239&lt;$J$5+1,OR($O$5="Toate proiectele",Control_Achizitii!$Q239=$O$5)),1,0)))</f>
        <v>0</v>
      </c>
      <c r="W239" s="27">
        <f>IF(AND(V239=1,OR(Control_Achizitii!$J239&lt;&gt;"DOSAR COMPLET",Control_Achizitii!$K239&lt;&gt;"")),ROW(),1000000000)</f>
        <v>1000000000</v>
      </c>
      <c r="X239" s="27">
        <f>IF(AND(V239=1,LEFT(Control_Achizitii!$E239,4)="Fact",NOT(ISNUMBER(Control_Achizitii!$P239))),1,0)</f>
        <v>0</v>
      </c>
      <c r="Y239" s="27">
        <f>IF(V239=0,0,IF(Control_Achizitii!$J239="DOSAR COMPLET",1,IF(LEFT(Control_Achizitii!$J239,9)="INCOMPLET",2,3)))</f>
        <v>0</v>
      </c>
      <c r="Z239" s="27"/>
      <c r="AA239" s="27"/>
      <c r="AB239" s="27"/>
      <c r="AC239" s="27"/>
      <c r="AD239" s="27"/>
      <c r="AE239" s="27"/>
      <c r="AF239" s="27"/>
      <c r="AG239" s="27"/>
      <c r="AH239" s="27">
        <f>IF(AND(V239=1,Control_Achizitii!$J239="DOSAR COMPLET",Control_Achizitii!$K239&lt;&gt;""),1,0)</f>
        <v>0</v>
      </c>
    </row>
    <row r="240" spans="1:34">
      <c r="A240" s="27"/>
      <c r="B240" s="27"/>
      <c r="C240" s="27"/>
      <c r="D240" s="27"/>
      <c r="E240" s="27"/>
      <c r="F240" s="27"/>
      <c r="G240" s="27"/>
      <c r="H240" s="27"/>
      <c r="I240" s="27"/>
      <c r="J240" s="27"/>
      <c r="K240" s="27"/>
      <c r="L240" s="27"/>
      <c r="M240" s="27"/>
      <c r="N240" s="27"/>
      <c r="O240" s="27"/>
      <c r="P240" s="27"/>
      <c r="Q240" s="27"/>
      <c r="R240" s="27"/>
      <c r="S240" s="27"/>
      <c r="T240" s="27">
        <f>IF(LEFT(Control_Achizitii!$E240,4)="Fact",1,0)</f>
        <v>0</v>
      </c>
      <c r="U240" s="27">
        <f>IF(Control_Achizitii!$C240="",0,IF(ISNUMBER(Control_Achizitii!$B240),0,1))</f>
        <v>0</v>
      </c>
      <c r="V240" s="27">
        <f>IF(Control_Achizitii!$C240="",0,IF($Z$2&lt;&gt;"OK",0,IF(AND(ISNUMBER(Control_Achizitii!$B240),Control_Achizitii!$B240&gt;=$E$5,Control_Achizitii!$B240&lt;$J$5+1,OR($O$5="Toate proiectele",Control_Achizitii!$Q240=$O$5)),1,0)))</f>
        <v>0</v>
      </c>
      <c r="W240" s="27">
        <f>IF(AND(V240=1,OR(Control_Achizitii!$J240&lt;&gt;"DOSAR COMPLET",Control_Achizitii!$K240&lt;&gt;"")),ROW(),1000000000)</f>
        <v>1000000000</v>
      </c>
      <c r="X240" s="27">
        <f>IF(AND(V240=1,LEFT(Control_Achizitii!$E240,4)="Fact",NOT(ISNUMBER(Control_Achizitii!$P240))),1,0)</f>
        <v>0</v>
      </c>
      <c r="Y240" s="27">
        <f>IF(V240=0,0,IF(Control_Achizitii!$J240="DOSAR COMPLET",1,IF(LEFT(Control_Achizitii!$J240,9)="INCOMPLET",2,3)))</f>
        <v>0</v>
      </c>
      <c r="Z240" s="27"/>
      <c r="AA240" s="27"/>
      <c r="AB240" s="27"/>
      <c r="AC240" s="27"/>
      <c r="AD240" s="27"/>
      <c r="AE240" s="27"/>
      <c r="AF240" s="27"/>
      <c r="AG240" s="27"/>
      <c r="AH240" s="27">
        <f>IF(AND(V240=1,Control_Achizitii!$J240="DOSAR COMPLET",Control_Achizitii!$K240&lt;&gt;""),1,0)</f>
        <v>0</v>
      </c>
    </row>
    <row r="241" spans="1:34">
      <c r="A241" s="27"/>
      <c r="B241" s="27"/>
      <c r="C241" s="27"/>
      <c r="D241" s="27"/>
      <c r="E241" s="27"/>
      <c r="F241" s="27"/>
      <c r="G241" s="27"/>
      <c r="H241" s="27"/>
      <c r="I241" s="27"/>
      <c r="J241" s="27"/>
      <c r="K241" s="27"/>
      <c r="L241" s="27"/>
      <c r="M241" s="27"/>
      <c r="N241" s="27"/>
      <c r="O241" s="27"/>
      <c r="P241" s="27"/>
      <c r="Q241" s="27"/>
      <c r="R241" s="27"/>
      <c r="S241" s="27"/>
      <c r="T241" s="27">
        <f>IF(LEFT(Control_Achizitii!$E241,4)="Fact",1,0)</f>
        <v>0</v>
      </c>
      <c r="U241" s="27">
        <f>IF(Control_Achizitii!$C241="",0,IF(ISNUMBER(Control_Achizitii!$B241),0,1))</f>
        <v>0</v>
      </c>
      <c r="V241" s="27">
        <f>IF(Control_Achizitii!$C241="",0,IF($Z$2&lt;&gt;"OK",0,IF(AND(ISNUMBER(Control_Achizitii!$B241),Control_Achizitii!$B241&gt;=$E$5,Control_Achizitii!$B241&lt;$J$5+1,OR($O$5="Toate proiectele",Control_Achizitii!$Q241=$O$5)),1,0)))</f>
        <v>0</v>
      </c>
      <c r="W241" s="27">
        <f>IF(AND(V241=1,OR(Control_Achizitii!$J241&lt;&gt;"DOSAR COMPLET",Control_Achizitii!$K241&lt;&gt;"")),ROW(),1000000000)</f>
        <v>1000000000</v>
      </c>
      <c r="X241" s="27">
        <f>IF(AND(V241=1,LEFT(Control_Achizitii!$E241,4)="Fact",NOT(ISNUMBER(Control_Achizitii!$P241))),1,0)</f>
        <v>0</v>
      </c>
      <c r="Y241" s="27">
        <f>IF(V241=0,0,IF(Control_Achizitii!$J241="DOSAR COMPLET",1,IF(LEFT(Control_Achizitii!$J241,9)="INCOMPLET",2,3)))</f>
        <v>0</v>
      </c>
      <c r="Z241" s="27"/>
      <c r="AA241" s="27"/>
      <c r="AB241" s="27"/>
      <c r="AC241" s="27"/>
      <c r="AD241" s="27"/>
      <c r="AE241" s="27"/>
      <c r="AF241" s="27"/>
      <c r="AG241" s="27"/>
      <c r="AH241" s="27">
        <f>IF(AND(V241=1,Control_Achizitii!$J241="DOSAR COMPLET",Control_Achizitii!$K241&lt;&gt;""),1,0)</f>
        <v>0</v>
      </c>
    </row>
    <row r="242" spans="1:34">
      <c r="A242" s="27"/>
      <c r="B242" s="27"/>
      <c r="C242" s="27"/>
      <c r="D242" s="27"/>
      <c r="E242" s="27"/>
      <c r="F242" s="27"/>
      <c r="G242" s="27"/>
      <c r="H242" s="27"/>
      <c r="I242" s="27"/>
      <c r="J242" s="27"/>
      <c r="K242" s="27"/>
      <c r="L242" s="27"/>
      <c r="M242" s="27"/>
      <c r="N242" s="27"/>
      <c r="O242" s="27"/>
      <c r="P242" s="27"/>
      <c r="Q242" s="27"/>
      <c r="R242" s="27"/>
      <c r="S242" s="27"/>
      <c r="T242" s="27">
        <f>IF(LEFT(Control_Achizitii!$E242,4)="Fact",1,0)</f>
        <v>0</v>
      </c>
      <c r="U242" s="27">
        <f>IF(Control_Achizitii!$C242="",0,IF(ISNUMBER(Control_Achizitii!$B242),0,1))</f>
        <v>0</v>
      </c>
      <c r="V242" s="27">
        <f>IF(Control_Achizitii!$C242="",0,IF($Z$2&lt;&gt;"OK",0,IF(AND(ISNUMBER(Control_Achizitii!$B242),Control_Achizitii!$B242&gt;=$E$5,Control_Achizitii!$B242&lt;$J$5+1,OR($O$5="Toate proiectele",Control_Achizitii!$Q242=$O$5)),1,0)))</f>
        <v>0</v>
      </c>
      <c r="W242" s="27">
        <f>IF(AND(V242=1,OR(Control_Achizitii!$J242&lt;&gt;"DOSAR COMPLET",Control_Achizitii!$K242&lt;&gt;"")),ROW(),1000000000)</f>
        <v>1000000000</v>
      </c>
      <c r="X242" s="27">
        <f>IF(AND(V242=1,LEFT(Control_Achizitii!$E242,4)="Fact",NOT(ISNUMBER(Control_Achizitii!$P242))),1,0)</f>
        <v>0</v>
      </c>
      <c r="Y242" s="27">
        <f>IF(V242=0,0,IF(Control_Achizitii!$J242="DOSAR COMPLET",1,IF(LEFT(Control_Achizitii!$J242,9)="INCOMPLET",2,3)))</f>
        <v>0</v>
      </c>
      <c r="Z242" s="27"/>
      <c r="AA242" s="27"/>
      <c r="AB242" s="27"/>
      <c r="AC242" s="27"/>
      <c r="AD242" s="27"/>
      <c r="AE242" s="27"/>
      <c r="AF242" s="27"/>
      <c r="AG242" s="27"/>
      <c r="AH242" s="27">
        <f>IF(AND(V242=1,Control_Achizitii!$J242="DOSAR COMPLET",Control_Achizitii!$K242&lt;&gt;""),1,0)</f>
        <v>0</v>
      </c>
    </row>
    <row r="243" spans="1:34">
      <c r="A243" s="27"/>
      <c r="B243" s="27"/>
      <c r="C243" s="27"/>
      <c r="D243" s="27"/>
      <c r="E243" s="27"/>
      <c r="F243" s="27"/>
      <c r="G243" s="27"/>
      <c r="H243" s="27"/>
      <c r="I243" s="27"/>
      <c r="J243" s="27"/>
      <c r="K243" s="27"/>
      <c r="L243" s="27"/>
      <c r="M243" s="27"/>
      <c r="N243" s="27"/>
      <c r="O243" s="27"/>
      <c r="P243" s="27"/>
      <c r="Q243" s="27"/>
      <c r="R243" s="27"/>
      <c r="S243" s="27"/>
      <c r="T243" s="27">
        <f>IF(LEFT(Control_Achizitii!$E243,4)="Fact",1,0)</f>
        <v>0</v>
      </c>
      <c r="U243" s="27">
        <f>IF(Control_Achizitii!$C243="",0,IF(ISNUMBER(Control_Achizitii!$B243),0,1))</f>
        <v>0</v>
      </c>
      <c r="V243" s="27">
        <f>IF(Control_Achizitii!$C243="",0,IF($Z$2&lt;&gt;"OK",0,IF(AND(ISNUMBER(Control_Achizitii!$B243),Control_Achizitii!$B243&gt;=$E$5,Control_Achizitii!$B243&lt;$J$5+1,OR($O$5="Toate proiectele",Control_Achizitii!$Q243=$O$5)),1,0)))</f>
        <v>0</v>
      </c>
      <c r="W243" s="27">
        <f>IF(AND(V243=1,OR(Control_Achizitii!$J243&lt;&gt;"DOSAR COMPLET",Control_Achizitii!$K243&lt;&gt;"")),ROW(),1000000000)</f>
        <v>1000000000</v>
      </c>
      <c r="X243" s="27">
        <f>IF(AND(V243=1,LEFT(Control_Achizitii!$E243,4)="Fact",NOT(ISNUMBER(Control_Achizitii!$P243))),1,0)</f>
        <v>0</v>
      </c>
      <c r="Y243" s="27">
        <f>IF(V243=0,0,IF(Control_Achizitii!$J243="DOSAR COMPLET",1,IF(LEFT(Control_Achizitii!$J243,9)="INCOMPLET",2,3)))</f>
        <v>0</v>
      </c>
      <c r="Z243" s="27"/>
      <c r="AA243" s="27"/>
      <c r="AB243" s="27"/>
      <c r="AC243" s="27"/>
      <c r="AD243" s="27"/>
      <c r="AE243" s="27"/>
      <c r="AF243" s="27"/>
      <c r="AG243" s="27"/>
      <c r="AH243" s="27">
        <f>IF(AND(V243=1,Control_Achizitii!$J243="DOSAR COMPLET",Control_Achizitii!$K243&lt;&gt;""),1,0)</f>
        <v>0</v>
      </c>
    </row>
    <row r="244" spans="1:34">
      <c r="A244" s="27"/>
      <c r="B244" s="27"/>
      <c r="C244" s="27"/>
      <c r="D244" s="27"/>
      <c r="E244" s="27"/>
      <c r="F244" s="27"/>
      <c r="G244" s="27"/>
      <c r="H244" s="27"/>
      <c r="I244" s="27"/>
      <c r="J244" s="27"/>
      <c r="K244" s="27"/>
      <c r="L244" s="27"/>
      <c r="M244" s="27"/>
      <c r="N244" s="27"/>
      <c r="O244" s="27"/>
      <c r="P244" s="27"/>
      <c r="Q244" s="27"/>
      <c r="R244" s="27"/>
      <c r="S244" s="27"/>
      <c r="T244" s="27">
        <f>IF(LEFT(Control_Achizitii!$E244,4)="Fact",1,0)</f>
        <v>0</v>
      </c>
      <c r="U244" s="27">
        <f>IF(Control_Achizitii!$C244="",0,IF(ISNUMBER(Control_Achizitii!$B244),0,1))</f>
        <v>0</v>
      </c>
      <c r="V244" s="27">
        <f>IF(Control_Achizitii!$C244="",0,IF($Z$2&lt;&gt;"OK",0,IF(AND(ISNUMBER(Control_Achizitii!$B244),Control_Achizitii!$B244&gt;=$E$5,Control_Achizitii!$B244&lt;$J$5+1,OR($O$5="Toate proiectele",Control_Achizitii!$Q244=$O$5)),1,0)))</f>
        <v>0</v>
      </c>
      <c r="W244" s="27">
        <f>IF(AND(V244=1,OR(Control_Achizitii!$J244&lt;&gt;"DOSAR COMPLET",Control_Achizitii!$K244&lt;&gt;"")),ROW(),1000000000)</f>
        <v>1000000000</v>
      </c>
      <c r="X244" s="27">
        <f>IF(AND(V244=1,LEFT(Control_Achizitii!$E244,4)="Fact",NOT(ISNUMBER(Control_Achizitii!$P244))),1,0)</f>
        <v>0</v>
      </c>
      <c r="Y244" s="27">
        <f>IF(V244=0,0,IF(Control_Achizitii!$J244="DOSAR COMPLET",1,IF(LEFT(Control_Achizitii!$J244,9)="INCOMPLET",2,3)))</f>
        <v>0</v>
      </c>
      <c r="Z244" s="27"/>
      <c r="AA244" s="27"/>
      <c r="AB244" s="27"/>
      <c r="AC244" s="27"/>
      <c r="AD244" s="27"/>
      <c r="AE244" s="27"/>
      <c r="AF244" s="27"/>
      <c r="AG244" s="27"/>
      <c r="AH244" s="27">
        <f>IF(AND(V244=1,Control_Achizitii!$J244="DOSAR COMPLET",Control_Achizitii!$K244&lt;&gt;""),1,0)</f>
        <v>0</v>
      </c>
    </row>
    <row r="245" spans="1:34">
      <c r="A245" s="27"/>
      <c r="B245" s="27"/>
      <c r="C245" s="27"/>
      <c r="D245" s="27"/>
      <c r="E245" s="27"/>
      <c r="F245" s="27"/>
      <c r="G245" s="27"/>
      <c r="H245" s="27"/>
      <c r="I245" s="27"/>
      <c r="J245" s="27"/>
      <c r="K245" s="27"/>
      <c r="L245" s="27"/>
      <c r="M245" s="27"/>
      <c r="N245" s="27"/>
      <c r="O245" s="27"/>
      <c r="P245" s="27"/>
      <c r="Q245" s="27"/>
      <c r="R245" s="27"/>
      <c r="S245" s="27"/>
      <c r="T245" s="27">
        <f>IF(LEFT(Control_Achizitii!$E245,4)="Fact",1,0)</f>
        <v>0</v>
      </c>
      <c r="U245" s="27">
        <f>IF(Control_Achizitii!$C245="",0,IF(ISNUMBER(Control_Achizitii!$B245),0,1))</f>
        <v>0</v>
      </c>
      <c r="V245" s="27">
        <f>IF(Control_Achizitii!$C245="",0,IF($Z$2&lt;&gt;"OK",0,IF(AND(ISNUMBER(Control_Achizitii!$B245),Control_Achizitii!$B245&gt;=$E$5,Control_Achizitii!$B245&lt;$J$5+1,OR($O$5="Toate proiectele",Control_Achizitii!$Q245=$O$5)),1,0)))</f>
        <v>0</v>
      </c>
      <c r="W245" s="27">
        <f>IF(AND(V245=1,OR(Control_Achizitii!$J245&lt;&gt;"DOSAR COMPLET",Control_Achizitii!$K245&lt;&gt;"")),ROW(),1000000000)</f>
        <v>1000000000</v>
      </c>
      <c r="X245" s="27">
        <f>IF(AND(V245=1,LEFT(Control_Achizitii!$E245,4)="Fact",NOT(ISNUMBER(Control_Achizitii!$P245))),1,0)</f>
        <v>0</v>
      </c>
      <c r="Y245" s="27">
        <f>IF(V245=0,0,IF(Control_Achizitii!$J245="DOSAR COMPLET",1,IF(LEFT(Control_Achizitii!$J245,9)="INCOMPLET",2,3)))</f>
        <v>0</v>
      </c>
      <c r="Z245" s="27"/>
      <c r="AA245" s="27"/>
      <c r="AB245" s="27"/>
      <c r="AC245" s="27"/>
      <c r="AD245" s="27"/>
      <c r="AE245" s="27"/>
      <c r="AF245" s="27"/>
      <c r="AG245" s="27"/>
      <c r="AH245" s="27">
        <f>IF(AND(V245=1,Control_Achizitii!$J245="DOSAR COMPLET",Control_Achizitii!$K245&lt;&gt;""),1,0)</f>
        <v>0</v>
      </c>
    </row>
    <row r="246" spans="1:34">
      <c r="A246" s="27"/>
      <c r="B246" s="27"/>
      <c r="C246" s="27"/>
      <c r="D246" s="27"/>
      <c r="E246" s="27"/>
      <c r="F246" s="27"/>
      <c r="G246" s="27"/>
      <c r="H246" s="27"/>
      <c r="I246" s="27"/>
      <c r="J246" s="27"/>
      <c r="K246" s="27"/>
      <c r="L246" s="27"/>
      <c r="M246" s="27"/>
      <c r="N246" s="27"/>
      <c r="O246" s="27"/>
      <c r="P246" s="27"/>
      <c r="Q246" s="27"/>
      <c r="R246" s="27"/>
      <c r="S246" s="27"/>
      <c r="T246" s="27">
        <f>IF(LEFT(Control_Achizitii!$E246,4)="Fact",1,0)</f>
        <v>0</v>
      </c>
      <c r="U246" s="27">
        <f>IF(Control_Achizitii!$C246="",0,IF(ISNUMBER(Control_Achizitii!$B246),0,1))</f>
        <v>0</v>
      </c>
      <c r="V246" s="27">
        <f>IF(Control_Achizitii!$C246="",0,IF($Z$2&lt;&gt;"OK",0,IF(AND(ISNUMBER(Control_Achizitii!$B246),Control_Achizitii!$B246&gt;=$E$5,Control_Achizitii!$B246&lt;$J$5+1,OR($O$5="Toate proiectele",Control_Achizitii!$Q246=$O$5)),1,0)))</f>
        <v>0</v>
      </c>
      <c r="W246" s="27">
        <f>IF(AND(V246=1,OR(Control_Achizitii!$J246&lt;&gt;"DOSAR COMPLET",Control_Achizitii!$K246&lt;&gt;"")),ROW(),1000000000)</f>
        <v>1000000000</v>
      </c>
      <c r="X246" s="27">
        <f>IF(AND(V246=1,LEFT(Control_Achizitii!$E246,4)="Fact",NOT(ISNUMBER(Control_Achizitii!$P246))),1,0)</f>
        <v>0</v>
      </c>
      <c r="Y246" s="27">
        <f>IF(V246=0,0,IF(Control_Achizitii!$J246="DOSAR COMPLET",1,IF(LEFT(Control_Achizitii!$J246,9)="INCOMPLET",2,3)))</f>
        <v>0</v>
      </c>
      <c r="Z246" s="27"/>
      <c r="AA246" s="27"/>
      <c r="AB246" s="27"/>
      <c r="AC246" s="27"/>
      <c r="AD246" s="27"/>
      <c r="AE246" s="27"/>
      <c r="AF246" s="27"/>
      <c r="AG246" s="27"/>
      <c r="AH246" s="27">
        <f>IF(AND(V246=1,Control_Achizitii!$J246="DOSAR COMPLET",Control_Achizitii!$K246&lt;&gt;""),1,0)</f>
        <v>0</v>
      </c>
    </row>
    <row r="247" spans="1:34">
      <c r="A247" s="27"/>
      <c r="B247" s="27"/>
      <c r="C247" s="27"/>
      <c r="D247" s="27"/>
      <c r="E247" s="27"/>
      <c r="F247" s="27"/>
      <c r="G247" s="27"/>
      <c r="H247" s="27"/>
      <c r="I247" s="27"/>
      <c r="J247" s="27"/>
      <c r="K247" s="27"/>
      <c r="L247" s="27"/>
      <c r="M247" s="27"/>
      <c r="N247" s="27"/>
      <c r="O247" s="27"/>
      <c r="P247" s="27"/>
      <c r="Q247" s="27"/>
      <c r="R247" s="27"/>
      <c r="S247" s="27"/>
      <c r="T247" s="27">
        <f>IF(LEFT(Control_Achizitii!$E247,4)="Fact",1,0)</f>
        <v>0</v>
      </c>
      <c r="U247" s="27">
        <f>IF(Control_Achizitii!$C247="",0,IF(ISNUMBER(Control_Achizitii!$B247),0,1))</f>
        <v>0</v>
      </c>
      <c r="V247" s="27">
        <f>IF(Control_Achizitii!$C247="",0,IF($Z$2&lt;&gt;"OK",0,IF(AND(ISNUMBER(Control_Achizitii!$B247),Control_Achizitii!$B247&gt;=$E$5,Control_Achizitii!$B247&lt;$J$5+1,OR($O$5="Toate proiectele",Control_Achizitii!$Q247=$O$5)),1,0)))</f>
        <v>0</v>
      </c>
      <c r="W247" s="27">
        <f>IF(AND(V247=1,OR(Control_Achizitii!$J247&lt;&gt;"DOSAR COMPLET",Control_Achizitii!$K247&lt;&gt;"")),ROW(),1000000000)</f>
        <v>1000000000</v>
      </c>
      <c r="X247" s="27">
        <f>IF(AND(V247=1,LEFT(Control_Achizitii!$E247,4)="Fact",NOT(ISNUMBER(Control_Achizitii!$P247))),1,0)</f>
        <v>0</v>
      </c>
      <c r="Y247" s="27">
        <f>IF(V247=0,0,IF(Control_Achizitii!$J247="DOSAR COMPLET",1,IF(LEFT(Control_Achizitii!$J247,9)="INCOMPLET",2,3)))</f>
        <v>0</v>
      </c>
      <c r="Z247" s="27"/>
      <c r="AA247" s="27"/>
      <c r="AB247" s="27"/>
      <c r="AC247" s="27"/>
      <c r="AD247" s="27"/>
      <c r="AE247" s="27"/>
      <c r="AF247" s="27"/>
      <c r="AG247" s="27"/>
      <c r="AH247" s="27">
        <f>IF(AND(V247=1,Control_Achizitii!$J247="DOSAR COMPLET",Control_Achizitii!$K247&lt;&gt;""),1,0)</f>
        <v>0</v>
      </c>
    </row>
    <row r="248" spans="1:34">
      <c r="A248" s="27"/>
      <c r="B248" s="27"/>
      <c r="C248" s="27"/>
      <c r="D248" s="27"/>
      <c r="E248" s="27"/>
      <c r="F248" s="27"/>
      <c r="G248" s="27"/>
      <c r="H248" s="27"/>
      <c r="I248" s="27"/>
      <c r="J248" s="27"/>
      <c r="K248" s="27"/>
      <c r="L248" s="27"/>
      <c r="M248" s="27"/>
      <c r="N248" s="27"/>
      <c r="O248" s="27"/>
      <c r="P248" s="27"/>
      <c r="Q248" s="27"/>
      <c r="R248" s="27"/>
      <c r="S248" s="27"/>
      <c r="T248" s="27">
        <f>IF(LEFT(Control_Achizitii!$E248,4)="Fact",1,0)</f>
        <v>0</v>
      </c>
      <c r="U248" s="27">
        <f>IF(Control_Achizitii!$C248="",0,IF(ISNUMBER(Control_Achizitii!$B248),0,1))</f>
        <v>0</v>
      </c>
      <c r="V248" s="27">
        <f>IF(Control_Achizitii!$C248="",0,IF($Z$2&lt;&gt;"OK",0,IF(AND(ISNUMBER(Control_Achizitii!$B248),Control_Achizitii!$B248&gt;=$E$5,Control_Achizitii!$B248&lt;$J$5+1,OR($O$5="Toate proiectele",Control_Achizitii!$Q248=$O$5)),1,0)))</f>
        <v>0</v>
      </c>
      <c r="W248" s="27">
        <f>IF(AND(V248=1,OR(Control_Achizitii!$J248&lt;&gt;"DOSAR COMPLET",Control_Achizitii!$K248&lt;&gt;"")),ROW(),1000000000)</f>
        <v>1000000000</v>
      </c>
      <c r="X248" s="27">
        <f>IF(AND(V248=1,LEFT(Control_Achizitii!$E248,4)="Fact",NOT(ISNUMBER(Control_Achizitii!$P248))),1,0)</f>
        <v>0</v>
      </c>
      <c r="Y248" s="27">
        <f>IF(V248=0,0,IF(Control_Achizitii!$J248="DOSAR COMPLET",1,IF(LEFT(Control_Achizitii!$J248,9)="INCOMPLET",2,3)))</f>
        <v>0</v>
      </c>
      <c r="Z248" s="27"/>
      <c r="AA248" s="27"/>
      <c r="AB248" s="27"/>
      <c r="AC248" s="27"/>
      <c r="AD248" s="27"/>
      <c r="AE248" s="27"/>
      <c r="AF248" s="27"/>
      <c r="AG248" s="27"/>
      <c r="AH248" s="27">
        <f>IF(AND(V248=1,Control_Achizitii!$J248="DOSAR COMPLET",Control_Achizitii!$K248&lt;&gt;""),1,0)</f>
        <v>0</v>
      </c>
    </row>
    <row r="249" spans="1:34">
      <c r="A249" s="27"/>
      <c r="B249" s="27"/>
      <c r="C249" s="27"/>
      <c r="D249" s="27"/>
      <c r="E249" s="27"/>
      <c r="F249" s="27"/>
      <c r="G249" s="27"/>
      <c r="H249" s="27"/>
      <c r="I249" s="27"/>
      <c r="J249" s="27"/>
      <c r="K249" s="27"/>
      <c r="L249" s="27"/>
      <c r="M249" s="27"/>
      <c r="N249" s="27"/>
      <c r="O249" s="27"/>
      <c r="P249" s="27"/>
      <c r="Q249" s="27"/>
      <c r="R249" s="27"/>
      <c r="S249" s="27"/>
      <c r="T249" s="27">
        <f>IF(LEFT(Control_Achizitii!$E249,4)="Fact",1,0)</f>
        <v>0</v>
      </c>
      <c r="U249" s="27">
        <f>IF(Control_Achizitii!$C249="",0,IF(ISNUMBER(Control_Achizitii!$B249),0,1))</f>
        <v>0</v>
      </c>
      <c r="V249" s="27">
        <f>IF(Control_Achizitii!$C249="",0,IF($Z$2&lt;&gt;"OK",0,IF(AND(ISNUMBER(Control_Achizitii!$B249),Control_Achizitii!$B249&gt;=$E$5,Control_Achizitii!$B249&lt;$J$5+1,OR($O$5="Toate proiectele",Control_Achizitii!$Q249=$O$5)),1,0)))</f>
        <v>0</v>
      </c>
      <c r="W249" s="27">
        <f>IF(AND(V249=1,OR(Control_Achizitii!$J249&lt;&gt;"DOSAR COMPLET",Control_Achizitii!$K249&lt;&gt;"")),ROW(),1000000000)</f>
        <v>1000000000</v>
      </c>
      <c r="X249" s="27">
        <f>IF(AND(V249=1,LEFT(Control_Achizitii!$E249,4)="Fact",NOT(ISNUMBER(Control_Achizitii!$P249))),1,0)</f>
        <v>0</v>
      </c>
      <c r="Y249" s="27">
        <f>IF(V249=0,0,IF(Control_Achizitii!$J249="DOSAR COMPLET",1,IF(LEFT(Control_Achizitii!$J249,9)="INCOMPLET",2,3)))</f>
        <v>0</v>
      </c>
      <c r="Z249" s="27"/>
      <c r="AA249" s="27"/>
      <c r="AB249" s="27"/>
      <c r="AC249" s="27"/>
      <c r="AD249" s="27"/>
      <c r="AE249" s="27"/>
      <c r="AF249" s="27"/>
      <c r="AG249" s="27"/>
      <c r="AH249" s="27">
        <f>IF(AND(V249=1,Control_Achizitii!$J249="DOSAR COMPLET",Control_Achizitii!$K249&lt;&gt;""),1,0)</f>
        <v>0</v>
      </c>
    </row>
    <row r="250" spans="1:34">
      <c r="A250" s="27"/>
      <c r="B250" s="27"/>
      <c r="C250" s="27"/>
      <c r="D250" s="27"/>
      <c r="E250" s="27"/>
      <c r="F250" s="27"/>
      <c r="G250" s="27"/>
      <c r="H250" s="27"/>
      <c r="I250" s="27"/>
      <c r="J250" s="27"/>
      <c r="K250" s="27"/>
      <c r="L250" s="27"/>
      <c r="M250" s="27"/>
      <c r="N250" s="27"/>
      <c r="O250" s="27"/>
      <c r="P250" s="27"/>
      <c r="Q250" s="27"/>
      <c r="R250" s="27"/>
      <c r="S250" s="27"/>
      <c r="T250" s="27">
        <f>IF(LEFT(Control_Achizitii!$E250,4)="Fact",1,0)</f>
        <v>0</v>
      </c>
      <c r="U250" s="27">
        <f>IF(Control_Achizitii!$C250="",0,IF(ISNUMBER(Control_Achizitii!$B250),0,1))</f>
        <v>0</v>
      </c>
      <c r="V250" s="27">
        <f>IF(Control_Achizitii!$C250="",0,IF($Z$2&lt;&gt;"OK",0,IF(AND(ISNUMBER(Control_Achizitii!$B250),Control_Achizitii!$B250&gt;=$E$5,Control_Achizitii!$B250&lt;$J$5+1,OR($O$5="Toate proiectele",Control_Achizitii!$Q250=$O$5)),1,0)))</f>
        <v>0</v>
      </c>
      <c r="W250" s="27">
        <f>IF(AND(V250=1,OR(Control_Achizitii!$J250&lt;&gt;"DOSAR COMPLET",Control_Achizitii!$K250&lt;&gt;"")),ROW(),1000000000)</f>
        <v>1000000000</v>
      </c>
      <c r="X250" s="27">
        <f>IF(AND(V250=1,LEFT(Control_Achizitii!$E250,4)="Fact",NOT(ISNUMBER(Control_Achizitii!$P250))),1,0)</f>
        <v>0</v>
      </c>
      <c r="Y250" s="27">
        <f>IF(V250=0,0,IF(Control_Achizitii!$J250="DOSAR COMPLET",1,IF(LEFT(Control_Achizitii!$J250,9)="INCOMPLET",2,3)))</f>
        <v>0</v>
      </c>
      <c r="Z250" s="27"/>
      <c r="AA250" s="27"/>
      <c r="AB250" s="27"/>
      <c r="AC250" s="27"/>
      <c r="AD250" s="27"/>
      <c r="AE250" s="27"/>
      <c r="AF250" s="27"/>
      <c r="AG250" s="27"/>
      <c r="AH250" s="27">
        <f>IF(AND(V250=1,Control_Achizitii!$J250="DOSAR COMPLET",Control_Achizitii!$K250&lt;&gt;""),1,0)</f>
        <v>0</v>
      </c>
    </row>
    <row r="251" spans="1:34">
      <c r="A251" s="27"/>
      <c r="B251" s="27"/>
      <c r="C251" s="27"/>
      <c r="D251" s="27"/>
      <c r="E251" s="27"/>
      <c r="F251" s="27"/>
      <c r="G251" s="27"/>
      <c r="H251" s="27"/>
      <c r="I251" s="27"/>
      <c r="J251" s="27"/>
      <c r="K251" s="27"/>
      <c r="L251" s="27"/>
      <c r="M251" s="27"/>
      <c r="N251" s="27"/>
      <c r="O251" s="27"/>
      <c r="P251" s="27"/>
      <c r="Q251" s="27"/>
      <c r="R251" s="27"/>
      <c r="S251" s="27"/>
      <c r="T251" s="27">
        <f>IF(LEFT(Control_Achizitii!$E251,4)="Fact",1,0)</f>
        <v>0</v>
      </c>
      <c r="U251" s="27">
        <f>IF(Control_Achizitii!$C251="",0,IF(ISNUMBER(Control_Achizitii!$B251),0,1))</f>
        <v>0</v>
      </c>
      <c r="V251" s="27">
        <f>IF(Control_Achizitii!$C251="",0,IF($Z$2&lt;&gt;"OK",0,IF(AND(ISNUMBER(Control_Achizitii!$B251),Control_Achizitii!$B251&gt;=$E$5,Control_Achizitii!$B251&lt;$J$5+1,OR($O$5="Toate proiectele",Control_Achizitii!$Q251=$O$5)),1,0)))</f>
        <v>0</v>
      </c>
      <c r="W251" s="27">
        <f>IF(AND(V251=1,OR(Control_Achizitii!$J251&lt;&gt;"DOSAR COMPLET",Control_Achizitii!$K251&lt;&gt;"")),ROW(),1000000000)</f>
        <v>1000000000</v>
      </c>
      <c r="X251" s="27">
        <f>IF(AND(V251=1,LEFT(Control_Achizitii!$E251,4)="Fact",NOT(ISNUMBER(Control_Achizitii!$P251))),1,0)</f>
        <v>0</v>
      </c>
      <c r="Y251" s="27">
        <f>IF(V251=0,0,IF(Control_Achizitii!$J251="DOSAR COMPLET",1,IF(LEFT(Control_Achizitii!$J251,9)="INCOMPLET",2,3)))</f>
        <v>0</v>
      </c>
      <c r="Z251" s="27"/>
      <c r="AA251" s="27"/>
      <c r="AB251" s="27"/>
      <c r="AC251" s="27"/>
      <c r="AD251" s="27"/>
      <c r="AE251" s="27"/>
      <c r="AF251" s="27"/>
      <c r="AG251" s="27"/>
      <c r="AH251" s="27">
        <f>IF(AND(V251=1,Control_Achizitii!$J251="DOSAR COMPLET",Control_Achizitii!$K251&lt;&gt;""),1,0)</f>
        <v>0</v>
      </c>
    </row>
    <row r="252" spans="1:34">
      <c r="A252" s="27"/>
      <c r="B252" s="27"/>
      <c r="C252" s="27"/>
      <c r="D252" s="27"/>
      <c r="E252" s="27"/>
      <c r="F252" s="27"/>
      <c r="G252" s="27"/>
      <c r="H252" s="27"/>
      <c r="I252" s="27"/>
      <c r="J252" s="27"/>
      <c r="K252" s="27"/>
      <c r="L252" s="27"/>
      <c r="M252" s="27"/>
      <c r="N252" s="27"/>
      <c r="O252" s="27"/>
      <c r="P252" s="27"/>
      <c r="Q252" s="27"/>
      <c r="R252" s="27"/>
      <c r="S252" s="27"/>
      <c r="T252" s="27">
        <f>IF(LEFT(Control_Achizitii!$E252,4)="Fact",1,0)</f>
        <v>0</v>
      </c>
      <c r="U252" s="27">
        <f>IF(Control_Achizitii!$C252="",0,IF(ISNUMBER(Control_Achizitii!$B252),0,1))</f>
        <v>0</v>
      </c>
      <c r="V252" s="27">
        <f>IF(Control_Achizitii!$C252="",0,IF($Z$2&lt;&gt;"OK",0,IF(AND(ISNUMBER(Control_Achizitii!$B252),Control_Achizitii!$B252&gt;=$E$5,Control_Achizitii!$B252&lt;$J$5+1,OR($O$5="Toate proiectele",Control_Achizitii!$Q252=$O$5)),1,0)))</f>
        <v>0</v>
      </c>
      <c r="W252" s="27">
        <f>IF(AND(V252=1,OR(Control_Achizitii!$J252&lt;&gt;"DOSAR COMPLET",Control_Achizitii!$K252&lt;&gt;"")),ROW(),1000000000)</f>
        <v>1000000000</v>
      </c>
      <c r="X252" s="27">
        <f>IF(AND(V252=1,LEFT(Control_Achizitii!$E252,4)="Fact",NOT(ISNUMBER(Control_Achizitii!$P252))),1,0)</f>
        <v>0</v>
      </c>
      <c r="Y252" s="27">
        <f>IF(V252=0,0,IF(Control_Achizitii!$J252="DOSAR COMPLET",1,IF(LEFT(Control_Achizitii!$J252,9)="INCOMPLET",2,3)))</f>
        <v>0</v>
      </c>
      <c r="Z252" s="27"/>
      <c r="AA252" s="27"/>
      <c r="AB252" s="27"/>
      <c r="AC252" s="27"/>
      <c r="AD252" s="27"/>
      <c r="AE252" s="27"/>
      <c r="AF252" s="27"/>
      <c r="AG252" s="27"/>
      <c r="AH252" s="27">
        <f>IF(AND(V252=1,Control_Achizitii!$J252="DOSAR COMPLET",Control_Achizitii!$K252&lt;&gt;""),1,0)</f>
        <v>0</v>
      </c>
    </row>
    <row r="253" spans="1:34">
      <c r="A253" s="27"/>
      <c r="B253" s="27"/>
      <c r="C253" s="27"/>
      <c r="D253" s="27"/>
      <c r="E253" s="27"/>
      <c r="F253" s="27"/>
      <c r="G253" s="27"/>
      <c r="H253" s="27"/>
      <c r="I253" s="27"/>
      <c r="J253" s="27"/>
      <c r="K253" s="27"/>
      <c r="L253" s="27"/>
      <c r="M253" s="27"/>
      <c r="N253" s="27"/>
      <c r="O253" s="27"/>
      <c r="P253" s="27"/>
      <c r="Q253" s="27"/>
      <c r="R253" s="27"/>
      <c r="S253" s="27"/>
      <c r="T253" s="27">
        <f>IF(LEFT(Control_Achizitii!$E253,4)="Fact",1,0)</f>
        <v>0</v>
      </c>
      <c r="U253" s="27">
        <f>IF(Control_Achizitii!$C253="",0,IF(ISNUMBER(Control_Achizitii!$B253),0,1))</f>
        <v>0</v>
      </c>
      <c r="V253" s="27">
        <f>IF(Control_Achizitii!$C253="",0,IF($Z$2&lt;&gt;"OK",0,IF(AND(ISNUMBER(Control_Achizitii!$B253),Control_Achizitii!$B253&gt;=$E$5,Control_Achizitii!$B253&lt;$J$5+1,OR($O$5="Toate proiectele",Control_Achizitii!$Q253=$O$5)),1,0)))</f>
        <v>0</v>
      </c>
      <c r="W253" s="27">
        <f>IF(AND(V253=1,OR(Control_Achizitii!$J253&lt;&gt;"DOSAR COMPLET",Control_Achizitii!$K253&lt;&gt;"")),ROW(),1000000000)</f>
        <v>1000000000</v>
      </c>
      <c r="X253" s="27">
        <f>IF(AND(V253=1,LEFT(Control_Achizitii!$E253,4)="Fact",NOT(ISNUMBER(Control_Achizitii!$P253))),1,0)</f>
        <v>0</v>
      </c>
      <c r="Y253" s="27">
        <f>IF(V253=0,0,IF(Control_Achizitii!$J253="DOSAR COMPLET",1,IF(LEFT(Control_Achizitii!$J253,9)="INCOMPLET",2,3)))</f>
        <v>0</v>
      </c>
      <c r="Z253" s="27"/>
      <c r="AA253" s="27"/>
      <c r="AB253" s="27"/>
      <c r="AC253" s="27"/>
      <c r="AD253" s="27"/>
      <c r="AE253" s="27"/>
      <c r="AF253" s="27"/>
      <c r="AG253" s="27"/>
      <c r="AH253" s="27">
        <f>IF(AND(V253=1,Control_Achizitii!$J253="DOSAR COMPLET",Control_Achizitii!$K253&lt;&gt;""),1,0)</f>
        <v>0</v>
      </c>
    </row>
    <row r="254" spans="1:34">
      <c r="A254" s="27"/>
      <c r="B254" s="27"/>
      <c r="C254" s="27"/>
      <c r="D254" s="27"/>
      <c r="E254" s="27"/>
      <c r="F254" s="27"/>
      <c r="G254" s="27"/>
      <c r="H254" s="27"/>
      <c r="I254" s="27"/>
      <c r="J254" s="27"/>
      <c r="K254" s="27"/>
      <c r="L254" s="27"/>
      <c r="M254" s="27"/>
      <c r="N254" s="27"/>
      <c r="O254" s="27"/>
      <c r="P254" s="27"/>
      <c r="Q254" s="27"/>
      <c r="R254" s="27"/>
      <c r="S254" s="27"/>
      <c r="T254" s="27">
        <f>IF(LEFT(Control_Achizitii!$E254,4)="Fact",1,0)</f>
        <v>0</v>
      </c>
      <c r="U254" s="27">
        <f>IF(Control_Achizitii!$C254="",0,IF(ISNUMBER(Control_Achizitii!$B254),0,1))</f>
        <v>0</v>
      </c>
      <c r="V254" s="27">
        <f>IF(Control_Achizitii!$C254="",0,IF($Z$2&lt;&gt;"OK",0,IF(AND(ISNUMBER(Control_Achizitii!$B254),Control_Achizitii!$B254&gt;=$E$5,Control_Achizitii!$B254&lt;$J$5+1,OR($O$5="Toate proiectele",Control_Achizitii!$Q254=$O$5)),1,0)))</f>
        <v>0</v>
      </c>
      <c r="W254" s="27">
        <f>IF(AND(V254=1,OR(Control_Achizitii!$J254&lt;&gt;"DOSAR COMPLET",Control_Achizitii!$K254&lt;&gt;"")),ROW(),1000000000)</f>
        <v>1000000000</v>
      </c>
      <c r="X254" s="27">
        <f>IF(AND(V254=1,LEFT(Control_Achizitii!$E254,4)="Fact",NOT(ISNUMBER(Control_Achizitii!$P254))),1,0)</f>
        <v>0</v>
      </c>
      <c r="Y254" s="27">
        <f>IF(V254=0,0,IF(Control_Achizitii!$J254="DOSAR COMPLET",1,IF(LEFT(Control_Achizitii!$J254,9)="INCOMPLET",2,3)))</f>
        <v>0</v>
      </c>
      <c r="Z254" s="27"/>
      <c r="AA254" s="27"/>
      <c r="AB254" s="27"/>
      <c r="AC254" s="27"/>
      <c r="AD254" s="27"/>
      <c r="AE254" s="27"/>
      <c r="AF254" s="27"/>
      <c r="AG254" s="27"/>
      <c r="AH254" s="27">
        <f>IF(AND(V254=1,Control_Achizitii!$J254="DOSAR COMPLET",Control_Achizitii!$K254&lt;&gt;""),1,0)</f>
        <v>0</v>
      </c>
    </row>
    <row r="255" spans="1:34">
      <c r="A255" s="27"/>
      <c r="B255" s="27"/>
      <c r="C255" s="27"/>
      <c r="D255" s="27"/>
      <c r="E255" s="27"/>
      <c r="F255" s="27"/>
      <c r="G255" s="27"/>
      <c r="H255" s="27"/>
      <c r="I255" s="27"/>
      <c r="J255" s="27"/>
      <c r="K255" s="27"/>
      <c r="L255" s="27"/>
      <c r="M255" s="27"/>
      <c r="N255" s="27"/>
      <c r="O255" s="27"/>
      <c r="P255" s="27"/>
      <c r="Q255" s="27"/>
      <c r="R255" s="27"/>
      <c r="S255" s="27"/>
      <c r="T255" s="27">
        <f>IF(LEFT(Control_Achizitii!$E255,4)="Fact",1,0)</f>
        <v>0</v>
      </c>
      <c r="U255" s="27">
        <f>IF(Control_Achizitii!$C255="",0,IF(ISNUMBER(Control_Achizitii!$B255),0,1))</f>
        <v>0</v>
      </c>
      <c r="V255" s="27">
        <f>IF(Control_Achizitii!$C255="",0,IF($Z$2&lt;&gt;"OK",0,IF(AND(ISNUMBER(Control_Achizitii!$B255),Control_Achizitii!$B255&gt;=$E$5,Control_Achizitii!$B255&lt;$J$5+1,OR($O$5="Toate proiectele",Control_Achizitii!$Q255=$O$5)),1,0)))</f>
        <v>0</v>
      </c>
      <c r="W255" s="27">
        <f>IF(AND(V255=1,OR(Control_Achizitii!$J255&lt;&gt;"DOSAR COMPLET",Control_Achizitii!$K255&lt;&gt;"")),ROW(),1000000000)</f>
        <v>1000000000</v>
      </c>
      <c r="X255" s="27">
        <f>IF(AND(V255=1,LEFT(Control_Achizitii!$E255,4)="Fact",NOT(ISNUMBER(Control_Achizitii!$P255))),1,0)</f>
        <v>0</v>
      </c>
      <c r="Y255" s="27">
        <f>IF(V255=0,0,IF(Control_Achizitii!$J255="DOSAR COMPLET",1,IF(LEFT(Control_Achizitii!$J255,9)="INCOMPLET",2,3)))</f>
        <v>0</v>
      </c>
      <c r="Z255" s="27"/>
      <c r="AA255" s="27"/>
      <c r="AB255" s="27"/>
      <c r="AC255" s="27"/>
      <c r="AD255" s="27"/>
      <c r="AE255" s="27"/>
      <c r="AF255" s="27"/>
      <c r="AG255" s="27"/>
      <c r="AH255" s="27">
        <f>IF(AND(V255=1,Control_Achizitii!$J255="DOSAR COMPLET",Control_Achizitii!$K255&lt;&gt;""),1,0)</f>
        <v>0</v>
      </c>
    </row>
    <row r="256" spans="1:34">
      <c r="A256" s="27"/>
      <c r="B256" s="27"/>
      <c r="C256" s="27"/>
      <c r="D256" s="27"/>
      <c r="E256" s="27"/>
      <c r="F256" s="27"/>
      <c r="G256" s="27"/>
      <c r="H256" s="27"/>
      <c r="I256" s="27"/>
      <c r="J256" s="27"/>
      <c r="K256" s="27"/>
      <c r="L256" s="27"/>
      <c r="M256" s="27"/>
      <c r="N256" s="27"/>
      <c r="O256" s="27"/>
      <c r="P256" s="27"/>
      <c r="Q256" s="27"/>
      <c r="R256" s="27"/>
      <c r="S256" s="27"/>
      <c r="T256" s="27">
        <f>IF(LEFT(Control_Achizitii!$E256,4)="Fact",1,0)</f>
        <v>0</v>
      </c>
      <c r="U256" s="27">
        <f>IF(Control_Achizitii!$C256="",0,IF(ISNUMBER(Control_Achizitii!$B256),0,1))</f>
        <v>0</v>
      </c>
      <c r="V256" s="27">
        <f>IF(Control_Achizitii!$C256="",0,IF($Z$2&lt;&gt;"OK",0,IF(AND(ISNUMBER(Control_Achizitii!$B256),Control_Achizitii!$B256&gt;=$E$5,Control_Achizitii!$B256&lt;$J$5+1,OR($O$5="Toate proiectele",Control_Achizitii!$Q256=$O$5)),1,0)))</f>
        <v>0</v>
      </c>
      <c r="W256" s="27">
        <f>IF(AND(V256=1,OR(Control_Achizitii!$J256&lt;&gt;"DOSAR COMPLET",Control_Achizitii!$K256&lt;&gt;"")),ROW(),1000000000)</f>
        <v>1000000000</v>
      </c>
      <c r="X256" s="27">
        <f>IF(AND(V256=1,LEFT(Control_Achizitii!$E256,4)="Fact",NOT(ISNUMBER(Control_Achizitii!$P256))),1,0)</f>
        <v>0</v>
      </c>
      <c r="Y256" s="27">
        <f>IF(V256=0,0,IF(Control_Achizitii!$J256="DOSAR COMPLET",1,IF(LEFT(Control_Achizitii!$J256,9)="INCOMPLET",2,3)))</f>
        <v>0</v>
      </c>
      <c r="Z256" s="27"/>
      <c r="AA256" s="27"/>
      <c r="AB256" s="27"/>
      <c r="AC256" s="27"/>
      <c r="AD256" s="27"/>
      <c r="AE256" s="27"/>
      <c r="AF256" s="27"/>
      <c r="AG256" s="27"/>
      <c r="AH256" s="27">
        <f>IF(AND(V256=1,Control_Achizitii!$J256="DOSAR COMPLET",Control_Achizitii!$K256&lt;&gt;""),1,0)</f>
        <v>0</v>
      </c>
    </row>
    <row r="257" spans="1:34">
      <c r="A257" s="27"/>
      <c r="B257" s="27"/>
      <c r="C257" s="27"/>
      <c r="D257" s="27"/>
      <c r="E257" s="27"/>
      <c r="F257" s="27"/>
      <c r="G257" s="27"/>
      <c r="H257" s="27"/>
      <c r="I257" s="27"/>
      <c r="J257" s="27"/>
      <c r="K257" s="27"/>
      <c r="L257" s="27"/>
      <c r="M257" s="27"/>
      <c r="N257" s="27"/>
      <c r="O257" s="27"/>
      <c r="P257" s="27"/>
      <c r="Q257" s="27"/>
      <c r="R257" s="27"/>
      <c r="S257" s="27"/>
      <c r="T257" s="27">
        <f>IF(LEFT(Control_Achizitii!$E257,4)="Fact",1,0)</f>
        <v>0</v>
      </c>
      <c r="U257" s="27">
        <f>IF(Control_Achizitii!$C257="",0,IF(ISNUMBER(Control_Achizitii!$B257),0,1))</f>
        <v>0</v>
      </c>
      <c r="V257" s="27">
        <f>IF(Control_Achizitii!$C257="",0,IF($Z$2&lt;&gt;"OK",0,IF(AND(ISNUMBER(Control_Achizitii!$B257),Control_Achizitii!$B257&gt;=$E$5,Control_Achizitii!$B257&lt;$J$5+1,OR($O$5="Toate proiectele",Control_Achizitii!$Q257=$O$5)),1,0)))</f>
        <v>0</v>
      </c>
      <c r="W257" s="27">
        <f>IF(AND(V257=1,OR(Control_Achizitii!$J257&lt;&gt;"DOSAR COMPLET",Control_Achizitii!$K257&lt;&gt;"")),ROW(),1000000000)</f>
        <v>1000000000</v>
      </c>
      <c r="X257" s="27">
        <f>IF(AND(V257=1,LEFT(Control_Achizitii!$E257,4)="Fact",NOT(ISNUMBER(Control_Achizitii!$P257))),1,0)</f>
        <v>0</v>
      </c>
      <c r="Y257" s="27">
        <f>IF(V257=0,0,IF(Control_Achizitii!$J257="DOSAR COMPLET",1,IF(LEFT(Control_Achizitii!$J257,9)="INCOMPLET",2,3)))</f>
        <v>0</v>
      </c>
      <c r="Z257" s="27"/>
      <c r="AA257" s="27"/>
      <c r="AB257" s="27"/>
      <c r="AC257" s="27"/>
      <c r="AD257" s="27"/>
      <c r="AE257" s="27"/>
      <c r="AF257" s="27"/>
      <c r="AG257" s="27"/>
      <c r="AH257" s="27">
        <f>IF(AND(V257=1,Control_Achizitii!$J257="DOSAR COMPLET",Control_Achizitii!$K257&lt;&gt;""),1,0)</f>
        <v>0</v>
      </c>
    </row>
    <row r="258" spans="1:34">
      <c r="A258" s="27"/>
      <c r="B258" s="27"/>
      <c r="C258" s="27"/>
      <c r="D258" s="27"/>
      <c r="E258" s="27"/>
      <c r="F258" s="27"/>
      <c r="G258" s="27"/>
      <c r="H258" s="27"/>
      <c r="I258" s="27"/>
      <c r="J258" s="27"/>
      <c r="K258" s="27"/>
      <c r="L258" s="27"/>
      <c r="M258" s="27"/>
      <c r="N258" s="27"/>
      <c r="O258" s="27"/>
      <c r="P258" s="27"/>
      <c r="Q258" s="27"/>
      <c r="R258" s="27"/>
      <c r="S258" s="27"/>
      <c r="T258" s="27">
        <f>IF(LEFT(Control_Achizitii!$E258,4)="Fact",1,0)</f>
        <v>0</v>
      </c>
      <c r="U258" s="27">
        <f>IF(Control_Achizitii!$C258="",0,IF(ISNUMBER(Control_Achizitii!$B258),0,1))</f>
        <v>0</v>
      </c>
      <c r="V258" s="27">
        <f>IF(Control_Achizitii!$C258="",0,IF($Z$2&lt;&gt;"OK",0,IF(AND(ISNUMBER(Control_Achizitii!$B258),Control_Achizitii!$B258&gt;=$E$5,Control_Achizitii!$B258&lt;$J$5+1,OR($O$5="Toate proiectele",Control_Achizitii!$Q258=$O$5)),1,0)))</f>
        <v>0</v>
      </c>
      <c r="W258" s="27">
        <f>IF(AND(V258=1,OR(Control_Achizitii!$J258&lt;&gt;"DOSAR COMPLET",Control_Achizitii!$K258&lt;&gt;"")),ROW(),1000000000)</f>
        <v>1000000000</v>
      </c>
      <c r="X258" s="27">
        <f>IF(AND(V258=1,LEFT(Control_Achizitii!$E258,4)="Fact",NOT(ISNUMBER(Control_Achizitii!$P258))),1,0)</f>
        <v>0</v>
      </c>
      <c r="Y258" s="27">
        <f>IF(V258=0,0,IF(Control_Achizitii!$J258="DOSAR COMPLET",1,IF(LEFT(Control_Achizitii!$J258,9)="INCOMPLET",2,3)))</f>
        <v>0</v>
      </c>
      <c r="Z258" s="27"/>
      <c r="AA258" s="27"/>
      <c r="AB258" s="27"/>
      <c r="AC258" s="27"/>
      <c r="AD258" s="27"/>
      <c r="AE258" s="27"/>
      <c r="AF258" s="27"/>
      <c r="AG258" s="27"/>
      <c r="AH258" s="27">
        <f>IF(AND(V258=1,Control_Achizitii!$J258="DOSAR COMPLET",Control_Achizitii!$K258&lt;&gt;""),1,0)</f>
        <v>0</v>
      </c>
    </row>
    <row r="259" spans="1:34">
      <c r="A259" s="27"/>
      <c r="B259" s="27"/>
      <c r="C259" s="27"/>
      <c r="D259" s="27"/>
      <c r="E259" s="27"/>
      <c r="F259" s="27"/>
      <c r="G259" s="27"/>
      <c r="H259" s="27"/>
      <c r="I259" s="27"/>
      <c r="J259" s="27"/>
      <c r="K259" s="27"/>
      <c r="L259" s="27"/>
      <c r="M259" s="27"/>
      <c r="N259" s="27"/>
      <c r="O259" s="27"/>
      <c r="P259" s="27"/>
      <c r="Q259" s="27"/>
      <c r="R259" s="27"/>
      <c r="S259" s="27"/>
      <c r="T259" s="27">
        <f>IF(LEFT(Control_Achizitii!$E259,4)="Fact",1,0)</f>
        <v>0</v>
      </c>
      <c r="U259" s="27">
        <f>IF(Control_Achizitii!$C259="",0,IF(ISNUMBER(Control_Achizitii!$B259),0,1))</f>
        <v>0</v>
      </c>
      <c r="V259" s="27">
        <f>IF(Control_Achizitii!$C259="",0,IF($Z$2&lt;&gt;"OK",0,IF(AND(ISNUMBER(Control_Achizitii!$B259),Control_Achizitii!$B259&gt;=$E$5,Control_Achizitii!$B259&lt;$J$5+1,OR($O$5="Toate proiectele",Control_Achizitii!$Q259=$O$5)),1,0)))</f>
        <v>0</v>
      </c>
      <c r="W259" s="27">
        <f>IF(AND(V259=1,OR(Control_Achizitii!$J259&lt;&gt;"DOSAR COMPLET",Control_Achizitii!$K259&lt;&gt;"")),ROW(),1000000000)</f>
        <v>1000000000</v>
      </c>
      <c r="X259" s="27">
        <f>IF(AND(V259=1,LEFT(Control_Achizitii!$E259,4)="Fact",NOT(ISNUMBER(Control_Achizitii!$P259))),1,0)</f>
        <v>0</v>
      </c>
      <c r="Y259" s="27">
        <f>IF(V259=0,0,IF(Control_Achizitii!$J259="DOSAR COMPLET",1,IF(LEFT(Control_Achizitii!$J259,9)="INCOMPLET",2,3)))</f>
        <v>0</v>
      </c>
      <c r="Z259" s="27"/>
      <c r="AA259" s="27"/>
      <c r="AB259" s="27"/>
      <c r="AC259" s="27"/>
      <c r="AD259" s="27"/>
      <c r="AE259" s="27"/>
      <c r="AF259" s="27"/>
      <c r="AG259" s="27"/>
      <c r="AH259" s="27">
        <f>IF(AND(V259=1,Control_Achizitii!$J259="DOSAR COMPLET",Control_Achizitii!$K259&lt;&gt;""),1,0)</f>
        <v>0</v>
      </c>
    </row>
    <row r="260" spans="1:34">
      <c r="A260" s="27"/>
      <c r="B260" s="27"/>
      <c r="C260" s="27"/>
      <c r="D260" s="27"/>
      <c r="E260" s="27"/>
      <c r="F260" s="27"/>
      <c r="G260" s="27"/>
      <c r="H260" s="27"/>
      <c r="I260" s="27"/>
      <c r="J260" s="27"/>
      <c r="K260" s="27"/>
      <c r="L260" s="27"/>
      <c r="M260" s="27"/>
      <c r="N260" s="27"/>
      <c r="O260" s="27"/>
      <c r="P260" s="27"/>
      <c r="Q260" s="27"/>
      <c r="R260" s="27"/>
      <c r="S260" s="27"/>
      <c r="T260" s="27">
        <f>IF(LEFT(Control_Achizitii!$E260,4)="Fact",1,0)</f>
        <v>0</v>
      </c>
      <c r="U260" s="27">
        <f>IF(Control_Achizitii!$C260="",0,IF(ISNUMBER(Control_Achizitii!$B260),0,1))</f>
        <v>0</v>
      </c>
      <c r="V260" s="27">
        <f>IF(Control_Achizitii!$C260="",0,IF($Z$2&lt;&gt;"OK",0,IF(AND(ISNUMBER(Control_Achizitii!$B260),Control_Achizitii!$B260&gt;=$E$5,Control_Achizitii!$B260&lt;$J$5+1,OR($O$5="Toate proiectele",Control_Achizitii!$Q260=$O$5)),1,0)))</f>
        <v>0</v>
      </c>
      <c r="W260" s="27">
        <f>IF(AND(V260=1,OR(Control_Achizitii!$J260&lt;&gt;"DOSAR COMPLET",Control_Achizitii!$K260&lt;&gt;"")),ROW(),1000000000)</f>
        <v>1000000000</v>
      </c>
      <c r="X260" s="27">
        <f>IF(AND(V260=1,LEFT(Control_Achizitii!$E260,4)="Fact",NOT(ISNUMBER(Control_Achizitii!$P260))),1,0)</f>
        <v>0</v>
      </c>
      <c r="Y260" s="27">
        <f>IF(V260=0,0,IF(Control_Achizitii!$J260="DOSAR COMPLET",1,IF(LEFT(Control_Achizitii!$J260,9)="INCOMPLET",2,3)))</f>
        <v>0</v>
      </c>
      <c r="Z260" s="27"/>
      <c r="AA260" s="27"/>
      <c r="AB260" s="27"/>
      <c r="AC260" s="27"/>
      <c r="AD260" s="27"/>
      <c r="AE260" s="27"/>
      <c r="AF260" s="27"/>
      <c r="AG260" s="27"/>
      <c r="AH260" s="27">
        <f>IF(AND(V260=1,Control_Achizitii!$J260="DOSAR COMPLET",Control_Achizitii!$K260&lt;&gt;""),1,0)</f>
        <v>0</v>
      </c>
    </row>
    <row r="261" spans="1:34">
      <c r="A261" s="27"/>
      <c r="B261" s="27"/>
      <c r="C261" s="27"/>
      <c r="D261" s="27"/>
      <c r="E261" s="27"/>
      <c r="F261" s="27"/>
      <c r="G261" s="27"/>
      <c r="H261" s="27"/>
      <c r="I261" s="27"/>
      <c r="J261" s="27"/>
      <c r="K261" s="27"/>
      <c r="L261" s="27"/>
      <c r="M261" s="27"/>
      <c r="N261" s="27"/>
      <c r="O261" s="27"/>
      <c r="P261" s="27"/>
      <c r="Q261" s="27"/>
      <c r="R261" s="27"/>
      <c r="S261" s="27"/>
      <c r="T261" s="27">
        <f>IF(LEFT(Control_Achizitii!$E261,4)="Fact",1,0)</f>
        <v>0</v>
      </c>
      <c r="U261" s="27">
        <f>IF(Control_Achizitii!$C261="",0,IF(ISNUMBER(Control_Achizitii!$B261),0,1))</f>
        <v>0</v>
      </c>
      <c r="V261" s="27">
        <f>IF(Control_Achizitii!$C261="",0,IF($Z$2&lt;&gt;"OK",0,IF(AND(ISNUMBER(Control_Achizitii!$B261),Control_Achizitii!$B261&gt;=$E$5,Control_Achizitii!$B261&lt;$J$5+1,OR($O$5="Toate proiectele",Control_Achizitii!$Q261=$O$5)),1,0)))</f>
        <v>0</v>
      </c>
      <c r="W261" s="27">
        <f>IF(AND(V261=1,OR(Control_Achizitii!$J261&lt;&gt;"DOSAR COMPLET",Control_Achizitii!$K261&lt;&gt;"")),ROW(),1000000000)</f>
        <v>1000000000</v>
      </c>
      <c r="X261" s="27">
        <f>IF(AND(V261=1,LEFT(Control_Achizitii!$E261,4)="Fact",NOT(ISNUMBER(Control_Achizitii!$P261))),1,0)</f>
        <v>0</v>
      </c>
      <c r="Y261" s="27">
        <f>IF(V261=0,0,IF(Control_Achizitii!$J261="DOSAR COMPLET",1,IF(LEFT(Control_Achizitii!$J261,9)="INCOMPLET",2,3)))</f>
        <v>0</v>
      </c>
      <c r="Z261" s="27"/>
      <c r="AA261" s="27"/>
      <c r="AB261" s="27"/>
      <c r="AC261" s="27"/>
      <c r="AD261" s="27"/>
      <c r="AE261" s="27"/>
      <c r="AF261" s="27"/>
      <c r="AG261" s="27"/>
      <c r="AH261" s="27">
        <f>IF(AND(V261=1,Control_Achizitii!$J261="DOSAR COMPLET",Control_Achizitii!$K261&lt;&gt;""),1,0)</f>
        <v>0</v>
      </c>
    </row>
    <row r="262" spans="1:34">
      <c r="A262" s="27"/>
      <c r="B262" s="27"/>
      <c r="C262" s="27"/>
      <c r="D262" s="27"/>
      <c r="E262" s="27"/>
      <c r="F262" s="27"/>
      <c r="G262" s="27"/>
      <c r="H262" s="27"/>
      <c r="I262" s="27"/>
      <c r="J262" s="27"/>
      <c r="K262" s="27"/>
      <c r="L262" s="27"/>
      <c r="M262" s="27"/>
      <c r="N262" s="27"/>
      <c r="O262" s="27"/>
      <c r="P262" s="27"/>
      <c r="Q262" s="27"/>
      <c r="R262" s="27"/>
      <c r="S262" s="27"/>
      <c r="T262" s="27">
        <f>IF(LEFT(Control_Achizitii!$E262,4)="Fact",1,0)</f>
        <v>0</v>
      </c>
      <c r="U262" s="27">
        <f>IF(Control_Achizitii!$C262="",0,IF(ISNUMBER(Control_Achizitii!$B262),0,1))</f>
        <v>0</v>
      </c>
      <c r="V262" s="27">
        <f>IF(Control_Achizitii!$C262="",0,IF($Z$2&lt;&gt;"OK",0,IF(AND(ISNUMBER(Control_Achizitii!$B262),Control_Achizitii!$B262&gt;=$E$5,Control_Achizitii!$B262&lt;$J$5+1,OR($O$5="Toate proiectele",Control_Achizitii!$Q262=$O$5)),1,0)))</f>
        <v>0</v>
      </c>
      <c r="W262" s="27">
        <f>IF(AND(V262=1,OR(Control_Achizitii!$J262&lt;&gt;"DOSAR COMPLET",Control_Achizitii!$K262&lt;&gt;"")),ROW(),1000000000)</f>
        <v>1000000000</v>
      </c>
      <c r="X262" s="27">
        <f>IF(AND(V262=1,LEFT(Control_Achizitii!$E262,4)="Fact",NOT(ISNUMBER(Control_Achizitii!$P262))),1,0)</f>
        <v>0</v>
      </c>
      <c r="Y262" s="27">
        <f>IF(V262=0,0,IF(Control_Achizitii!$J262="DOSAR COMPLET",1,IF(LEFT(Control_Achizitii!$J262,9)="INCOMPLET",2,3)))</f>
        <v>0</v>
      </c>
      <c r="Z262" s="27"/>
      <c r="AA262" s="27"/>
      <c r="AB262" s="27"/>
      <c r="AC262" s="27"/>
      <c r="AD262" s="27"/>
      <c r="AE262" s="27"/>
      <c r="AF262" s="27"/>
      <c r="AG262" s="27"/>
      <c r="AH262" s="27">
        <f>IF(AND(V262=1,Control_Achizitii!$J262="DOSAR COMPLET",Control_Achizitii!$K262&lt;&gt;""),1,0)</f>
        <v>0</v>
      </c>
    </row>
    <row r="263" spans="1:34">
      <c r="A263" s="27"/>
      <c r="B263" s="27"/>
      <c r="C263" s="27"/>
      <c r="D263" s="27"/>
      <c r="E263" s="27"/>
      <c r="F263" s="27"/>
      <c r="G263" s="27"/>
      <c r="H263" s="27"/>
      <c r="I263" s="27"/>
      <c r="J263" s="27"/>
      <c r="K263" s="27"/>
      <c r="L263" s="27"/>
      <c r="M263" s="27"/>
      <c r="N263" s="27"/>
      <c r="O263" s="27"/>
      <c r="P263" s="27"/>
      <c r="Q263" s="27"/>
      <c r="R263" s="27"/>
      <c r="S263" s="27"/>
      <c r="T263" s="27">
        <f>IF(LEFT(Control_Achizitii!$E263,4)="Fact",1,0)</f>
        <v>0</v>
      </c>
      <c r="U263" s="27">
        <f>IF(Control_Achizitii!$C263="",0,IF(ISNUMBER(Control_Achizitii!$B263),0,1))</f>
        <v>0</v>
      </c>
      <c r="V263" s="27">
        <f>IF(Control_Achizitii!$C263="",0,IF($Z$2&lt;&gt;"OK",0,IF(AND(ISNUMBER(Control_Achizitii!$B263),Control_Achizitii!$B263&gt;=$E$5,Control_Achizitii!$B263&lt;$J$5+1,OR($O$5="Toate proiectele",Control_Achizitii!$Q263=$O$5)),1,0)))</f>
        <v>0</v>
      </c>
      <c r="W263" s="27">
        <f>IF(AND(V263=1,OR(Control_Achizitii!$J263&lt;&gt;"DOSAR COMPLET",Control_Achizitii!$K263&lt;&gt;"")),ROW(),1000000000)</f>
        <v>1000000000</v>
      </c>
      <c r="X263" s="27">
        <f>IF(AND(V263=1,LEFT(Control_Achizitii!$E263,4)="Fact",NOT(ISNUMBER(Control_Achizitii!$P263))),1,0)</f>
        <v>0</v>
      </c>
      <c r="Y263" s="27">
        <f>IF(V263=0,0,IF(Control_Achizitii!$J263="DOSAR COMPLET",1,IF(LEFT(Control_Achizitii!$J263,9)="INCOMPLET",2,3)))</f>
        <v>0</v>
      </c>
      <c r="Z263" s="27"/>
      <c r="AA263" s="27"/>
      <c r="AB263" s="27"/>
      <c r="AC263" s="27"/>
      <c r="AD263" s="27"/>
      <c r="AE263" s="27"/>
      <c r="AF263" s="27"/>
      <c r="AG263" s="27"/>
      <c r="AH263" s="27">
        <f>IF(AND(V263=1,Control_Achizitii!$J263="DOSAR COMPLET",Control_Achizitii!$K263&lt;&gt;""),1,0)</f>
        <v>0</v>
      </c>
    </row>
    <row r="264" spans="1:34">
      <c r="A264" s="27"/>
      <c r="B264" s="27"/>
      <c r="C264" s="27"/>
      <c r="D264" s="27"/>
      <c r="E264" s="27"/>
      <c r="F264" s="27"/>
      <c r="G264" s="27"/>
      <c r="H264" s="27"/>
      <c r="I264" s="27"/>
      <c r="J264" s="27"/>
      <c r="K264" s="27"/>
      <c r="L264" s="27"/>
      <c r="M264" s="27"/>
      <c r="N264" s="27"/>
      <c r="O264" s="27"/>
      <c r="P264" s="27"/>
      <c r="Q264" s="27"/>
      <c r="R264" s="27"/>
      <c r="S264" s="27"/>
      <c r="T264" s="27">
        <f>IF(LEFT(Control_Achizitii!$E264,4)="Fact",1,0)</f>
        <v>0</v>
      </c>
      <c r="U264" s="27">
        <f>IF(Control_Achizitii!$C264="",0,IF(ISNUMBER(Control_Achizitii!$B264),0,1))</f>
        <v>0</v>
      </c>
      <c r="V264" s="27">
        <f>IF(Control_Achizitii!$C264="",0,IF($Z$2&lt;&gt;"OK",0,IF(AND(ISNUMBER(Control_Achizitii!$B264),Control_Achizitii!$B264&gt;=$E$5,Control_Achizitii!$B264&lt;$J$5+1,OR($O$5="Toate proiectele",Control_Achizitii!$Q264=$O$5)),1,0)))</f>
        <v>0</v>
      </c>
      <c r="W264" s="27">
        <f>IF(AND(V264=1,OR(Control_Achizitii!$J264&lt;&gt;"DOSAR COMPLET",Control_Achizitii!$K264&lt;&gt;"")),ROW(),1000000000)</f>
        <v>1000000000</v>
      </c>
      <c r="X264" s="27">
        <f>IF(AND(V264=1,LEFT(Control_Achizitii!$E264,4)="Fact",NOT(ISNUMBER(Control_Achizitii!$P264))),1,0)</f>
        <v>0</v>
      </c>
      <c r="Y264" s="27">
        <f>IF(V264=0,0,IF(Control_Achizitii!$J264="DOSAR COMPLET",1,IF(LEFT(Control_Achizitii!$J264,9)="INCOMPLET",2,3)))</f>
        <v>0</v>
      </c>
      <c r="Z264" s="27"/>
      <c r="AA264" s="27"/>
      <c r="AB264" s="27"/>
      <c r="AC264" s="27"/>
      <c r="AD264" s="27"/>
      <c r="AE264" s="27"/>
      <c r="AF264" s="27"/>
      <c r="AG264" s="27"/>
      <c r="AH264" s="27">
        <f>IF(AND(V264=1,Control_Achizitii!$J264="DOSAR COMPLET",Control_Achizitii!$K264&lt;&gt;""),1,0)</f>
        <v>0</v>
      </c>
    </row>
    <row r="265" spans="1:34">
      <c r="A265" s="27"/>
      <c r="B265" s="27"/>
      <c r="C265" s="27"/>
      <c r="D265" s="27"/>
      <c r="E265" s="27"/>
      <c r="F265" s="27"/>
      <c r="G265" s="27"/>
      <c r="H265" s="27"/>
      <c r="I265" s="27"/>
      <c r="J265" s="27"/>
      <c r="K265" s="27"/>
      <c r="L265" s="27"/>
      <c r="M265" s="27"/>
      <c r="N265" s="27"/>
      <c r="O265" s="27"/>
      <c r="P265" s="27"/>
      <c r="Q265" s="27"/>
      <c r="R265" s="27"/>
      <c r="S265" s="27"/>
      <c r="T265" s="27">
        <f>IF(LEFT(Control_Achizitii!$E265,4)="Fact",1,0)</f>
        <v>0</v>
      </c>
      <c r="U265" s="27">
        <f>IF(Control_Achizitii!$C265="",0,IF(ISNUMBER(Control_Achizitii!$B265),0,1))</f>
        <v>0</v>
      </c>
      <c r="V265" s="27">
        <f>IF(Control_Achizitii!$C265="",0,IF($Z$2&lt;&gt;"OK",0,IF(AND(ISNUMBER(Control_Achizitii!$B265),Control_Achizitii!$B265&gt;=$E$5,Control_Achizitii!$B265&lt;$J$5+1,OR($O$5="Toate proiectele",Control_Achizitii!$Q265=$O$5)),1,0)))</f>
        <v>0</v>
      </c>
      <c r="W265" s="27">
        <f>IF(AND(V265=1,OR(Control_Achizitii!$J265&lt;&gt;"DOSAR COMPLET",Control_Achizitii!$K265&lt;&gt;"")),ROW(),1000000000)</f>
        <v>1000000000</v>
      </c>
      <c r="X265" s="27">
        <f>IF(AND(V265=1,LEFT(Control_Achizitii!$E265,4)="Fact",NOT(ISNUMBER(Control_Achizitii!$P265))),1,0)</f>
        <v>0</v>
      </c>
      <c r="Y265" s="27">
        <f>IF(V265=0,0,IF(Control_Achizitii!$J265="DOSAR COMPLET",1,IF(LEFT(Control_Achizitii!$J265,9)="INCOMPLET",2,3)))</f>
        <v>0</v>
      </c>
      <c r="Z265" s="27"/>
      <c r="AA265" s="27"/>
      <c r="AB265" s="27"/>
      <c r="AC265" s="27"/>
      <c r="AD265" s="27"/>
      <c r="AE265" s="27"/>
      <c r="AF265" s="27"/>
      <c r="AG265" s="27"/>
      <c r="AH265" s="27">
        <f>IF(AND(V265=1,Control_Achizitii!$J265="DOSAR COMPLET",Control_Achizitii!$K265&lt;&gt;""),1,0)</f>
        <v>0</v>
      </c>
    </row>
    <row r="266" spans="1:34">
      <c r="A266" s="27"/>
      <c r="B266" s="27"/>
      <c r="C266" s="27"/>
      <c r="D266" s="27"/>
      <c r="E266" s="27"/>
      <c r="F266" s="27"/>
      <c r="G266" s="27"/>
      <c r="H266" s="27"/>
      <c r="I266" s="27"/>
      <c r="J266" s="27"/>
      <c r="K266" s="27"/>
      <c r="L266" s="27"/>
      <c r="M266" s="27"/>
      <c r="N266" s="27"/>
      <c r="O266" s="27"/>
      <c r="P266" s="27"/>
      <c r="Q266" s="27"/>
      <c r="R266" s="27"/>
      <c r="S266" s="27"/>
      <c r="T266" s="27">
        <f>IF(LEFT(Control_Achizitii!$E266,4)="Fact",1,0)</f>
        <v>0</v>
      </c>
      <c r="U266" s="27">
        <f>IF(Control_Achizitii!$C266="",0,IF(ISNUMBER(Control_Achizitii!$B266),0,1))</f>
        <v>0</v>
      </c>
      <c r="V266" s="27">
        <f>IF(Control_Achizitii!$C266="",0,IF($Z$2&lt;&gt;"OK",0,IF(AND(ISNUMBER(Control_Achizitii!$B266),Control_Achizitii!$B266&gt;=$E$5,Control_Achizitii!$B266&lt;$J$5+1,OR($O$5="Toate proiectele",Control_Achizitii!$Q266=$O$5)),1,0)))</f>
        <v>0</v>
      </c>
      <c r="W266" s="27">
        <f>IF(AND(V266=1,OR(Control_Achizitii!$J266&lt;&gt;"DOSAR COMPLET",Control_Achizitii!$K266&lt;&gt;"")),ROW(),1000000000)</f>
        <v>1000000000</v>
      </c>
      <c r="X266" s="27">
        <f>IF(AND(V266=1,LEFT(Control_Achizitii!$E266,4)="Fact",NOT(ISNUMBER(Control_Achizitii!$P266))),1,0)</f>
        <v>0</v>
      </c>
      <c r="Y266" s="27">
        <f>IF(V266=0,0,IF(Control_Achizitii!$J266="DOSAR COMPLET",1,IF(LEFT(Control_Achizitii!$J266,9)="INCOMPLET",2,3)))</f>
        <v>0</v>
      </c>
      <c r="Z266" s="27"/>
      <c r="AA266" s="27"/>
      <c r="AB266" s="27"/>
      <c r="AC266" s="27"/>
      <c r="AD266" s="27"/>
      <c r="AE266" s="27"/>
      <c r="AF266" s="27"/>
      <c r="AG266" s="27"/>
      <c r="AH266" s="27">
        <f>IF(AND(V266=1,Control_Achizitii!$J266="DOSAR COMPLET",Control_Achizitii!$K266&lt;&gt;""),1,0)</f>
        <v>0</v>
      </c>
    </row>
    <row r="267" spans="1:34">
      <c r="A267" s="27"/>
      <c r="B267" s="27"/>
      <c r="C267" s="27"/>
      <c r="D267" s="27"/>
      <c r="E267" s="27"/>
      <c r="F267" s="27"/>
      <c r="G267" s="27"/>
      <c r="H267" s="27"/>
      <c r="I267" s="27"/>
      <c r="J267" s="27"/>
      <c r="K267" s="27"/>
      <c r="L267" s="27"/>
      <c r="M267" s="27"/>
      <c r="N267" s="27"/>
      <c r="O267" s="27"/>
      <c r="P267" s="27"/>
      <c r="Q267" s="27"/>
      <c r="R267" s="27"/>
      <c r="S267" s="27"/>
      <c r="T267" s="27">
        <f>IF(LEFT(Control_Achizitii!$E267,4)="Fact",1,0)</f>
        <v>0</v>
      </c>
      <c r="U267" s="27">
        <f>IF(Control_Achizitii!$C267="",0,IF(ISNUMBER(Control_Achizitii!$B267),0,1))</f>
        <v>0</v>
      </c>
      <c r="V267" s="27">
        <f>IF(Control_Achizitii!$C267="",0,IF($Z$2&lt;&gt;"OK",0,IF(AND(ISNUMBER(Control_Achizitii!$B267),Control_Achizitii!$B267&gt;=$E$5,Control_Achizitii!$B267&lt;$J$5+1,OR($O$5="Toate proiectele",Control_Achizitii!$Q267=$O$5)),1,0)))</f>
        <v>0</v>
      </c>
      <c r="W267" s="27">
        <f>IF(AND(V267=1,OR(Control_Achizitii!$J267&lt;&gt;"DOSAR COMPLET",Control_Achizitii!$K267&lt;&gt;"")),ROW(),1000000000)</f>
        <v>1000000000</v>
      </c>
      <c r="X267" s="27">
        <f>IF(AND(V267=1,LEFT(Control_Achizitii!$E267,4)="Fact",NOT(ISNUMBER(Control_Achizitii!$P267))),1,0)</f>
        <v>0</v>
      </c>
      <c r="Y267" s="27">
        <f>IF(V267=0,0,IF(Control_Achizitii!$J267="DOSAR COMPLET",1,IF(LEFT(Control_Achizitii!$J267,9)="INCOMPLET",2,3)))</f>
        <v>0</v>
      </c>
      <c r="Z267" s="27"/>
      <c r="AA267" s="27"/>
      <c r="AB267" s="27"/>
      <c r="AC267" s="27"/>
      <c r="AD267" s="27"/>
      <c r="AE267" s="27"/>
      <c r="AF267" s="27"/>
      <c r="AG267" s="27"/>
      <c r="AH267" s="27">
        <f>IF(AND(V267=1,Control_Achizitii!$J267="DOSAR COMPLET",Control_Achizitii!$K267&lt;&gt;""),1,0)</f>
        <v>0</v>
      </c>
    </row>
    <row r="268" spans="1:34">
      <c r="A268" s="27"/>
      <c r="B268" s="27"/>
      <c r="C268" s="27"/>
      <c r="D268" s="27"/>
      <c r="E268" s="27"/>
      <c r="F268" s="27"/>
      <c r="G268" s="27"/>
      <c r="H268" s="27"/>
      <c r="I268" s="27"/>
      <c r="J268" s="27"/>
      <c r="K268" s="27"/>
      <c r="L268" s="27"/>
      <c r="M268" s="27"/>
      <c r="N268" s="27"/>
      <c r="O268" s="27"/>
      <c r="P268" s="27"/>
      <c r="Q268" s="27"/>
      <c r="R268" s="27"/>
      <c r="S268" s="27"/>
      <c r="T268" s="27">
        <f>IF(LEFT(Control_Achizitii!$E268,4)="Fact",1,0)</f>
        <v>0</v>
      </c>
      <c r="U268" s="27">
        <f>IF(Control_Achizitii!$C268="",0,IF(ISNUMBER(Control_Achizitii!$B268),0,1))</f>
        <v>0</v>
      </c>
      <c r="V268" s="27">
        <f>IF(Control_Achizitii!$C268="",0,IF($Z$2&lt;&gt;"OK",0,IF(AND(ISNUMBER(Control_Achizitii!$B268),Control_Achizitii!$B268&gt;=$E$5,Control_Achizitii!$B268&lt;$J$5+1,OR($O$5="Toate proiectele",Control_Achizitii!$Q268=$O$5)),1,0)))</f>
        <v>0</v>
      </c>
      <c r="W268" s="27">
        <f>IF(AND(V268=1,OR(Control_Achizitii!$J268&lt;&gt;"DOSAR COMPLET",Control_Achizitii!$K268&lt;&gt;"")),ROW(),1000000000)</f>
        <v>1000000000</v>
      </c>
      <c r="X268" s="27">
        <f>IF(AND(V268=1,LEFT(Control_Achizitii!$E268,4)="Fact",NOT(ISNUMBER(Control_Achizitii!$P268))),1,0)</f>
        <v>0</v>
      </c>
      <c r="Y268" s="27">
        <f>IF(V268=0,0,IF(Control_Achizitii!$J268="DOSAR COMPLET",1,IF(LEFT(Control_Achizitii!$J268,9)="INCOMPLET",2,3)))</f>
        <v>0</v>
      </c>
      <c r="Z268" s="27"/>
      <c r="AA268" s="27"/>
      <c r="AB268" s="27"/>
      <c r="AC268" s="27"/>
      <c r="AD268" s="27"/>
      <c r="AE268" s="27"/>
      <c r="AF268" s="27"/>
      <c r="AG268" s="27"/>
      <c r="AH268" s="27">
        <f>IF(AND(V268=1,Control_Achizitii!$J268="DOSAR COMPLET",Control_Achizitii!$K268&lt;&gt;""),1,0)</f>
        <v>0</v>
      </c>
    </row>
    <row r="269" spans="1:34">
      <c r="A269" s="27"/>
      <c r="B269" s="27"/>
      <c r="C269" s="27"/>
      <c r="D269" s="27"/>
      <c r="E269" s="27"/>
      <c r="F269" s="27"/>
      <c r="G269" s="27"/>
      <c r="H269" s="27"/>
      <c r="I269" s="27"/>
      <c r="J269" s="27"/>
      <c r="K269" s="27"/>
      <c r="L269" s="27"/>
      <c r="M269" s="27"/>
      <c r="N269" s="27"/>
      <c r="O269" s="27"/>
      <c r="P269" s="27"/>
      <c r="Q269" s="27"/>
      <c r="R269" s="27"/>
      <c r="S269" s="27"/>
      <c r="T269" s="27">
        <f>IF(LEFT(Control_Achizitii!$E269,4)="Fact",1,0)</f>
        <v>0</v>
      </c>
      <c r="U269" s="27">
        <f>IF(Control_Achizitii!$C269="",0,IF(ISNUMBER(Control_Achizitii!$B269),0,1))</f>
        <v>0</v>
      </c>
      <c r="V269" s="27">
        <f>IF(Control_Achizitii!$C269="",0,IF($Z$2&lt;&gt;"OK",0,IF(AND(ISNUMBER(Control_Achizitii!$B269),Control_Achizitii!$B269&gt;=$E$5,Control_Achizitii!$B269&lt;$J$5+1,OR($O$5="Toate proiectele",Control_Achizitii!$Q269=$O$5)),1,0)))</f>
        <v>0</v>
      </c>
      <c r="W269" s="27">
        <f>IF(AND(V269=1,OR(Control_Achizitii!$J269&lt;&gt;"DOSAR COMPLET",Control_Achizitii!$K269&lt;&gt;"")),ROW(),1000000000)</f>
        <v>1000000000</v>
      </c>
      <c r="X269" s="27">
        <f>IF(AND(V269=1,LEFT(Control_Achizitii!$E269,4)="Fact",NOT(ISNUMBER(Control_Achizitii!$P269))),1,0)</f>
        <v>0</v>
      </c>
      <c r="Y269" s="27">
        <f>IF(V269=0,0,IF(Control_Achizitii!$J269="DOSAR COMPLET",1,IF(LEFT(Control_Achizitii!$J269,9)="INCOMPLET",2,3)))</f>
        <v>0</v>
      </c>
      <c r="Z269" s="27"/>
      <c r="AA269" s="27"/>
      <c r="AB269" s="27"/>
      <c r="AC269" s="27"/>
      <c r="AD269" s="27"/>
      <c r="AE269" s="27"/>
      <c r="AF269" s="27"/>
      <c r="AG269" s="27"/>
      <c r="AH269" s="27">
        <f>IF(AND(V269=1,Control_Achizitii!$J269="DOSAR COMPLET",Control_Achizitii!$K269&lt;&gt;""),1,0)</f>
        <v>0</v>
      </c>
    </row>
    <row r="270" spans="1:34">
      <c r="A270" s="27"/>
      <c r="B270" s="27"/>
      <c r="C270" s="27"/>
      <c r="D270" s="27"/>
      <c r="E270" s="27"/>
      <c r="F270" s="27"/>
      <c r="G270" s="27"/>
      <c r="H270" s="27"/>
      <c r="I270" s="27"/>
      <c r="J270" s="27"/>
      <c r="K270" s="27"/>
      <c r="L270" s="27"/>
      <c r="M270" s="27"/>
      <c r="N270" s="27"/>
      <c r="O270" s="27"/>
      <c r="P270" s="27"/>
      <c r="Q270" s="27"/>
      <c r="R270" s="27"/>
      <c r="S270" s="27"/>
      <c r="T270" s="27">
        <f>IF(LEFT(Control_Achizitii!$E270,4)="Fact",1,0)</f>
        <v>0</v>
      </c>
      <c r="U270" s="27">
        <f>IF(Control_Achizitii!$C270="",0,IF(ISNUMBER(Control_Achizitii!$B270),0,1))</f>
        <v>0</v>
      </c>
      <c r="V270" s="27">
        <f>IF(Control_Achizitii!$C270="",0,IF($Z$2&lt;&gt;"OK",0,IF(AND(ISNUMBER(Control_Achizitii!$B270),Control_Achizitii!$B270&gt;=$E$5,Control_Achizitii!$B270&lt;$J$5+1,OR($O$5="Toate proiectele",Control_Achizitii!$Q270=$O$5)),1,0)))</f>
        <v>0</v>
      </c>
      <c r="W270" s="27">
        <f>IF(AND(V270=1,OR(Control_Achizitii!$J270&lt;&gt;"DOSAR COMPLET",Control_Achizitii!$K270&lt;&gt;"")),ROW(),1000000000)</f>
        <v>1000000000</v>
      </c>
      <c r="X270" s="27">
        <f>IF(AND(V270=1,LEFT(Control_Achizitii!$E270,4)="Fact",NOT(ISNUMBER(Control_Achizitii!$P270))),1,0)</f>
        <v>0</v>
      </c>
      <c r="Y270" s="27">
        <f>IF(V270=0,0,IF(Control_Achizitii!$J270="DOSAR COMPLET",1,IF(LEFT(Control_Achizitii!$J270,9)="INCOMPLET",2,3)))</f>
        <v>0</v>
      </c>
      <c r="Z270" s="27"/>
      <c r="AA270" s="27"/>
      <c r="AB270" s="27"/>
      <c r="AC270" s="27"/>
      <c r="AD270" s="27"/>
      <c r="AE270" s="27"/>
      <c r="AF270" s="27"/>
      <c r="AG270" s="27"/>
      <c r="AH270" s="27">
        <f>IF(AND(V270=1,Control_Achizitii!$J270="DOSAR COMPLET",Control_Achizitii!$K270&lt;&gt;""),1,0)</f>
        <v>0</v>
      </c>
    </row>
    <row r="271" spans="1:34">
      <c r="A271" s="27"/>
      <c r="B271" s="27"/>
      <c r="C271" s="27"/>
      <c r="D271" s="27"/>
      <c r="E271" s="27"/>
      <c r="F271" s="27"/>
      <c r="G271" s="27"/>
      <c r="H271" s="27"/>
      <c r="I271" s="27"/>
      <c r="J271" s="27"/>
      <c r="K271" s="27"/>
      <c r="L271" s="27"/>
      <c r="M271" s="27"/>
      <c r="N271" s="27"/>
      <c r="O271" s="27"/>
      <c r="P271" s="27"/>
      <c r="Q271" s="27"/>
      <c r="R271" s="27"/>
      <c r="S271" s="27"/>
      <c r="T271" s="27">
        <f>IF(LEFT(Control_Achizitii!$E271,4)="Fact",1,0)</f>
        <v>0</v>
      </c>
      <c r="U271" s="27">
        <f>IF(Control_Achizitii!$C271="",0,IF(ISNUMBER(Control_Achizitii!$B271),0,1))</f>
        <v>0</v>
      </c>
      <c r="V271" s="27">
        <f>IF(Control_Achizitii!$C271="",0,IF($Z$2&lt;&gt;"OK",0,IF(AND(ISNUMBER(Control_Achizitii!$B271),Control_Achizitii!$B271&gt;=$E$5,Control_Achizitii!$B271&lt;$J$5+1,OR($O$5="Toate proiectele",Control_Achizitii!$Q271=$O$5)),1,0)))</f>
        <v>0</v>
      </c>
      <c r="W271" s="27">
        <f>IF(AND(V271=1,OR(Control_Achizitii!$J271&lt;&gt;"DOSAR COMPLET",Control_Achizitii!$K271&lt;&gt;"")),ROW(),1000000000)</f>
        <v>1000000000</v>
      </c>
      <c r="X271" s="27">
        <f>IF(AND(V271=1,LEFT(Control_Achizitii!$E271,4)="Fact",NOT(ISNUMBER(Control_Achizitii!$P271))),1,0)</f>
        <v>0</v>
      </c>
      <c r="Y271" s="27">
        <f>IF(V271=0,0,IF(Control_Achizitii!$J271="DOSAR COMPLET",1,IF(LEFT(Control_Achizitii!$J271,9)="INCOMPLET",2,3)))</f>
        <v>0</v>
      </c>
      <c r="Z271" s="27"/>
      <c r="AA271" s="27"/>
      <c r="AB271" s="27"/>
      <c r="AC271" s="27"/>
      <c r="AD271" s="27"/>
      <c r="AE271" s="27"/>
      <c r="AF271" s="27"/>
      <c r="AG271" s="27"/>
      <c r="AH271" s="27">
        <f>IF(AND(V271=1,Control_Achizitii!$J271="DOSAR COMPLET",Control_Achizitii!$K271&lt;&gt;""),1,0)</f>
        <v>0</v>
      </c>
    </row>
    <row r="272" spans="1:34">
      <c r="A272" s="27"/>
      <c r="B272" s="27"/>
      <c r="C272" s="27"/>
      <c r="D272" s="27"/>
      <c r="E272" s="27"/>
      <c r="F272" s="27"/>
      <c r="G272" s="27"/>
      <c r="H272" s="27"/>
      <c r="I272" s="27"/>
      <c r="J272" s="27"/>
      <c r="K272" s="27"/>
      <c r="L272" s="27"/>
      <c r="M272" s="27"/>
      <c r="N272" s="27"/>
      <c r="O272" s="27"/>
      <c r="P272" s="27"/>
      <c r="Q272" s="27"/>
      <c r="R272" s="27"/>
      <c r="S272" s="27"/>
      <c r="T272" s="27">
        <f>IF(LEFT(Control_Achizitii!$E272,4)="Fact",1,0)</f>
        <v>0</v>
      </c>
      <c r="U272" s="27">
        <f>IF(Control_Achizitii!$C272="",0,IF(ISNUMBER(Control_Achizitii!$B272),0,1))</f>
        <v>0</v>
      </c>
      <c r="V272" s="27">
        <f>IF(Control_Achizitii!$C272="",0,IF($Z$2&lt;&gt;"OK",0,IF(AND(ISNUMBER(Control_Achizitii!$B272),Control_Achizitii!$B272&gt;=$E$5,Control_Achizitii!$B272&lt;$J$5+1,OR($O$5="Toate proiectele",Control_Achizitii!$Q272=$O$5)),1,0)))</f>
        <v>0</v>
      </c>
      <c r="W272" s="27">
        <f>IF(AND(V272=1,OR(Control_Achizitii!$J272&lt;&gt;"DOSAR COMPLET",Control_Achizitii!$K272&lt;&gt;"")),ROW(),1000000000)</f>
        <v>1000000000</v>
      </c>
      <c r="X272" s="27">
        <f>IF(AND(V272=1,LEFT(Control_Achizitii!$E272,4)="Fact",NOT(ISNUMBER(Control_Achizitii!$P272))),1,0)</f>
        <v>0</v>
      </c>
      <c r="Y272" s="27">
        <f>IF(V272=0,0,IF(Control_Achizitii!$J272="DOSAR COMPLET",1,IF(LEFT(Control_Achizitii!$J272,9)="INCOMPLET",2,3)))</f>
        <v>0</v>
      </c>
      <c r="Z272" s="27"/>
      <c r="AA272" s="27"/>
      <c r="AB272" s="27"/>
      <c r="AC272" s="27"/>
      <c r="AD272" s="27"/>
      <c r="AE272" s="27"/>
      <c r="AF272" s="27"/>
      <c r="AG272" s="27"/>
      <c r="AH272" s="27">
        <f>IF(AND(V272=1,Control_Achizitii!$J272="DOSAR COMPLET",Control_Achizitii!$K272&lt;&gt;""),1,0)</f>
        <v>0</v>
      </c>
    </row>
    <row r="273" spans="1:34">
      <c r="A273" s="27"/>
      <c r="B273" s="27"/>
      <c r="C273" s="27"/>
      <c r="D273" s="27"/>
      <c r="E273" s="27"/>
      <c r="F273" s="27"/>
      <c r="G273" s="27"/>
      <c r="H273" s="27"/>
      <c r="I273" s="27"/>
      <c r="J273" s="27"/>
      <c r="K273" s="27"/>
      <c r="L273" s="27"/>
      <c r="M273" s="27"/>
      <c r="N273" s="27"/>
      <c r="O273" s="27"/>
      <c r="P273" s="27"/>
      <c r="Q273" s="27"/>
      <c r="R273" s="27"/>
      <c r="S273" s="27"/>
      <c r="T273" s="27">
        <f>IF(LEFT(Control_Achizitii!$E273,4)="Fact",1,0)</f>
        <v>0</v>
      </c>
      <c r="U273" s="27">
        <f>IF(Control_Achizitii!$C273="",0,IF(ISNUMBER(Control_Achizitii!$B273),0,1))</f>
        <v>0</v>
      </c>
      <c r="V273" s="27">
        <f>IF(Control_Achizitii!$C273="",0,IF($Z$2&lt;&gt;"OK",0,IF(AND(ISNUMBER(Control_Achizitii!$B273),Control_Achizitii!$B273&gt;=$E$5,Control_Achizitii!$B273&lt;$J$5+1,OR($O$5="Toate proiectele",Control_Achizitii!$Q273=$O$5)),1,0)))</f>
        <v>0</v>
      </c>
      <c r="W273" s="27">
        <f>IF(AND(V273=1,OR(Control_Achizitii!$J273&lt;&gt;"DOSAR COMPLET",Control_Achizitii!$K273&lt;&gt;"")),ROW(),1000000000)</f>
        <v>1000000000</v>
      </c>
      <c r="X273" s="27">
        <f>IF(AND(V273=1,LEFT(Control_Achizitii!$E273,4)="Fact",NOT(ISNUMBER(Control_Achizitii!$P273))),1,0)</f>
        <v>0</v>
      </c>
      <c r="Y273" s="27">
        <f>IF(V273=0,0,IF(Control_Achizitii!$J273="DOSAR COMPLET",1,IF(LEFT(Control_Achizitii!$J273,9)="INCOMPLET",2,3)))</f>
        <v>0</v>
      </c>
      <c r="Z273" s="27"/>
      <c r="AA273" s="27"/>
      <c r="AB273" s="27"/>
      <c r="AC273" s="27"/>
      <c r="AD273" s="27"/>
      <c r="AE273" s="27"/>
      <c r="AF273" s="27"/>
      <c r="AG273" s="27"/>
      <c r="AH273" s="27">
        <f>IF(AND(V273=1,Control_Achizitii!$J273="DOSAR COMPLET",Control_Achizitii!$K273&lt;&gt;""),1,0)</f>
        <v>0</v>
      </c>
    </row>
    <row r="274" spans="1:34">
      <c r="A274" s="27"/>
      <c r="B274" s="27"/>
      <c r="C274" s="27"/>
      <c r="D274" s="27"/>
      <c r="E274" s="27"/>
      <c r="F274" s="27"/>
      <c r="G274" s="27"/>
      <c r="H274" s="27"/>
      <c r="I274" s="27"/>
      <c r="J274" s="27"/>
      <c r="K274" s="27"/>
      <c r="L274" s="27"/>
      <c r="M274" s="27"/>
      <c r="N274" s="27"/>
      <c r="O274" s="27"/>
      <c r="P274" s="27"/>
      <c r="Q274" s="27"/>
      <c r="R274" s="27"/>
      <c r="S274" s="27"/>
      <c r="T274" s="27">
        <f>IF(LEFT(Control_Achizitii!$E274,4)="Fact",1,0)</f>
        <v>0</v>
      </c>
      <c r="U274" s="27">
        <f>IF(Control_Achizitii!$C274="",0,IF(ISNUMBER(Control_Achizitii!$B274),0,1))</f>
        <v>0</v>
      </c>
      <c r="V274" s="27">
        <f>IF(Control_Achizitii!$C274="",0,IF($Z$2&lt;&gt;"OK",0,IF(AND(ISNUMBER(Control_Achizitii!$B274),Control_Achizitii!$B274&gt;=$E$5,Control_Achizitii!$B274&lt;$J$5+1,OR($O$5="Toate proiectele",Control_Achizitii!$Q274=$O$5)),1,0)))</f>
        <v>0</v>
      </c>
      <c r="W274" s="27">
        <f>IF(AND(V274=1,OR(Control_Achizitii!$J274&lt;&gt;"DOSAR COMPLET",Control_Achizitii!$K274&lt;&gt;"")),ROW(),1000000000)</f>
        <v>1000000000</v>
      </c>
      <c r="X274" s="27">
        <f>IF(AND(V274=1,LEFT(Control_Achizitii!$E274,4)="Fact",NOT(ISNUMBER(Control_Achizitii!$P274))),1,0)</f>
        <v>0</v>
      </c>
      <c r="Y274" s="27">
        <f>IF(V274=0,0,IF(Control_Achizitii!$J274="DOSAR COMPLET",1,IF(LEFT(Control_Achizitii!$J274,9)="INCOMPLET",2,3)))</f>
        <v>0</v>
      </c>
      <c r="Z274" s="27"/>
      <c r="AA274" s="27"/>
      <c r="AB274" s="27"/>
      <c r="AC274" s="27"/>
      <c r="AD274" s="27"/>
      <c r="AE274" s="27"/>
      <c r="AF274" s="27"/>
      <c r="AG274" s="27"/>
      <c r="AH274" s="27">
        <f>IF(AND(V274=1,Control_Achizitii!$J274="DOSAR COMPLET",Control_Achizitii!$K274&lt;&gt;""),1,0)</f>
        <v>0</v>
      </c>
    </row>
    <row r="275" spans="1:34">
      <c r="A275" s="27"/>
      <c r="B275" s="27"/>
      <c r="C275" s="27"/>
      <c r="D275" s="27"/>
      <c r="E275" s="27"/>
      <c r="F275" s="27"/>
      <c r="G275" s="27"/>
      <c r="H275" s="27"/>
      <c r="I275" s="27"/>
      <c r="J275" s="27"/>
      <c r="K275" s="27"/>
      <c r="L275" s="27"/>
      <c r="M275" s="27"/>
      <c r="N275" s="27"/>
      <c r="O275" s="27"/>
      <c r="P275" s="27"/>
      <c r="Q275" s="27"/>
      <c r="R275" s="27"/>
      <c r="S275" s="27"/>
      <c r="T275" s="27">
        <f>IF(LEFT(Control_Achizitii!$E275,4)="Fact",1,0)</f>
        <v>0</v>
      </c>
      <c r="U275" s="27">
        <f>IF(Control_Achizitii!$C275="",0,IF(ISNUMBER(Control_Achizitii!$B275),0,1))</f>
        <v>0</v>
      </c>
      <c r="V275" s="27">
        <f>IF(Control_Achizitii!$C275="",0,IF($Z$2&lt;&gt;"OK",0,IF(AND(ISNUMBER(Control_Achizitii!$B275),Control_Achizitii!$B275&gt;=$E$5,Control_Achizitii!$B275&lt;$J$5+1,OR($O$5="Toate proiectele",Control_Achizitii!$Q275=$O$5)),1,0)))</f>
        <v>0</v>
      </c>
      <c r="W275" s="27">
        <f>IF(AND(V275=1,OR(Control_Achizitii!$J275&lt;&gt;"DOSAR COMPLET",Control_Achizitii!$K275&lt;&gt;"")),ROW(),1000000000)</f>
        <v>1000000000</v>
      </c>
      <c r="X275" s="27">
        <f>IF(AND(V275=1,LEFT(Control_Achizitii!$E275,4)="Fact",NOT(ISNUMBER(Control_Achizitii!$P275))),1,0)</f>
        <v>0</v>
      </c>
      <c r="Y275" s="27">
        <f>IF(V275=0,0,IF(Control_Achizitii!$J275="DOSAR COMPLET",1,IF(LEFT(Control_Achizitii!$J275,9)="INCOMPLET",2,3)))</f>
        <v>0</v>
      </c>
      <c r="Z275" s="27"/>
      <c r="AA275" s="27"/>
      <c r="AB275" s="27"/>
      <c r="AC275" s="27"/>
      <c r="AD275" s="27"/>
      <c r="AE275" s="27"/>
      <c r="AF275" s="27"/>
      <c r="AG275" s="27"/>
      <c r="AH275" s="27">
        <f>IF(AND(V275=1,Control_Achizitii!$J275="DOSAR COMPLET",Control_Achizitii!$K275&lt;&gt;""),1,0)</f>
        <v>0</v>
      </c>
    </row>
    <row r="276" spans="1:34">
      <c r="A276" s="27"/>
      <c r="B276" s="27"/>
      <c r="C276" s="27"/>
      <c r="D276" s="27"/>
      <c r="E276" s="27"/>
      <c r="F276" s="27"/>
      <c r="G276" s="27"/>
      <c r="H276" s="27"/>
      <c r="I276" s="27"/>
      <c r="J276" s="27"/>
      <c r="K276" s="27"/>
      <c r="L276" s="27"/>
      <c r="M276" s="27"/>
      <c r="N276" s="27"/>
      <c r="O276" s="27"/>
      <c r="P276" s="27"/>
      <c r="Q276" s="27"/>
      <c r="R276" s="27"/>
      <c r="S276" s="27"/>
      <c r="T276" s="27">
        <f>IF(LEFT(Control_Achizitii!$E276,4)="Fact",1,0)</f>
        <v>0</v>
      </c>
      <c r="U276" s="27">
        <f>IF(Control_Achizitii!$C276="",0,IF(ISNUMBER(Control_Achizitii!$B276),0,1))</f>
        <v>0</v>
      </c>
      <c r="V276" s="27">
        <f>IF(Control_Achizitii!$C276="",0,IF($Z$2&lt;&gt;"OK",0,IF(AND(ISNUMBER(Control_Achizitii!$B276),Control_Achizitii!$B276&gt;=$E$5,Control_Achizitii!$B276&lt;$J$5+1,OR($O$5="Toate proiectele",Control_Achizitii!$Q276=$O$5)),1,0)))</f>
        <v>0</v>
      </c>
      <c r="W276" s="27">
        <f>IF(AND(V276=1,OR(Control_Achizitii!$J276&lt;&gt;"DOSAR COMPLET",Control_Achizitii!$K276&lt;&gt;"")),ROW(),1000000000)</f>
        <v>1000000000</v>
      </c>
      <c r="X276" s="27">
        <f>IF(AND(V276=1,LEFT(Control_Achizitii!$E276,4)="Fact",NOT(ISNUMBER(Control_Achizitii!$P276))),1,0)</f>
        <v>0</v>
      </c>
      <c r="Y276" s="27">
        <f>IF(V276=0,0,IF(Control_Achizitii!$J276="DOSAR COMPLET",1,IF(LEFT(Control_Achizitii!$J276,9)="INCOMPLET",2,3)))</f>
        <v>0</v>
      </c>
      <c r="Z276" s="27"/>
      <c r="AA276" s="27"/>
      <c r="AB276" s="27"/>
      <c r="AC276" s="27"/>
      <c r="AD276" s="27"/>
      <c r="AE276" s="27"/>
      <c r="AF276" s="27"/>
      <c r="AG276" s="27"/>
      <c r="AH276" s="27">
        <f>IF(AND(V276=1,Control_Achizitii!$J276="DOSAR COMPLET",Control_Achizitii!$K276&lt;&gt;""),1,0)</f>
        <v>0</v>
      </c>
    </row>
    <row r="277" spans="1:34">
      <c r="A277" s="27"/>
      <c r="B277" s="27"/>
      <c r="C277" s="27"/>
      <c r="D277" s="27"/>
      <c r="E277" s="27"/>
      <c r="F277" s="27"/>
      <c r="G277" s="27"/>
      <c r="H277" s="27"/>
      <c r="I277" s="27"/>
      <c r="J277" s="27"/>
      <c r="K277" s="27"/>
      <c r="L277" s="27"/>
      <c r="M277" s="27"/>
      <c r="N277" s="27"/>
      <c r="O277" s="27"/>
      <c r="P277" s="27"/>
      <c r="Q277" s="27"/>
      <c r="R277" s="27"/>
      <c r="S277" s="27"/>
      <c r="T277" s="27">
        <f>IF(LEFT(Control_Achizitii!$E277,4)="Fact",1,0)</f>
        <v>0</v>
      </c>
      <c r="U277" s="27">
        <f>IF(Control_Achizitii!$C277="",0,IF(ISNUMBER(Control_Achizitii!$B277),0,1))</f>
        <v>0</v>
      </c>
      <c r="V277" s="27">
        <f>IF(Control_Achizitii!$C277="",0,IF($Z$2&lt;&gt;"OK",0,IF(AND(ISNUMBER(Control_Achizitii!$B277),Control_Achizitii!$B277&gt;=$E$5,Control_Achizitii!$B277&lt;$J$5+1,OR($O$5="Toate proiectele",Control_Achizitii!$Q277=$O$5)),1,0)))</f>
        <v>0</v>
      </c>
      <c r="W277" s="27">
        <f>IF(AND(V277=1,OR(Control_Achizitii!$J277&lt;&gt;"DOSAR COMPLET",Control_Achizitii!$K277&lt;&gt;"")),ROW(),1000000000)</f>
        <v>1000000000</v>
      </c>
      <c r="X277" s="27">
        <f>IF(AND(V277=1,LEFT(Control_Achizitii!$E277,4)="Fact",NOT(ISNUMBER(Control_Achizitii!$P277))),1,0)</f>
        <v>0</v>
      </c>
      <c r="Y277" s="27">
        <f>IF(V277=0,0,IF(Control_Achizitii!$J277="DOSAR COMPLET",1,IF(LEFT(Control_Achizitii!$J277,9)="INCOMPLET",2,3)))</f>
        <v>0</v>
      </c>
      <c r="Z277" s="27"/>
      <c r="AA277" s="27"/>
      <c r="AB277" s="27"/>
      <c r="AC277" s="27"/>
      <c r="AD277" s="27"/>
      <c r="AE277" s="27"/>
      <c r="AF277" s="27"/>
      <c r="AG277" s="27"/>
      <c r="AH277" s="27">
        <f>IF(AND(V277=1,Control_Achizitii!$J277="DOSAR COMPLET",Control_Achizitii!$K277&lt;&gt;""),1,0)</f>
        <v>0</v>
      </c>
    </row>
    <row r="278" spans="1:34">
      <c r="A278" s="27"/>
      <c r="B278" s="27"/>
      <c r="C278" s="27"/>
      <c r="D278" s="27"/>
      <c r="E278" s="27"/>
      <c r="F278" s="27"/>
      <c r="G278" s="27"/>
      <c r="H278" s="27"/>
      <c r="I278" s="27"/>
      <c r="J278" s="27"/>
      <c r="K278" s="27"/>
      <c r="L278" s="27"/>
      <c r="M278" s="27"/>
      <c r="N278" s="27"/>
      <c r="O278" s="27"/>
      <c r="P278" s="27"/>
      <c r="Q278" s="27"/>
      <c r="R278" s="27"/>
      <c r="S278" s="27"/>
      <c r="T278" s="27">
        <f>IF(LEFT(Control_Achizitii!$E278,4)="Fact",1,0)</f>
        <v>0</v>
      </c>
      <c r="U278" s="27">
        <f>IF(Control_Achizitii!$C278="",0,IF(ISNUMBER(Control_Achizitii!$B278),0,1))</f>
        <v>0</v>
      </c>
      <c r="V278" s="27">
        <f>IF(Control_Achizitii!$C278="",0,IF($Z$2&lt;&gt;"OK",0,IF(AND(ISNUMBER(Control_Achizitii!$B278),Control_Achizitii!$B278&gt;=$E$5,Control_Achizitii!$B278&lt;$J$5+1,OR($O$5="Toate proiectele",Control_Achizitii!$Q278=$O$5)),1,0)))</f>
        <v>0</v>
      </c>
      <c r="W278" s="27">
        <f>IF(AND(V278=1,OR(Control_Achizitii!$J278&lt;&gt;"DOSAR COMPLET",Control_Achizitii!$K278&lt;&gt;"")),ROW(),1000000000)</f>
        <v>1000000000</v>
      </c>
      <c r="X278" s="27">
        <f>IF(AND(V278=1,LEFT(Control_Achizitii!$E278,4)="Fact",NOT(ISNUMBER(Control_Achizitii!$P278))),1,0)</f>
        <v>0</v>
      </c>
      <c r="Y278" s="27">
        <f>IF(V278=0,0,IF(Control_Achizitii!$J278="DOSAR COMPLET",1,IF(LEFT(Control_Achizitii!$J278,9)="INCOMPLET",2,3)))</f>
        <v>0</v>
      </c>
      <c r="Z278" s="27"/>
      <c r="AA278" s="27"/>
      <c r="AB278" s="27"/>
      <c r="AC278" s="27"/>
      <c r="AD278" s="27"/>
      <c r="AE278" s="27"/>
      <c r="AF278" s="27"/>
      <c r="AG278" s="27"/>
      <c r="AH278" s="27">
        <f>IF(AND(V278=1,Control_Achizitii!$J278="DOSAR COMPLET",Control_Achizitii!$K278&lt;&gt;""),1,0)</f>
        <v>0</v>
      </c>
    </row>
    <row r="279" spans="1:34">
      <c r="A279" s="27"/>
      <c r="B279" s="27"/>
      <c r="C279" s="27"/>
      <c r="D279" s="27"/>
      <c r="E279" s="27"/>
      <c r="F279" s="27"/>
      <c r="G279" s="27"/>
      <c r="H279" s="27"/>
      <c r="I279" s="27"/>
      <c r="J279" s="27"/>
      <c r="K279" s="27"/>
      <c r="L279" s="27"/>
      <c r="M279" s="27"/>
      <c r="N279" s="27"/>
      <c r="O279" s="27"/>
      <c r="P279" s="27"/>
      <c r="Q279" s="27"/>
      <c r="R279" s="27"/>
      <c r="S279" s="27"/>
      <c r="T279" s="27">
        <f>IF(LEFT(Control_Achizitii!$E279,4)="Fact",1,0)</f>
        <v>0</v>
      </c>
      <c r="U279" s="27">
        <f>IF(Control_Achizitii!$C279="",0,IF(ISNUMBER(Control_Achizitii!$B279),0,1))</f>
        <v>0</v>
      </c>
      <c r="V279" s="27">
        <f>IF(Control_Achizitii!$C279="",0,IF($Z$2&lt;&gt;"OK",0,IF(AND(ISNUMBER(Control_Achizitii!$B279),Control_Achizitii!$B279&gt;=$E$5,Control_Achizitii!$B279&lt;$J$5+1,OR($O$5="Toate proiectele",Control_Achizitii!$Q279=$O$5)),1,0)))</f>
        <v>0</v>
      </c>
      <c r="W279" s="27">
        <f>IF(AND(V279=1,OR(Control_Achizitii!$J279&lt;&gt;"DOSAR COMPLET",Control_Achizitii!$K279&lt;&gt;"")),ROW(),1000000000)</f>
        <v>1000000000</v>
      </c>
      <c r="X279" s="27">
        <f>IF(AND(V279=1,LEFT(Control_Achizitii!$E279,4)="Fact",NOT(ISNUMBER(Control_Achizitii!$P279))),1,0)</f>
        <v>0</v>
      </c>
      <c r="Y279" s="27">
        <f>IF(V279=0,0,IF(Control_Achizitii!$J279="DOSAR COMPLET",1,IF(LEFT(Control_Achizitii!$J279,9)="INCOMPLET",2,3)))</f>
        <v>0</v>
      </c>
      <c r="Z279" s="27"/>
      <c r="AA279" s="27"/>
      <c r="AB279" s="27"/>
      <c r="AC279" s="27"/>
      <c r="AD279" s="27"/>
      <c r="AE279" s="27"/>
      <c r="AF279" s="27"/>
      <c r="AG279" s="27"/>
      <c r="AH279" s="27">
        <f>IF(AND(V279=1,Control_Achizitii!$J279="DOSAR COMPLET",Control_Achizitii!$K279&lt;&gt;""),1,0)</f>
        <v>0</v>
      </c>
    </row>
    <row r="280" spans="1:34">
      <c r="A280" s="27"/>
      <c r="B280" s="27"/>
      <c r="C280" s="27"/>
      <c r="D280" s="27"/>
      <c r="E280" s="27"/>
      <c r="F280" s="27"/>
      <c r="G280" s="27"/>
      <c r="H280" s="27"/>
      <c r="I280" s="27"/>
      <c r="J280" s="27"/>
      <c r="K280" s="27"/>
      <c r="L280" s="27"/>
      <c r="M280" s="27"/>
      <c r="N280" s="27"/>
      <c r="O280" s="27"/>
      <c r="P280" s="27"/>
      <c r="Q280" s="27"/>
      <c r="R280" s="27"/>
      <c r="S280" s="27"/>
      <c r="T280" s="27">
        <f>IF(LEFT(Control_Achizitii!$E280,4)="Fact",1,0)</f>
        <v>0</v>
      </c>
      <c r="U280" s="27">
        <f>IF(Control_Achizitii!$C280="",0,IF(ISNUMBER(Control_Achizitii!$B280),0,1))</f>
        <v>0</v>
      </c>
      <c r="V280" s="27">
        <f>IF(Control_Achizitii!$C280="",0,IF($Z$2&lt;&gt;"OK",0,IF(AND(ISNUMBER(Control_Achizitii!$B280),Control_Achizitii!$B280&gt;=$E$5,Control_Achizitii!$B280&lt;$J$5+1,OR($O$5="Toate proiectele",Control_Achizitii!$Q280=$O$5)),1,0)))</f>
        <v>0</v>
      </c>
      <c r="W280" s="27">
        <f>IF(AND(V280=1,OR(Control_Achizitii!$J280&lt;&gt;"DOSAR COMPLET",Control_Achizitii!$K280&lt;&gt;"")),ROW(),1000000000)</f>
        <v>1000000000</v>
      </c>
      <c r="X280" s="27">
        <f>IF(AND(V280=1,LEFT(Control_Achizitii!$E280,4)="Fact",NOT(ISNUMBER(Control_Achizitii!$P280))),1,0)</f>
        <v>0</v>
      </c>
      <c r="Y280" s="27">
        <f>IF(V280=0,0,IF(Control_Achizitii!$J280="DOSAR COMPLET",1,IF(LEFT(Control_Achizitii!$J280,9)="INCOMPLET",2,3)))</f>
        <v>0</v>
      </c>
      <c r="Z280" s="27"/>
      <c r="AA280" s="27"/>
      <c r="AB280" s="27"/>
      <c r="AC280" s="27"/>
      <c r="AD280" s="27"/>
      <c r="AE280" s="27"/>
      <c r="AF280" s="27"/>
      <c r="AG280" s="27"/>
      <c r="AH280" s="27">
        <f>IF(AND(V280=1,Control_Achizitii!$J280="DOSAR COMPLET",Control_Achizitii!$K280&lt;&gt;""),1,0)</f>
        <v>0</v>
      </c>
    </row>
    <row r="281" spans="1:34">
      <c r="A281" s="27"/>
      <c r="B281" s="27"/>
      <c r="C281" s="27"/>
      <c r="D281" s="27"/>
      <c r="E281" s="27"/>
      <c r="F281" s="27"/>
      <c r="G281" s="27"/>
      <c r="H281" s="27"/>
      <c r="I281" s="27"/>
      <c r="J281" s="27"/>
      <c r="K281" s="27"/>
      <c r="L281" s="27"/>
      <c r="M281" s="27"/>
      <c r="N281" s="27"/>
      <c r="O281" s="27"/>
      <c r="P281" s="27"/>
      <c r="Q281" s="27"/>
      <c r="R281" s="27"/>
      <c r="S281" s="27"/>
      <c r="T281" s="27">
        <f>IF(LEFT(Control_Achizitii!$E281,4)="Fact",1,0)</f>
        <v>0</v>
      </c>
      <c r="U281" s="27">
        <f>IF(Control_Achizitii!$C281="",0,IF(ISNUMBER(Control_Achizitii!$B281),0,1))</f>
        <v>0</v>
      </c>
      <c r="V281" s="27">
        <f>IF(Control_Achizitii!$C281="",0,IF($Z$2&lt;&gt;"OK",0,IF(AND(ISNUMBER(Control_Achizitii!$B281),Control_Achizitii!$B281&gt;=$E$5,Control_Achizitii!$B281&lt;$J$5+1,OR($O$5="Toate proiectele",Control_Achizitii!$Q281=$O$5)),1,0)))</f>
        <v>0</v>
      </c>
      <c r="W281" s="27">
        <f>IF(AND(V281=1,OR(Control_Achizitii!$J281&lt;&gt;"DOSAR COMPLET",Control_Achizitii!$K281&lt;&gt;"")),ROW(),1000000000)</f>
        <v>1000000000</v>
      </c>
      <c r="X281" s="27">
        <f>IF(AND(V281=1,LEFT(Control_Achizitii!$E281,4)="Fact",NOT(ISNUMBER(Control_Achizitii!$P281))),1,0)</f>
        <v>0</v>
      </c>
      <c r="Y281" s="27">
        <f>IF(V281=0,0,IF(Control_Achizitii!$J281="DOSAR COMPLET",1,IF(LEFT(Control_Achizitii!$J281,9)="INCOMPLET",2,3)))</f>
        <v>0</v>
      </c>
      <c r="Z281" s="27"/>
      <c r="AA281" s="27"/>
      <c r="AB281" s="27"/>
      <c r="AC281" s="27"/>
      <c r="AD281" s="27"/>
      <c r="AE281" s="27"/>
      <c r="AF281" s="27"/>
      <c r="AG281" s="27"/>
      <c r="AH281" s="27">
        <f>IF(AND(V281=1,Control_Achizitii!$J281="DOSAR COMPLET",Control_Achizitii!$K281&lt;&gt;""),1,0)</f>
        <v>0</v>
      </c>
    </row>
    <row r="282" spans="1:34">
      <c r="A282" s="27"/>
      <c r="B282" s="27"/>
      <c r="C282" s="27"/>
      <c r="D282" s="27"/>
      <c r="E282" s="27"/>
      <c r="F282" s="27"/>
      <c r="G282" s="27"/>
      <c r="H282" s="27"/>
      <c r="I282" s="27"/>
      <c r="J282" s="27"/>
      <c r="K282" s="27"/>
      <c r="L282" s="27"/>
      <c r="M282" s="27"/>
      <c r="N282" s="27"/>
      <c r="O282" s="27"/>
      <c r="P282" s="27"/>
      <c r="Q282" s="27"/>
      <c r="R282" s="27"/>
      <c r="S282" s="27"/>
      <c r="T282" s="27">
        <f>IF(LEFT(Control_Achizitii!$E282,4)="Fact",1,0)</f>
        <v>0</v>
      </c>
      <c r="U282" s="27">
        <f>IF(Control_Achizitii!$C282="",0,IF(ISNUMBER(Control_Achizitii!$B282),0,1))</f>
        <v>0</v>
      </c>
      <c r="V282" s="27">
        <f>IF(Control_Achizitii!$C282="",0,IF($Z$2&lt;&gt;"OK",0,IF(AND(ISNUMBER(Control_Achizitii!$B282),Control_Achizitii!$B282&gt;=$E$5,Control_Achizitii!$B282&lt;$J$5+1,OR($O$5="Toate proiectele",Control_Achizitii!$Q282=$O$5)),1,0)))</f>
        <v>0</v>
      </c>
      <c r="W282" s="27">
        <f>IF(AND(V282=1,OR(Control_Achizitii!$J282&lt;&gt;"DOSAR COMPLET",Control_Achizitii!$K282&lt;&gt;"")),ROW(),1000000000)</f>
        <v>1000000000</v>
      </c>
      <c r="X282" s="27">
        <f>IF(AND(V282=1,LEFT(Control_Achizitii!$E282,4)="Fact",NOT(ISNUMBER(Control_Achizitii!$P282))),1,0)</f>
        <v>0</v>
      </c>
      <c r="Y282" s="27">
        <f>IF(V282=0,0,IF(Control_Achizitii!$J282="DOSAR COMPLET",1,IF(LEFT(Control_Achizitii!$J282,9)="INCOMPLET",2,3)))</f>
        <v>0</v>
      </c>
      <c r="Z282" s="27"/>
      <c r="AA282" s="27"/>
      <c r="AB282" s="27"/>
      <c r="AC282" s="27"/>
      <c r="AD282" s="27"/>
      <c r="AE282" s="27"/>
      <c r="AF282" s="27"/>
      <c r="AG282" s="27"/>
      <c r="AH282" s="27">
        <f>IF(AND(V282=1,Control_Achizitii!$J282="DOSAR COMPLET",Control_Achizitii!$K282&lt;&gt;""),1,0)</f>
        <v>0</v>
      </c>
    </row>
    <row r="283" spans="1:34">
      <c r="A283" s="27"/>
      <c r="B283" s="27"/>
      <c r="C283" s="27"/>
      <c r="D283" s="27"/>
      <c r="E283" s="27"/>
      <c r="F283" s="27"/>
      <c r="G283" s="27"/>
      <c r="H283" s="27"/>
      <c r="I283" s="27"/>
      <c r="J283" s="27"/>
      <c r="K283" s="27"/>
      <c r="L283" s="27"/>
      <c r="M283" s="27"/>
      <c r="N283" s="27"/>
      <c r="O283" s="27"/>
      <c r="P283" s="27"/>
      <c r="Q283" s="27"/>
      <c r="R283" s="27"/>
      <c r="S283" s="27"/>
      <c r="T283" s="27">
        <f>IF(LEFT(Control_Achizitii!$E283,4)="Fact",1,0)</f>
        <v>0</v>
      </c>
      <c r="U283" s="27">
        <f>IF(Control_Achizitii!$C283="",0,IF(ISNUMBER(Control_Achizitii!$B283),0,1))</f>
        <v>0</v>
      </c>
      <c r="V283" s="27">
        <f>IF(Control_Achizitii!$C283="",0,IF($Z$2&lt;&gt;"OK",0,IF(AND(ISNUMBER(Control_Achizitii!$B283),Control_Achizitii!$B283&gt;=$E$5,Control_Achizitii!$B283&lt;$J$5+1,OR($O$5="Toate proiectele",Control_Achizitii!$Q283=$O$5)),1,0)))</f>
        <v>0</v>
      </c>
      <c r="W283" s="27">
        <f>IF(AND(V283=1,OR(Control_Achizitii!$J283&lt;&gt;"DOSAR COMPLET",Control_Achizitii!$K283&lt;&gt;"")),ROW(),1000000000)</f>
        <v>1000000000</v>
      </c>
      <c r="X283" s="27">
        <f>IF(AND(V283=1,LEFT(Control_Achizitii!$E283,4)="Fact",NOT(ISNUMBER(Control_Achizitii!$P283))),1,0)</f>
        <v>0</v>
      </c>
      <c r="Y283" s="27">
        <f>IF(V283=0,0,IF(Control_Achizitii!$J283="DOSAR COMPLET",1,IF(LEFT(Control_Achizitii!$J283,9)="INCOMPLET",2,3)))</f>
        <v>0</v>
      </c>
      <c r="Z283" s="27"/>
      <c r="AA283" s="27"/>
      <c r="AB283" s="27"/>
      <c r="AC283" s="27"/>
      <c r="AD283" s="27"/>
      <c r="AE283" s="27"/>
      <c r="AF283" s="27"/>
      <c r="AG283" s="27"/>
      <c r="AH283" s="27">
        <f>IF(AND(V283=1,Control_Achizitii!$J283="DOSAR COMPLET",Control_Achizitii!$K283&lt;&gt;""),1,0)</f>
        <v>0</v>
      </c>
    </row>
    <row r="284" spans="1:34">
      <c r="A284" s="27"/>
      <c r="B284" s="27"/>
      <c r="C284" s="27"/>
      <c r="D284" s="27"/>
      <c r="E284" s="27"/>
      <c r="F284" s="27"/>
      <c r="G284" s="27"/>
      <c r="H284" s="27"/>
      <c r="I284" s="27"/>
      <c r="J284" s="27"/>
      <c r="K284" s="27"/>
      <c r="L284" s="27"/>
      <c r="M284" s="27"/>
      <c r="N284" s="27"/>
      <c r="O284" s="27"/>
      <c r="P284" s="27"/>
      <c r="Q284" s="27"/>
      <c r="R284" s="27"/>
      <c r="S284" s="27"/>
      <c r="T284" s="27">
        <f>IF(LEFT(Control_Achizitii!$E284,4)="Fact",1,0)</f>
        <v>0</v>
      </c>
      <c r="U284" s="27">
        <f>IF(Control_Achizitii!$C284="",0,IF(ISNUMBER(Control_Achizitii!$B284),0,1))</f>
        <v>0</v>
      </c>
      <c r="V284" s="27">
        <f>IF(Control_Achizitii!$C284="",0,IF($Z$2&lt;&gt;"OK",0,IF(AND(ISNUMBER(Control_Achizitii!$B284),Control_Achizitii!$B284&gt;=$E$5,Control_Achizitii!$B284&lt;$J$5+1,OR($O$5="Toate proiectele",Control_Achizitii!$Q284=$O$5)),1,0)))</f>
        <v>0</v>
      </c>
      <c r="W284" s="27">
        <f>IF(AND(V284=1,OR(Control_Achizitii!$J284&lt;&gt;"DOSAR COMPLET",Control_Achizitii!$K284&lt;&gt;"")),ROW(),1000000000)</f>
        <v>1000000000</v>
      </c>
      <c r="X284" s="27">
        <f>IF(AND(V284=1,LEFT(Control_Achizitii!$E284,4)="Fact",NOT(ISNUMBER(Control_Achizitii!$P284))),1,0)</f>
        <v>0</v>
      </c>
      <c r="Y284" s="27">
        <f>IF(V284=0,0,IF(Control_Achizitii!$J284="DOSAR COMPLET",1,IF(LEFT(Control_Achizitii!$J284,9)="INCOMPLET",2,3)))</f>
        <v>0</v>
      </c>
      <c r="Z284" s="27"/>
      <c r="AA284" s="27"/>
      <c r="AB284" s="27"/>
      <c r="AC284" s="27"/>
      <c r="AD284" s="27"/>
      <c r="AE284" s="27"/>
      <c r="AF284" s="27"/>
      <c r="AG284" s="27"/>
      <c r="AH284" s="27">
        <f>IF(AND(V284=1,Control_Achizitii!$J284="DOSAR COMPLET",Control_Achizitii!$K284&lt;&gt;""),1,0)</f>
        <v>0</v>
      </c>
    </row>
    <row r="285" spans="1:34">
      <c r="A285" s="27"/>
      <c r="B285" s="27"/>
      <c r="C285" s="27"/>
      <c r="D285" s="27"/>
      <c r="E285" s="27"/>
      <c r="F285" s="27"/>
      <c r="G285" s="27"/>
      <c r="H285" s="27"/>
      <c r="I285" s="27"/>
      <c r="J285" s="27"/>
      <c r="K285" s="27"/>
      <c r="L285" s="27"/>
      <c r="M285" s="27"/>
      <c r="N285" s="27"/>
      <c r="O285" s="27"/>
      <c r="P285" s="27"/>
      <c r="Q285" s="27"/>
      <c r="R285" s="27"/>
      <c r="S285" s="27"/>
      <c r="T285" s="27">
        <f>IF(LEFT(Control_Achizitii!$E285,4)="Fact",1,0)</f>
        <v>0</v>
      </c>
      <c r="U285" s="27">
        <f>IF(Control_Achizitii!$C285="",0,IF(ISNUMBER(Control_Achizitii!$B285),0,1))</f>
        <v>0</v>
      </c>
      <c r="V285" s="27">
        <f>IF(Control_Achizitii!$C285="",0,IF($Z$2&lt;&gt;"OK",0,IF(AND(ISNUMBER(Control_Achizitii!$B285),Control_Achizitii!$B285&gt;=$E$5,Control_Achizitii!$B285&lt;$J$5+1,OR($O$5="Toate proiectele",Control_Achizitii!$Q285=$O$5)),1,0)))</f>
        <v>0</v>
      </c>
      <c r="W285" s="27">
        <f>IF(AND(V285=1,OR(Control_Achizitii!$J285&lt;&gt;"DOSAR COMPLET",Control_Achizitii!$K285&lt;&gt;"")),ROW(),1000000000)</f>
        <v>1000000000</v>
      </c>
      <c r="X285" s="27">
        <f>IF(AND(V285=1,LEFT(Control_Achizitii!$E285,4)="Fact",NOT(ISNUMBER(Control_Achizitii!$P285))),1,0)</f>
        <v>0</v>
      </c>
      <c r="Y285" s="27">
        <f>IF(V285=0,0,IF(Control_Achizitii!$J285="DOSAR COMPLET",1,IF(LEFT(Control_Achizitii!$J285,9)="INCOMPLET",2,3)))</f>
        <v>0</v>
      </c>
      <c r="Z285" s="27"/>
      <c r="AA285" s="27"/>
      <c r="AB285" s="27"/>
      <c r="AC285" s="27"/>
      <c r="AD285" s="27"/>
      <c r="AE285" s="27"/>
      <c r="AF285" s="27"/>
      <c r="AG285" s="27"/>
      <c r="AH285" s="27">
        <f>IF(AND(V285=1,Control_Achizitii!$J285="DOSAR COMPLET",Control_Achizitii!$K285&lt;&gt;""),1,0)</f>
        <v>0</v>
      </c>
    </row>
    <row r="286" spans="1:34">
      <c r="A286" s="27"/>
      <c r="B286" s="27"/>
      <c r="C286" s="27"/>
      <c r="D286" s="27"/>
      <c r="E286" s="27"/>
      <c r="F286" s="27"/>
      <c r="G286" s="27"/>
      <c r="H286" s="27"/>
      <c r="I286" s="27"/>
      <c r="J286" s="27"/>
      <c r="K286" s="27"/>
      <c r="L286" s="27"/>
      <c r="M286" s="27"/>
      <c r="N286" s="27"/>
      <c r="O286" s="27"/>
      <c r="P286" s="27"/>
      <c r="Q286" s="27"/>
      <c r="R286" s="27"/>
      <c r="S286" s="27"/>
      <c r="T286" s="27">
        <f>IF(LEFT(Control_Achizitii!$E286,4)="Fact",1,0)</f>
        <v>0</v>
      </c>
      <c r="U286" s="27">
        <f>IF(Control_Achizitii!$C286="",0,IF(ISNUMBER(Control_Achizitii!$B286),0,1))</f>
        <v>0</v>
      </c>
      <c r="V286" s="27">
        <f>IF(Control_Achizitii!$C286="",0,IF($Z$2&lt;&gt;"OK",0,IF(AND(ISNUMBER(Control_Achizitii!$B286),Control_Achizitii!$B286&gt;=$E$5,Control_Achizitii!$B286&lt;$J$5+1,OR($O$5="Toate proiectele",Control_Achizitii!$Q286=$O$5)),1,0)))</f>
        <v>0</v>
      </c>
      <c r="W286" s="27">
        <f>IF(AND(V286=1,OR(Control_Achizitii!$J286&lt;&gt;"DOSAR COMPLET",Control_Achizitii!$K286&lt;&gt;"")),ROW(),1000000000)</f>
        <v>1000000000</v>
      </c>
      <c r="X286" s="27">
        <f>IF(AND(V286=1,LEFT(Control_Achizitii!$E286,4)="Fact",NOT(ISNUMBER(Control_Achizitii!$P286))),1,0)</f>
        <v>0</v>
      </c>
      <c r="Y286" s="27">
        <f>IF(V286=0,0,IF(Control_Achizitii!$J286="DOSAR COMPLET",1,IF(LEFT(Control_Achizitii!$J286,9)="INCOMPLET",2,3)))</f>
        <v>0</v>
      </c>
      <c r="Z286" s="27"/>
      <c r="AA286" s="27"/>
      <c r="AB286" s="27"/>
      <c r="AC286" s="27"/>
      <c r="AD286" s="27"/>
      <c r="AE286" s="27"/>
      <c r="AF286" s="27"/>
      <c r="AG286" s="27"/>
      <c r="AH286" s="27">
        <f>IF(AND(V286=1,Control_Achizitii!$J286="DOSAR COMPLET",Control_Achizitii!$K286&lt;&gt;""),1,0)</f>
        <v>0</v>
      </c>
    </row>
    <row r="287" spans="1:34">
      <c r="A287" s="27"/>
      <c r="B287" s="27"/>
      <c r="C287" s="27"/>
      <c r="D287" s="27"/>
      <c r="E287" s="27"/>
      <c r="F287" s="27"/>
      <c r="G287" s="27"/>
      <c r="H287" s="27"/>
      <c r="I287" s="27"/>
      <c r="J287" s="27"/>
      <c r="K287" s="27"/>
      <c r="L287" s="27"/>
      <c r="M287" s="27"/>
      <c r="N287" s="27"/>
      <c r="O287" s="27"/>
      <c r="P287" s="27"/>
      <c r="Q287" s="27"/>
      <c r="R287" s="27"/>
      <c r="S287" s="27"/>
      <c r="T287" s="27">
        <f>IF(LEFT(Control_Achizitii!$E287,4)="Fact",1,0)</f>
        <v>0</v>
      </c>
      <c r="U287" s="27">
        <f>IF(Control_Achizitii!$C287="",0,IF(ISNUMBER(Control_Achizitii!$B287),0,1))</f>
        <v>0</v>
      </c>
      <c r="V287" s="27">
        <f>IF(Control_Achizitii!$C287="",0,IF($Z$2&lt;&gt;"OK",0,IF(AND(ISNUMBER(Control_Achizitii!$B287),Control_Achizitii!$B287&gt;=$E$5,Control_Achizitii!$B287&lt;$J$5+1,OR($O$5="Toate proiectele",Control_Achizitii!$Q287=$O$5)),1,0)))</f>
        <v>0</v>
      </c>
      <c r="W287" s="27">
        <f>IF(AND(V287=1,OR(Control_Achizitii!$J287&lt;&gt;"DOSAR COMPLET",Control_Achizitii!$K287&lt;&gt;"")),ROW(),1000000000)</f>
        <v>1000000000</v>
      </c>
      <c r="X287" s="27">
        <f>IF(AND(V287=1,LEFT(Control_Achizitii!$E287,4)="Fact",NOT(ISNUMBER(Control_Achizitii!$P287))),1,0)</f>
        <v>0</v>
      </c>
      <c r="Y287" s="27">
        <f>IF(V287=0,0,IF(Control_Achizitii!$J287="DOSAR COMPLET",1,IF(LEFT(Control_Achizitii!$J287,9)="INCOMPLET",2,3)))</f>
        <v>0</v>
      </c>
      <c r="Z287" s="27"/>
      <c r="AA287" s="27"/>
      <c r="AB287" s="27"/>
      <c r="AC287" s="27"/>
      <c r="AD287" s="27"/>
      <c r="AE287" s="27"/>
      <c r="AF287" s="27"/>
      <c r="AG287" s="27"/>
      <c r="AH287" s="27">
        <f>IF(AND(V287=1,Control_Achizitii!$J287="DOSAR COMPLET",Control_Achizitii!$K287&lt;&gt;""),1,0)</f>
        <v>0</v>
      </c>
    </row>
    <row r="288" spans="1:34">
      <c r="A288" s="27"/>
      <c r="B288" s="27"/>
      <c r="C288" s="27"/>
      <c r="D288" s="27"/>
      <c r="E288" s="27"/>
      <c r="F288" s="27"/>
      <c r="G288" s="27"/>
      <c r="H288" s="27"/>
      <c r="I288" s="27"/>
      <c r="J288" s="27"/>
      <c r="K288" s="27"/>
      <c r="L288" s="27"/>
      <c r="M288" s="27"/>
      <c r="N288" s="27"/>
      <c r="O288" s="27"/>
      <c r="P288" s="27"/>
      <c r="Q288" s="27"/>
      <c r="R288" s="27"/>
      <c r="S288" s="27"/>
      <c r="T288" s="27">
        <f>IF(LEFT(Control_Achizitii!$E288,4)="Fact",1,0)</f>
        <v>0</v>
      </c>
      <c r="U288" s="27">
        <f>IF(Control_Achizitii!$C288="",0,IF(ISNUMBER(Control_Achizitii!$B288),0,1))</f>
        <v>0</v>
      </c>
      <c r="V288" s="27">
        <f>IF(Control_Achizitii!$C288="",0,IF($Z$2&lt;&gt;"OK",0,IF(AND(ISNUMBER(Control_Achizitii!$B288),Control_Achizitii!$B288&gt;=$E$5,Control_Achizitii!$B288&lt;$J$5+1,OR($O$5="Toate proiectele",Control_Achizitii!$Q288=$O$5)),1,0)))</f>
        <v>0</v>
      </c>
      <c r="W288" s="27">
        <f>IF(AND(V288=1,OR(Control_Achizitii!$J288&lt;&gt;"DOSAR COMPLET",Control_Achizitii!$K288&lt;&gt;"")),ROW(),1000000000)</f>
        <v>1000000000</v>
      </c>
      <c r="X288" s="27">
        <f>IF(AND(V288=1,LEFT(Control_Achizitii!$E288,4)="Fact",NOT(ISNUMBER(Control_Achizitii!$P288))),1,0)</f>
        <v>0</v>
      </c>
      <c r="Y288" s="27">
        <f>IF(V288=0,0,IF(Control_Achizitii!$J288="DOSAR COMPLET",1,IF(LEFT(Control_Achizitii!$J288,9)="INCOMPLET",2,3)))</f>
        <v>0</v>
      </c>
      <c r="Z288" s="27"/>
      <c r="AA288" s="27"/>
      <c r="AB288" s="27"/>
      <c r="AC288" s="27"/>
      <c r="AD288" s="27"/>
      <c r="AE288" s="27"/>
      <c r="AF288" s="27"/>
      <c r="AG288" s="27"/>
      <c r="AH288" s="27">
        <f>IF(AND(V288=1,Control_Achizitii!$J288="DOSAR COMPLET",Control_Achizitii!$K288&lt;&gt;""),1,0)</f>
        <v>0</v>
      </c>
    </row>
    <row r="289" spans="1:34">
      <c r="A289" s="27"/>
      <c r="B289" s="27"/>
      <c r="C289" s="27"/>
      <c r="D289" s="27"/>
      <c r="E289" s="27"/>
      <c r="F289" s="27"/>
      <c r="G289" s="27"/>
      <c r="H289" s="27"/>
      <c r="I289" s="27"/>
      <c r="J289" s="27"/>
      <c r="K289" s="27"/>
      <c r="L289" s="27"/>
      <c r="M289" s="27"/>
      <c r="N289" s="27"/>
      <c r="O289" s="27"/>
      <c r="P289" s="27"/>
      <c r="Q289" s="27"/>
      <c r="R289" s="27"/>
      <c r="S289" s="27"/>
      <c r="T289" s="27">
        <f>IF(LEFT(Control_Achizitii!$E289,4)="Fact",1,0)</f>
        <v>0</v>
      </c>
      <c r="U289" s="27">
        <f>IF(Control_Achizitii!$C289="",0,IF(ISNUMBER(Control_Achizitii!$B289),0,1))</f>
        <v>0</v>
      </c>
      <c r="V289" s="27">
        <f>IF(Control_Achizitii!$C289="",0,IF($Z$2&lt;&gt;"OK",0,IF(AND(ISNUMBER(Control_Achizitii!$B289),Control_Achizitii!$B289&gt;=$E$5,Control_Achizitii!$B289&lt;$J$5+1,OR($O$5="Toate proiectele",Control_Achizitii!$Q289=$O$5)),1,0)))</f>
        <v>0</v>
      </c>
      <c r="W289" s="27">
        <f>IF(AND(V289=1,OR(Control_Achizitii!$J289&lt;&gt;"DOSAR COMPLET",Control_Achizitii!$K289&lt;&gt;"")),ROW(),1000000000)</f>
        <v>1000000000</v>
      </c>
      <c r="X289" s="27">
        <f>IF(AND(V289=1,LEFT(Control_Achizitii!$E289,4)="Fact",NOT(ISNUMBER(Control_Achizitii!$P289))),1,0)</f>
        <v>0</v>
      </c>
      <c r="Y289" s="27">
        <f>IF(V289=0,0,IF(Control_Achizitii!$J289="DOSAR COMPLET",1,IF(LEFT(Control_Achizitii!$J289,9)="INCOMPLET",2,3)))</f>
        <v>0</v>
      </c>
      <c r="Z289" s="27"/>
      <c r="AA289" s="27"/>
      <c r="AB289" s="27"/>
      <c r="AC289" s="27"/>
      <c r="AD289" s="27"/>
      <c r="AE289" s="27"/>
      <c r="AF289" s="27"/>
      <c r="AG289" s="27"/>
      <c r="AH289" s="27">
        <f>IF(AND(V289=1,Control_Achizitii!$J289="DOSAR COMPLET",Control_Achizitii!$K289&lt;&gt;""),1,0)</f>
        <v>0</v>
      </c>
    </row>
    <row r="290" spans="1:34">
      <c r="A290" s="27"/>
      <c r="B290" s="27"/>
      <c r="C290" s="27"/>
      <c r="D290" s="27"/>
      <c r="E290" s="27"/>
      <c r="F290" s="27"/>
      <c r="G290" s="27"/>
      <c r="H290" s="27"/>
      <c r="I290" s="27"/>
      <c r="J290" s="27"/>
      <c r="K290" s="27"/>
      <c r="L290" s="27"/>
      <c r="M290" s="27"/>
      <c r="N290" s="27"/>
      <c r="O290" s="27"/>
      <c r="P290" s="27"/>
      <c r="Q290" s="27"/>
      <c r="R290" s="27"/>
      <c r="S290" s="27"/>
      <c r="T290" s="27">
        <f>IF(LEFT(Control_Achizitii!$E290,4)="Fact",1,0)</f>
        <v>0</v>
      </c>
      <c r="U290" s="27">
        <f>IF(Control_Achizitii!$C290="",0,IF(ISNUMBER(Control_Achizitii!$B290),0,1))</f>
        <v>0</v>
      </c>
      <c r="V290" s="27">
        <f>IF(Control_Achizitii!$C290="",0,IF($Z$2&lt;&gt;"OK",0,IF(AND(ISNUMBER(Control_Achizitii!$B290),Control_Achizitii!$B290&gt;=$E$5,Control_Achizitii!$B290&lt;$J$5+1,OR($O$5="Toate proiectele",Control_Achizitii!$Q290=$O$5)),1,0)))</f>
        <v>0</v>
      </c>
      <c r="W290" s="27">
        <f>IF(AND(V290=1,OR(Control_Achizitii!$J290&lt;&gt;"DOSAR COMPLET",Control_Achizitii!$K290&lt;&gt;"")),ROW(),1000000000)</f>
        <v>1000000000</v>
      </c>
      <c r="X290" s="27">
        <f>IF(AND(V290=1,LEFT(Control_Achizitii!$E290,4)="Fact",NOT(ISNUMBER(Control_Achizitii!$P290))),1,0)</f>
        <v>0</v>
      </c>
      <c r="Y290" s="27">
        <f>IF(V290=0,0,IF(Control_Achizitii!$J290="DOSAR COMPLET",1,IF(LEFT(Control_Achizitii!$J290,9)="INCOMPLET",2,3)))</f>
        <v>0</v>
      </c>
      <c r="Z290" s="27"/>
      <c r="AA290" s="27"/>
      <c r="AB290" s="27"/>
      <c r="AC290" s="27"/>
      <c r="AD290" s="27"/>
      <c r="AE290" s="27"/>
      <c r="AF290" s="27"/>
      <c r="AG290" s="27"/>
      <c r="AH290" s="27">
        <f>IF(AND(V290=1,Control_Achizitii!$J290="DOSAR COMPLET",Control_Achizitii!$K290&lt;&gt;""),1,0)</f>
        <v>0</v>
      </c>
    </row>
    <row r="291" spans="1:34">
      <c r="A291" s="27"/>
      <c r="B291" s="27"/>
      <c r="C291" s="27"/>
      <c r="D291" s="27"/>
      <c r="E291" s="27"/>
      <c r="F291" s="27"/>
      <c r="G291" s="27"/>
      <c r="H291" s="27"/>
      <c r="I291" s="27"/>
      <c r="J291" s="27"/>
      <c r="K291" s="27"/>
      <c r="L291" s="27"/>
      <c r="M291" s="27"/>
      <c r="N291" s="27"/>
      <c r="O291" s="27"/>
      <c r="P291" s="27"/>
      <c r="Q291" s="27"/>
      <c r="R291" s="27"/>
      <c r="S291" s="27"/>
      <c r="T291" s="27">
        <f>IF(LEFT(Control_Achizitii!$E291,4)="Fact",1,0)</f>
        <v>0</v>
      </c>
      <c r="U291" s="27">
        <f>IF(Control_Achizitii!$C291="",0,IF(ISNUMBER(Control_Achizitii!$B291),0,1))</f>
        <v>0</v>
      </c>
      <c r="V291" s="27">
        <f>IF(Control_Achizitii!$C291="",0,IF($Z$2&lt;&gt;"OK",0,IF(AND(ISNUMBER(Control_Achizitii!$B291),Control_Achizitii!$B291&gt;=$E$5,Control_Achizitii!$B291&lt;$J$5+1,OR($O$5="Toate proiectele",Control_Achizitii!$Q291=$O$5)),1,0)))</f>
        <v>0</v>
      </c>
      <c r="W291" s="27">
        <f>IF(AND(V291=1,OR(Control_Achizitii!$J291&lt;&gt;"DOSAR COMPLET",Control_Achizitii!$K291&lt;&gt;"")),ROW(),1000000000)</f>
        <v>1000000000</v>
      </c>
      <c r="X291" s="27">
        <f>IF(AND(V291=1,LEFT(Control_Achizitii!$E291,4)="Fact",NOT(ISNUMBER(Control_Achizitii!$P291))),1,0)</f>
        <v>0</v>
      </c>
      <c r="Y291" s="27">
        <f>IF(V291=0,0,IF(Control_Achizitii!$J291="DOSAR COMPLET",1,IF(LEFT(Control_Achizitii!$J291,9)="INCOMPLET",2,3)))</f>
        <v>0</v>
      </c>
      <c r="Z291" s="27"/>
      <c r="AA291" s="27"/>
      <c r="AB291" s="27"/>
      <c r="AC291" s="27"/>
      <c r="AD291" s="27"/>
      <c r="AE291" s="27"/>
      <c r="AF291" s="27"/>
      <c r="AG291" s="27"/>
      <c r="AH291" s="27">
        <f>IF(AND(V291=1,Control_Achizitii!$J291="DOSAR COMPLET",Control_Achizitii!$K291&lt;&gt;""),1,0)</f>
        <v>0</v>
      </c>
    </row>
    <row r="292" spans="1:34">
      <c r="A292" s="27"/>
      <c r="B292" s="27"/>
      <c r="C292" s="27"/>
      <c r="D292" s="27"/>
      <c r="E292" s="27"/>
      <c r="F292" s="27"/>
      <c r="G292" s="27"/>
      <c r="H292" s="27"/>
      <c r="I292" s="27"/>
      <c r="J292" s="27"/>
      <c r="K292" s="27"/>
      <c r="L292" s="27"/>
      <c r="M292" s="27"/>
      <c r="N292" s="27"/>
      <c r="O292" s="27"/>
      <c r="P292" s="27"/>
      <c r="Q292" s="27"/>
      <c r="R292" s="27"/>
      <c r="S292" s="27"/>
      <c r="T292" s="27">
        <f>IF(LEFT(Control_Achizitii!$E292,4)="Fact",1,0)</f>
        <v>0</v>
      </c>
      <c r="U292" s="27">
        <f>IF(Control_Achizitii!$C292="",0,IF(ISNUMBER(Control_Achizitii!$B292),0,1))</f>
        <v>0</v>
      </c>
      <c r="V292" s="27">
        <f>IF(Control_Achizitii!$C292="",0,IF($Z$2&lt;&gt;"OK",0,IF(AND(ISNUMBER(Control_Achizitii!$B292),Control_Achizitii!$B292&gt;=$E$5,Control_Achizitii!$B292&lt;$J$5+1,OR($O$5="Toate proiectele",Control_Achizitii!$Q292=$O$5)),1,0)))</f>
        <v>0</v>
      </c>
      <c r="W292" s="27">
        <f>IF(AND(V292=1,OR(Control_Achizitii!$J292&lt;&gt;"DOSAR COMPLET",Control_Achizitii!$K292&lt;&gt;"")),ROW(),1000000000)</f>
        <v>1000000000</v>
      </c>
      <c r="X292" s="27">
        <f>IF(AND(V292=1,LEFT(Control_Achizitii!$E292,4)="Fact",NOT(ISNUMBER(Control_Achizitii!$P292))),1,0)</f>
        <v>0</v>
      </c>
      <c r="Y292" s="27">
        <f>IF(V292=0,0,IF(Control_Achizitii!$J292="DOSAR COMPLET",1,IF(LEFT(Control_Achizitii!$J292,9)="INCOMPLET",2,3)))</f>
        <v>0</v>
      </c>
      <c r="Z292" s="27"/>
      <c r="AA292" s="27"/>
      <c r="AB292" s="27"/>
      <c r="AC292" s="27"/>
      <c r="AD292" s="27"/>
      <c r="AE292" s="27"/>
      <c r="AF292" s="27"/>
      <c r="AG292" s="27"/>
      <c r="AH292" s="27">
        <f>IF(AND(V292=1,Control_Achizitii!$J292="DOSAR COMPLET",Control_Achizitii!$K292&lt;&gt;""),1,0)</f>
        <v>0</v>
      </c>
    </row>
    <row r="293" spans="1:34">
      <c r="A293" s="27"/>
      <c r="B293" s="27"/>
      <c r="C293" s="27"/>
      <c r="D293" s="27"/>
      <c r="E293" s="27"/>
      <c r="F293" s="27"/>
      <c r="G293" s="27"/>
      <c r="H293" s="27"/>
      <c r="I293" s="27"/>
      <c r="J293" s="27"/>
      <c r="K293" s="27"/>
      <c r="L293" s="27"/>
      <c r="M293" s="27"/>
      <c r="N293" s="27"/>
      <c r="O293" s="27"/>
      <c r="P293" s="27"/>
      <c r="Q293" s="27"/>
      <c r="R293" s="27"/>
      <c r="S293" s="27"/>
      <c r="T293" s="27">
        <f>IF(LEFT(Control_Achizitii!$E293,4)="Fact",1,0)</f>
        <v>0</v>
      </c>
      <c r="U293" s="27">
        <f>IF(Control_Achizitii!$C293="",0,IF(ISNUMBER(Control_Achizitii!$B293),0,1))</f>
        <v>0</v>
      </c>
      <c r="V293" s="27">
        <f>IF(Control_Achizitii!$C293="",0,IF($Z$2&lt;&gt;"OK",0,IF(AND(ISNUMBER(Control_Achizitii!$B293),Control_Achizitii!$B293&gt;=$E$5,Control_Achizitii!$B293&lt;$J$5+1,OR($O$5="Toate proiectele",Control_Achizitii!$Q293=$O$5)),1,0)))</f>
        <v>0</v>
      </c>
      <c r="W293" s="27">
        <f>IF(AND(V293=1,OR(Control_Achizitii!$J293&lt;&gt;"DOSAR COMPLET",Control_Achizitii!$K293&lt;&gt;"")),ROW(),1000000000)</f>
        <v>1000000000</v>
      </c>
      <c r="X293" s="27">
        <f>IF(AND(V293=1,LEFT(Control_Achizitii!$E293,4)="Fact",NOT(ISNUMBER(Control_Achizitii!$P293))),1,0)</f>
        <v>0</v>
      </c>
      <c r="Y293" s="27">
        <f>IF(V293=0,0,IF(Control_Achizitii!$J293="DOSAR COMPLET",1,IF(LEFT(Control_Achizitii!$J293,9)="INCOMPLET",2,3)))</f>
        <v>0</v>
      </c>
      <c r="Z293" s="27"/>
      <c r="AA293" s="27"/>
      <c r="AB293" s="27"/>
      <c r="AC293" s="27"/>
      <c r="AD293" s="27"/>
      <c r="AE293" s="27"/>
      <c r="AF293" s="27"/>
      <c r="AG293" s="27"/>
      <c r="AH293" s="27">
        <f>IF(AND(V293=1,Control_Achizitii!$J293="DOSAR COMPLET",Control_Achizitii!$K293&lt;&gt;""),1,0)</f>
        <v>0</v>
      </c>
    </row>
    <row r="294" spans="1:34">
      <c r="A294" s="27"/>
      <c r="B294" s="27"/>
      <c r="C294" s="27"/>
      <c r="D294" s="27"/>
      <c r="E294" s="27"/>
      <c r="F294" s="27"/>
      <c r="G294" s="27"/>
      <c r="H294" s="27"/>
      <c r="I294" s="27"/>
      <c r="J294" s="27"/>
      <c r="K294" s="27"/>
      <c r="L294" s="27"/>
      <c r="M294" s="27"/>
      <c r="N294" s="27"/>
      <c r="O294" s="27"/>
      <c r="P294" s="27"/>
      <c r="Q294" s="27"/>
      <c r="R294" s="27"/>
      <c r="S294" s="27"/>
      <c r="T294" s="27">
        <f>IF(LEFT(Control_Achizitii!$E294,4)="Fact",1,0)</f>
        <v>0</v>
      </c>
      <c r="U294" s="27">
        <f>IF(Control_Achizitii!$C294="",0,IF(ISNUMBER(Control_Achizitii!$B294),0,1))</f>
        <v>0</v>
      </c>
      <c r="V294" s="27">
        <f>IF(Control_Achizitii!$C294="",0,IF($Z$2&lt;&gt;"OK",0,IF(AND(ISNUMBER(Control_Achizitii!$B294),Control_Achizitii!$B294&gt;=$E$5,Control_Achizitii!$B294&lt;$J$5+1,OR($O$5="Toate proiectele",Control_Achizitii!$Q294=$O$5)),1,0)))</f>
        <v>0</v>
      </c>
      <c r="W294" s="27">
        <f>IF(AND(V294=1,OR(Control_Achizitii!$J294&lt;&gt;"DOSAR COMPLET",Control_Achizitii!$K294&lt;&gt;"")),ROW(),1000000000)</f>
        <v>1000000000</v>
      </c>
      <c r="X294" s="27">
        <f>IF(AND(V294=1,LEFT(Control_Achizitii!$E294,4)="Fact",NOT(ISNUMBER(Control_Achizitii!$P294))),1,0)</f>
        <v>0</v>
      </c>
      <c r="Y294" s="27">
        <f>IF(V294=0,0,IF(Control_Achizitii!$J294="DOSAR COMPLET",1,IF(LEFT(Control_Achizitii!$J294,9)="INCOMPLET",2,3)))</f>
        <v>0</v>
      </c>
      <c r="Z294" s="27"/>
      <c r="AA294" s="27"/>
      <c r="AB294" s="27"/>
      <c r="AC294" s="27"/>
      <c r="AD294" s="27"/>
      <c r="AE294" s="27"/>
      <c r="AF294" s="27"/>
      <c r="AG294" s="27"/>
      <c r="AH294" s="27">
        <f>IF(AND(V294=1,Control_Achizitii!$J294="DOSAR COMPLET",Control_Achizitii!$K294&lt;&gt;""),1,0)</f>
        <v>0</v>
      </c>
    </row>
    <row r="295" spans="1:34">
      <c r="A295" s="27"/>
      <c r="B295" s="27"/>
      <c r="C295" s="27"/>
      <c r="D295" s="27"/>
      <c r="E295" s="27"/>
      <c r="F295" s="27"/>
      <c r="G295" s="27"/>
      <c r="H295" s="27"/>
      <c r="I295" s="27"/>
      <c r="J295" s="27"/>
      <c r="K295" s="27"/>
      <c r="L295" s="27"/>
      <c r="M295" s="27"/>
      <c r="N295" s="27"/>
      <c r="O295" s="27"/>
      <c r="P295" s="27"/>
      <c r="Q295" s="27"/>
      <c r="R295" s="27"/>
      <c r="S295" s="27"/>
      <c r="T295" s="27">
        <f>IF(LEFT(Control_Achizitii!$E295,4)="Fact",1,0)</f>
        <v>0</v>
      </c>
      <c r="U295" s="27">
        <f>IF(Control_Achizitii!$C295="",0,IF(ISNUMBER(Control_Achizitii!$B295),0,1))</f>
        <v>0</v>
      </c>
      <c r="V295" s="27">
        <f>IF(Control_Achizitii!$C295="",0,IF($Z$2&lt;&gt;"OK",0,IF(AND(ISNUMBER(Control_Achizitii!$B295),Control_Achizitii!$B295&gt;=$E$5,Control_Achizitii!$B295&lt;$J$5+1,OR($O$5="Toate proiectele",Control_Achizitii!$Q295=$O$5)),1,0)))</f>
        <v>0</v>
      </c>
      <c r="W295" s="27">
        <f>IF(AND(V295=1,OR(Control_Achizitii!$J295&lt;&gt;"DOSAR COMPLET",Control_Achizitii!$K295&lt;&gt;"")),ROW(),1000000000)</f>
        <v>1000000000</v>
      </c>
      <c r="X295" s="27">
        <f>IF(AND(V295=1,LEFT(Control_Achizitii!$E295,4)="Fact",NOT(ISNUMBER(Control_Achizitii!$P295))),1,0)</f>
        <v>0</v>
      </c>
      <c r="Y295" s="27">
        <f>IF(V295=0,0,IF(Control_Achizitii!$J295="DOSAR COMPLET",1,IF(LEFT(Control_Achizitii!$J295,9)="INCOMPLET",2,3)))</f>
        <v>0</v>
      </c>
      <c r="Z295" s="27"/>
      <c r="AA295" s="27"/>
      <c r="AB295" s="27"/>
      <c r="AC295" s="27"/>
      <c r="AD295" s="27"/>
      <c r="AE295" s="27"/>
      <c r="AF295" s="27"/>
      <c r="AG295" s="27"/>
      <c r="AH295" s="27">
        <f>IF(AND(V295=1,Control_Achizitii!$J295="DOSAR COMPLET",Control_Achizitii!$K295&lt;&gt;""),1,0)</f>
        <v>0</v>
      </c>
    </row>
    <row r="296" spans="1:34">
      <c r="A296" s="27"/>
      <c r="B296" s="27"/>
      <c r="C296" s="27"/>
      <c r="D296" s="27"/>
      <c r="E296" s="27"/>
      <c r="F296" s="27"/>
      <c r="G296" s="27"/>
      <c r="H296" s="27"/>
      <c r="I296" s="27"/>
      <c r="J296" s="27"/>
      <c r="K296" s="27"/>
      <c r="L296" s="27"/>
      <c r="M296" s="27"/>
      <c r="N296" s="27"/>
      <c r="O296" s="27"/>
      <c r="P296" s="27"/>
      <c r="Q296" s="27"/>
      <c r="R296" s="27"/>
      <c r="S296" s="27"/>
      <c r="T296" s="27">
        <f>IF(LEFT(Control_Achizitii!$E296,4)="Fact",1,0)</f>
        <v>0</v>
      </c>
      <c r="U296" s="27">
        <f>IF(Control_Achizitii!$C296="",0,IF(ISNUMBER(Control_Achizitii!$B296),0,1))</f>
        <v>0</v>
      </c>
      <c r="V296" s="27">
        <f>IF(Control_Achizitii!$C296="",0,IF($Z$2&lt;&gt;"OK",0,IF(AND(ISNUMBER(Control_Achizitii!$B296),Control_Achizitii!$B296&gt;=$E$5,Control_Achizitii!$B296&lt;$J$5+1,OR($O$5="Toate proiectele",Control_Achizitii!$Q296=$O$5)),1,0)))</f>
        <v>0</v>
      </c>
      <c r="W296" s="27">
        <f>IF(AND(V296=1,OR(Control_Achizitii!$J296&lt;&gt;"DOSAR COMPLET",Control_Achizitii!$K296&lt;&gt;"")),ROW(),1000000000)</f>
        <v>1000000000</v>
      </c>
      <c r="X296" s="27">
        <f>IF(AND(V296=1,LEFT(Control_Achizitii!$E296,4)="Fact",NOT(ISNUMBER(Control_Achizitii!$P296))),1,0)</f>
        <v>0</v>
      </c>
      <c r="Y296" s="27">
        <f>IF(V296=0,0,IF(Control_Achizitii!$J296="DOSAR COMPLET",1,IF(LEFT(Control_Achizitii!$J296,9)="INCOMPLET",2,3)))</f>
        <v>0</v>
      </c>
      <c r="Z296" s="27"/>
      <c r="AA296" s="27"/>
      <c r="AB296" s="27"/>
      <c r="AC296" s="27"/>
      <c r="AD296" s="27"/>
      <c r="AE296" s="27"/>
      <c r="AF296" s="27"/>
      <c r="AG296" s="27"/>
      <c r="AH296" s="27">
        <f>IF(AND(V296=1,Control_Achizitii!$J296="DOSAR COMPLET",Control_Achizitii!$K296&lt;&gt;""),1,0)</f>
        <v>0</v>
      </c>
    </row>
    <row r="297" spans="1:34">
      <c r="A297" s="27"/>
      <c r="B297" s="27"/>
      <c r="C297" s="27"/>
      <c r="D297" s="27"/>
      <c r="E297" s="27"/>
      <c r="F297" s="27"/>
      <c r="G297" s="27"/>
      <c r="H297" s="27"/>
      <c r="I297" s="27"/>
      <c r="J297" s="27"/>
      <c r="K297" s="27"/>
      <c r="L297" s="27"/>
      <c r="M297" s="27"/>
      <c r="N297" s="27"/>
      <c r="O297" s="27"/>
      <c r="P297" s="27"/>
      <c r="Q297" s="27"/>
      <c r="R297" s="27"/>
      <c r="S297" s="27"/>
      <c r="T297" s="27">
        <f>IF(LEFT(Control_Achizitii!$E297,4)="Fact",1,0)</f>
        <v>0</v>
      </c>
      <c r="U297" s="27">
        <f>IF(Control_Achizitii!$C297="",0,IF(ISNUMBER(Control_Achizitii!$B297),0,1))</f>
        <v>0</v>
      </c>
      <c r="V297" s="27">
        <f>IF(Control_Achizitii!$C297="",0,IF($Z$2&lt;&gt;"OK",0,IF(AND(ISNUMBER(Control_Achizitii!$B297),Control_Achizitii!$B297&gt;=$E$5,Control_Achizitii!$B297&lt;$J$5+1,OR($O$5="Toate proiectele",Control_Achizitii!$Q297=$O$5)),1,0)))</f>
        <v>0</v>
      </c>
      <c r="W297" s="27">
        <f>IF(AND(V297=1,OR(Control_Achizitii!$J297&lt;&gt;"DOSAR COMPLET",Control_Achizitii!$K297&lt;&gt;"")),ROW(),1000000000)</f>
        <v>1000000000</v>
      </c>
      <c r="X297" s="27">
        <f>IF(AND(V297=1,LEFT(Control_Achizitii!$E297,4)="Fact",NOT(ISNUMBER(Control_Achizitii!$P297))),1,0)</f>
        <v>0</v>
      </c>
      <c r="Y297" s="27">
        <f>IF(V297=0,0,IF(Control_Achizitii!$J297="DOSAR COMPLET",1,IF(LEFT(Control_Achizitii!$J297,9)="INCOMPLET",2,3)))</f>
        <v>0</v>
      </c>
      <c r="Z297" s="27"/>
      <c r="AA297" s="27"/>
      <c r="AB297" s="27"/>
      <c r="AC297" s="27"/>
      <c r="AD297" s="27"/>
      <c r="AE297" s="27"/>
      <c r="AF297" s="27"/>
      <c r="AG297" s="27"/>
      <c r="AH297" s="27">
        <f>IF(AND(V297=1,Control_Achizitii!$J297="DOSAR COMPLET",Control_Achizitii!$K297&lt;&gt;""),1,0)</f>
        <v>0</v>
      </c>
    </row>
    <row r="298" spans="1:34">
      <c r="A298" s="27"/>
      <c r="B298" s="27"/>
      <c r="C298" s="27"/>
      <c r="D298" s="27"/>
      <c r="E298" s="27"/>
      <c r="F298" s="27"/>
      <c r="G298" s="27"/>
      <c r="H298" s="27"/>
      <c r="I298" s="27"/>
      <c r="J298" s="27"/>
      <c r="K298" s="27"/>
      <c r="L298" s="27"/>
      <c r="M298" s="27"/>
      <c r="N298" s="27"/>
      <c r="O298" s="27"/>
      <c r="P298" s="27"/>
      <c r="Q298" s="27"/>
      <c r="R298" s="27"/>
      <c r="S298" s="27"/>
      <c r="T298" s="27">
        <f>IF(LEFT(Control_Achizitii!$E298,4)="Fact",1,0)</f>
        <v>0</v>
      </c>
      <c r="U298" s="27">
        <f>IF(Control_Achizitii!$C298="",0,IF(ISNUMBER(Control_Achizitii!$B298),0,1))</f>
        <v>0</v>
      </c>
      <c r="V298" s="27">
        <f>IF(Control_Achizitii!$C298="",0,IF($Z$2&lt;&gt;"OK",0,IF(AND(ISNUMBER(Control_Achizitii!$B298),Control_Achizitii!$B298&gt;=$E$5,Control_Achizitii!$B298&lt;$J$5+1,OR($O$5="Toate proiectele",Control_Achizitii!$Q298=$O$5)),1,0)))</f>
        <v>0</v>
      </c>
      <c r="W298" s="27">
        <f>IF(AND(V298=1,OR(Control_Achizitii!$J298&lt;&gt;"DOSAR COMPLET",Control_Achizitii!$K298&lt;&gt;"")),ROW(),1000000000)</f>
        <v>1000000000</v>
      </c>
      <c r="X298" s="27">
        <f>IF(AND(V298=1,LEFT(Control_Achizitii!$E298,4)="Fact",NOT(ISNUMBER(Control_Achizitii!$P298))),1,0)</f>
        <v>0</v>
      </c>
      <c r="Y298" s="27">
        <f>IF(V298=0,0,IF(Control_Achizitii!$J298="DOSAR COMPLET",1,IF(LEFT(Control_Achizitii!$J298,9)="INCOMPLET",2,3)))</f>
        <v>0</v>
      </c>
      <c r="Z298" s="27"/>
      <c r="AA298" s="27"/>
      <c r="AB298" s="27"/>
      <c r="AC298" s="27"/>
      <c r="AD298" s="27"/>
      <c r="AE298" s="27"/>
      <c r="AF298" s="27"/>
      <c r="AG298" s="27"/>
      <c r="AH298" s="27">
        <f>IF(AND(V298=1,Control_Achizitii!$J298="DOSAR COMPLET",Control_Achizitii!$K298&lt;&gt;""),1,0)</f>
        <v>0</v>
      </c>
    </row>
    <row r="299" spans="1:34">
      <c r="A299" s="27"/>
      <c r="B299" s="27"/>
      <c r="C299" s="27"/>
      <c r="D299" s="27"/>
      <c r="E299" s="27"/>
      <c r="F299" s="27"/>
      <c r="G299" s="27"/>
      <c r="H299" s="27"/>
      <c r="I299" s="27"/>
      <c r="J299" s="27"/>
      <c r="K299" s="27"/>
      <c r="L299" s="27"/>
      <c r="M299" s="27"/>
      <c r="N299" s="27"/>
      <c r="O299" s="27"/>
      <c r="P299" s="27"/>
      <c r="Q299" s="27"/>
      <c r="R299" s="27"/>
      <c r="S299" s="27"/>
      <c r="T299" s="27">
        <f>IF(LEFT(Control_Achizitii!$E299,4)="Fact",1,0)</f>
        <v>0</v>
      </c>
      <c r="U299" s="27">
        <f>IF(Control_Achizitii!$C299="",0,IF(ISNUMBER(Control_Achizitii!$B299),0,1))</f>
        <v>0</v>
      </c>
      <c r="V299" s="27">
        <f>IF(Control_Achizitii!$C299="",0,IF($Z$2&lt;&gt;"OK",0,IF(AND(ISNUMBER(Control_Achizitii!$B299),Control_Achizitii!$B299&gt;=$E$5,Control_Achizitii!$B299&lt;$J$5+1,OR($O$5="Toate proiectele",Control_Achizitii!$Q299=$O$5)),1,0)))</f>
        <v>0</v>
      </c>
      <c r="W299" s="27">
        <f>IF(AND(V299=1,OR(Control_Achizitii!$J299&lt;&gt;"DOSAR COMPLET",Control_Achizitii!$K299&lt;&gt;"")),ROW(),1000000000)</f>
        <v>1000000000</v>
      </c>
      <c r="X299" s="27">
        <f>IF(AND(V299=1,LEFT(Control_Achizitii!$E299,4)="Fact",NOT(ISNUMBER(Control_Achizitii!$P299))),1,0)</f>
        <v>0</v>
      </c>
      <c r="Y299" s="27">
        <f>IF(V299=0,0,IF(Control_Achizitii!$J299="DOSAR COMPLET",1,IF(LEFT(Control_Achizitii!$J299,9)="INCOMPLET",2,3)))</f>
        <v>0</v>
      </c>
      <c r="Z299" s="27"/>
      <c r="AA299" s="27"/>
      <c r="AB299" s="27"/>
      <c r="AC299" s="27"/>
      <c r="AD299" s="27"/>
      <c r="AE299" s="27"/>
      <c r="AF299" s="27"/>
      <c r="AG299" s="27"/>
      <c r="AH299" s="27">
        <f>IF(AND(V299=1,Control_Achizitii!$J299="DOSAR COMPLET",Control_Achizitii!$K299&lt;&gt;""),1,0)</f>
        <v>0</v>
      </c>
    </row>
    <row r="300" spans="1:34">
      <c r="A300" s="27"/>
      <c r="B300" s="27"/>
      <c r="C300" s="27"/>
      <c r="D300" s="27"/>
      <c r="E300" s="27"/>
      <c r="F300" s="27"/>
      <c r="G300" s="27"/>
      <c r="H300" s="27"/>
      <c r="I300" s="27"/>
      <c r="J300" s="27"/>
      <c r="K300" s="27"/>
      <c r="L300" s="27"/>
      <c r="M300" s="27"/>
      <c r="N300" s="27"/>
      <c r="O300" s="27"/>
      <c r="P300" s="27"/>
      <c r="Q300" s="27"/>
      <c r="R300" s="27"/>
      <c r="S300" s="27"/>
      <c r="T300" s="27">
        <f>IF(LEFT(Control_Achizitii!$E300,4)="Fact",1,0)</f>
        <v>0</v>
      </c>
      <c r="U300" s="27">
        <f>IF(Control_Achizitii!$C300="",0,IF(ISNUMBER(Control_Achizitii!$B300),0,1))</f>
        <v>0</v>
      </c>
      <c r="V300" s="27">
        <f>IF(Control_Achizitii!$C300="",0,IF($Z$2&lt;&gt;"OK",0,IF(AND(ISNUMBER(Control_Achizitii!$B300),Control_Achizitii!$B300&gt;=$E$5,Control_Achizitii!$B300&lt;$J$5+1,OR($O$5="Toate proiectele",Control_Achizitii!$Q300=$O$5)),1,0)))</f>
        <v>0</v>
      </c>
      <c r="W300" s="27">
        <f>IF(AND(V300=1,OR(Control_Achizitii!$J300&lt;&gt;"DOSAR COMPLET",Control_Achizitii!$K300&lt;&gt;"")),ROW(),1000000000)</f>
        <v>1000000000</v>
      </c>
      <c r="X300" s="27">
        <f>IF(AND(V300=1,LEFT(Control_Achizitii!$E300,4)="Fact",NOT(ISNUMBER(Control_Achizitii!$P300))),1,0)</f>
        <v>0</v>
      </c>
      <c r="Y300" s="27">
        <f>IF(V300=0,0,IF(Control_Achizitii!$J300="DOSAR COMPLET",1,IF(LEFT(Control_Achizitii!$J300,9)="INCOMPLET",2,3)))</f>
        <v>0</v>
      </c>
      <c r="Z300" s="27"/>
      <c r="AA300" s="27"/>
      <c r="AB300" s="27"/>
      <c r="AC300" s="27"/>
      <c r="AD300" s="27"/>
      <c r="AE300" s="27"/>
      <c r="AF300" s="27"/>
      <c r="AG300" s="27"/>
      <c r="AH300" s="27">
        <f>IF(AND(V300=1,Control_Achizitii!$J300="DOSAR COMPLET",Control_Achizitii!$K300&lt;&gt;""),1,0)</f>
        <v>0</v>
      </c>
    </row>
    <row r="301" spans="1:34">
      <c r="A301" s="27"/>
      <c r="B301" s="27"/>
      <c r="C301" s="27"/>
      <c r="D301" s="27"/>
      <c r="E301" s="27"/>
      <c r="F301" s="27"/>
      <c r="G301" s="27"/>
      <c r="H301" s="27"/>
      <c r="I301" s="27"/>
      <c r="J301" s="27"/>
      <c r="K301" s="27"/>
      <c r="L301" s="27"/>
      <c r="M301" s="27"/>
      <c r="N301" s="27"/>
      <c r="O301" s="27"/>
      <c r="P301" s="27"/>
      <c r="Q301" s="27"/>
      <c r="R301" s="27"/>
      <c r="S301" s="27"/>
      <c r="T301" s="27">
        <f>IF(LEFT(Control_Achizitii!$E301,4)="Fact",1,0)</f>
        <v>0</v>
      </c>
      <c r="U301" s="27">
        <f>IF(Control_Achizitii!$C301="",0,IF(ISNUMBER(Control_Achizitii!$B301),0,1))</f>
        <v>0</v>
      </c>
      <c r="V301" s="27">
        <f>IF(Control_Achizitii!$C301="",0,IF($Z$2&lt;&gt;"OK",0,IF(AND(ISNUMBER(Control_Achizitii!$B301),Control_Achizitii!$B301&gt;=$E$5,Control_Achizitii!$B301&lt;$J$5+1,OR($O$5="Toate proiectele",Control_Achizitii!$Q301=$O$5)),1,0)))</f>
        <v>0</v>
      </c>
      <c r="W301" s="27">
        <f>IF(AND(V301=1,OR(Control_Achizitii!$J301&lt;&gt;"DOSAR COMPLET",Control_Achizitii!$K301&lt;&gt;"")),ROW(),1000000000)</f>
        <v>1000000000</v>
      </c>
      <c r="X301" s="27">
        <f>IF(AND(V301=1,LEFT(Control_Achizitii!$E301,4)="Fact",NOT(ISNUMBER(Control_Achizitii!$P301))),1,0)</f>
        <v>0</v>
      </c>
      <c r="Y301" s="27">
        <f>IF(V301=0,0,IF(Control_Achizitii!$J301="DOSAR COMPLET",1,IF(LEFT(Control_Achizitii!$J301,9)="INCOMPLET",2,3)))</f>
        <v>0</v>
      </c>
      <c r="Z301" s="27"/>
      <c r="AA301" s="27"/>
      <c r="AB301" s="27"/>
      <c r="AC301" s="27"/>
      <c r="AD301" s="27"/>
      <c r="AE301" s="27"/>
      <c r="AF301" s="27"/>
      <c r="AG301" s="27"/>
      <c r="AH301" s="27">
        <f>IF(AND(V301=1,Control_Achizitii!$J301="DOSAR COMPLET",Control_Achizitii!$K301&lt;&gt;""),1,0)</f>
        <v>0</v>
      </c>
    </row>
    <row r="302" spans="1:34">
      <c r="A302" s="27"/>
      <c r="B302" s="27"/>
      <c r="C302" s="27"/>
      <c r="D302" s="27"/>
      <c r="E302" s="27"/>
      <c r="F302" s="27"/>
      <c r="G302" s="27"/>
      <c r="H302" s="27"/>
      <c r="I302" s="27"/>
      <c r="J302" s="27"/>
      <c r="K302" s="27"/>
      <c r="L302" s="27"/>
      <c r="M302" s="27"/>
      <c r="N302" s="27"/>
      <c r="O302" s="27"/>
      <c r="P302" s="27"/>
      <c r="Q302" s="27"/>
      <c r="R302" s="27"/>
      <c r="S302" s="27"/>
      <c r="T302" s="27">
        <f>IF(LEFT(Control_Achizitii!$E302,4)="Fact",1,0)</f>
        <v>0</v>
      </c>
      <c r="U302" s="27">
        <f>IF(Control_Achizitii!$C302="",0,IF(ISNUMBER(Control_Achizitii!$B302),0,1))</f>
        <v>0</v>
      </c>
      <c r="V302" s="27">
        <f>IF(Control_Achizitii!$C302="",0,IF($Z$2&lt;&gt;"OK",0,IF(AND(ISNUMBER(Control_Achizitii!$B302),Control_Achizitii!$B302&gt;=$E$5,Control_Achizitii!$B302&lt;$J$5+1,OR($O$5="Toate proiectele",Control_Achizitii!$Q302=$O$5)),1,0)))</f>
        <v>0</v>
      </c>
      <c r="W302" s="27">
        <f>IF(AND(V302=1,OR(Control_Achizitii!$J302&lt;&gt;"DOSAR COMPLET",Control_Achizitii!$K302&lt;&gt;"")),ROW(),1000000000)</f>
        <v>1000000000</v>
      </c>
      <c r="X302" s="27">
        <f>IF(AND(V302=1,LEFT(Control_Achizitii!$E302,4)="Fact",NOT(ISNUMBER(Control_Achizitii!$P302))),1,0)</f>
        <v>0</v>
      </c>
      <c r="Y302" s="27">
        <f>IF(V302=0,0,IF(Control_Achizitii!$J302="DOSAR COMPLET",1,IF(LEFT(Control_Achizitii!$J302,9)="INCOMPLET",2,3)))</f>
        <v>0</v>
      </c>
      <c r="Z302" s="27"/>
      <c r="AA302" s="27"/>
      <c r="AB302" s="27"/>
      <c r="AC302" s="27"/>
      <c r="AD302" s="27"/>
      <c r="AE302" s="27"/>
      <c r="AF302" s="27"/>
      <c r="AG302" s="27"/>
      <c r="AH302" s="27">
        <f>IF(AND(V302=1,Control_Achizitii!$J302="DOSAR COMPLET",Control_Achizitii!$K302&lt;&gt;""),1,0)</f>
        <v>0</v>
      </c>
    </row>
    <row r="303" spans="1:34">
      <c r="A303" s="27"/>
      <c r="B303" s="27"/>
      <c r="C303" s="27"/>
      <c r="D303" s="27"/>
      <c r="E303" s="27"/>
      <c r="F303" s="27"/>
      <c r="G303" s="27"/>
      <c r="H303" s="27"/>
      <c r="I303" s="27"/>
      <c r="J303" s="27"/>
      <c r="K303" s="27"/>
      <c r="L303" s="27"/>
      <c r="M303" s="27"/>
      <c r="N303" s="27"/>
      <c r="O303" s="27"/>
      <c r="P303" s="27"/>
      <c r="Q303" s="27"/>
      <c r="R303" s="27"/>
      <c r="S303" s="27"/>
      <c r="T303" s="27">
        <f>IF(LEFT(Control_Achizitii!$E303,4)="Fact",1,0)</f>
        <v>0</v>
      </c>
      <c r="U303" s="27">
        <f>IF(Control_Achizitii!$C303="",0,IF(ISNUMBER(Control_Achizitii!$B303),0,1))</f>
        <v>0</v>
      </c>
      <c r="V303" s="27">
        <f>IF(Control_Achizitii!$C303="",0,IF($Z$2&lt;&gt;"OK",0,IF(AND(ISNUMBER(Control_Achizitii!$B303),Control_Achizitii!$B303&gt;=$E$5,Control_Achizitii!$B303&lt;$J$5+1,OR($O$5="Toate proiectele",Control_Achizitii!$Q303=$O$5)),1,0)))</f>
        <v>0</v>
      </c>
      <c r="W303" s="27">
        <f>IF(AND(V303=1,OR(Control_Achizitii!$J303&lt;&gt;"DOSAR COMPLET",Control_Achizitii!$K303&lt;&gt;"")),ROW(),1000000000)</f>
        <v>1000000000</v>
      </c>
      <c r="X303" s="27">
        <f>IF(AND(V303=1,LEFT(Control_Achizitii!$E303,4)="Fact",NOT(ISNUMBER(Control_Achizitii!$P303))),1,0)</f>
        <v>0</v>
      </c>
      <c r="Y303" s="27">
        <f>IF(V303=0,0,IF(Control_Achizitii!$J303="DOSAR COMPLET",1,IF(LEFT(Control_Achizitii!$J303,9)="INCOMPLET",2,3)))</f>
        <v>0</v>
      </c>
      <c r="Z303" s="27"/>
      <c r="AA303" s="27"/>
      <c r="AB303" s="27"/>
      <c r="AC303" s="27"/>
      <c r="AD303" s="27"/>
      <c r="AE303" s="27"/>
      <c r="AF303" s="27"/>
      <c r="AG303" s="27"/>
      <c r="AH303" s="27">
        <f>IF(AND(V303=1,Control_Achizitii!$J303="DOSAR COMPLET",Control_Achizitii!$K303&lt;&gt;""),1,0)</f>
        <v>0</v>
      </c>
    </row>
    <row r="304" spans="1:34">
      <c r="A304" s="27"/>
      <c r="B304" s="27"/>
      <c r="C304" s="27"/>
      <c r="D304" s="27"/>
      <c r="E304" s="27"/>
      <c r="F304" s="27"/>
      <c r="G304" s="27"/>
      <c r="H304" s="27"/>
      <c r="I304" s="27"/>
      <c r="J304" s="27"/>
      <c r="K304" s="27"/>
      <c r="L304" s="27"/>
      <c r="M304" s="27"/>
      <c r="N304" s="27"/>
      <c r="O304" s="27"/>
      <c r="P304" s="27"/>
      <c r="Q304" s="27"/>
      <c r="R304" s="27"/>
      <c r="S304" s="27"/>
      <c r="T304" s="27">
        <f>IF(LEFT(Control_Achizitii!$E304,4)="Fact",1,0)</f>
        <v>0</v>
      </c>
      <c r="U304" s="27">
        <f>IF(Control_Achizitii!$C304="",0,IF(ISNUMBER(Control_Achizitii!$B304),0,1))</f>
        <v>0</v>
      </c>
      <c r="V304" s="27">
        <f>IF(Control_Achizitii!$C304="",0,IF($Z$2&lt;&gt;"OK",0,IF(AND(ISNUMBER(Control_Achizitii!$B304),Control_Achizitii!$B304&gt;=$E$5,Control_Achizitii!$B304&lt;$J$5+1,OR($O$5="Toate proiectele",Control_Achizitii!$Q304=$O$5)),1,0)))</f>
        <v>0</v>
      </c>
      <c r="W304" s="27">
        <f>IF(AND(V304=1,OR(Control_Achizitii!$J304&lt;&gt;"DOSAR COMPLET",Control_Achizitii!$K304&lt;&gt;"")),ROW(),1000000000)</f>
        <v>1000000000</v>
      </c>
      <c r="X304" s="27">
        <f>IF(AND(V304=1,LEFT(Control_Achizitii!$E304,4)="Fact",NOT(ISNUMBER(Control_Achizitii!$P304))),1,0)</f>
        <v>0</v>
      </c>
      <c r="Y304" s="27">
        <f>IF(V304=0,0,IF(Control_Achizitii!$J304="DOSAR COMPLET",1,IF(LEFT(Control_Achizitii!$J304,9)="INCOMPLET",2,3)))</f>
        <v>0</v>
      </c>
      <c r="Z304" s="27"/>
      <c r="AA304" s="27"/>
      <c r="AB304" s="27"/>
      <c r="AC304" s="27"/>
      <c r="AD304" s="27"/>
      <c r="AE304" s="27"/>
      <c r="AF304" s="27"/>
      <c r="AG304" s="27"/>
      <c r="AH304" s="27">
        <f>IF(AND(V304=1,Control_Achizitii!$J304="DOSAR COMPLET",Control_Achizitii!$K304&lt;&gt;""),1,0)</f>
        <v>0</v>
      </c>
    </row>
    <row r="305" spans="1:34">
      <c r="A305" s="27"/>
      <c r="B305" s="27"/>
      <c r="C305" s="27"/>
      <c r="D305" s="27"/>
      <c r="E305" s="27"/>
      <c r="F305" s="27"/>
      <c r="G305" s="27"/>
      <c r="H305" s="27"/>
      <c r="I305" s="27"/>
      <c r="J305" s="27"/>
      <c r="K305" s="27"/>
      <c r="L305" s="27"/>
      <c r="M305" s="27"/>
      <c r="N305" s="27"/>
      <c r="O305" s="27"/>
      <c r="P305" s="27"/>
      <c r="Q305" s="27"/>
      <c r="R305" s="27"/>
      <c r="S305" s="27"/>
      <c r="T305" s="27">
        <f>IF(LEFT(Control_Achizitii!$E305,4)="Fact",1,0)</f>
        <v>0</v>
      </c>
      <c r="U305" s="27">
        <f>IF(Control_Achizitii!$C305="",0,IF(ISNUMBER(Control_Achizitii!$B305),0,1))</f>
        <v>0</v>
      </c>
      <c r="V305" s="27">
        <f>IF(Control_Achizitii!$C305="",0,IF($Z$2&lt;&gt;"OK",0,IF(AND(ISNUMBER(Control_Achizitii!$B305),Control_Achizitii!$B305&gt;=$E$5,Control_Achizitii!$B305&lt;$J$5+1,OR($O$5="Toate proiectele",Control_Achizitii!$Q305=$O$5)),1,0)))</f>
        <v>0</v>
      </c>
      <c r="W305" s="27">
        <f>IF(AND(V305=1,OR(Control_Achizitii!$J305&lt;&gt;"DOSAR COMPLET",Control_Achizitii!$K305&lt;&gt;"")),ROW(),1000000000)</f>
        <v>1000000000</v>
      </c>
      <c r="X305" s="27">
        <f>IF(AND(V305=1,LEFT(Control_Achizitii!$E305,4)="Fact",NOT(ISNUMBER(Control_Achizitii!$P305))),1,0)</f>
        <v>0</v>
      </c>
      <c r="Y305" s="27">
        <f>IF(V305=0,0,IF(Control_Achizitii!$J305="DOSAR COMPLET",1,IF(LEFT(Control_Achizitii!$J305,9)="INCOMPLET",2,3)))</f>
        <v>0</v>
      </c>
      <c r="Z305" s="27"/>
      <c r="AA305" s="27"/>
      <c r="AB305" s="27"/>
      <c r="AC305" s="27"/>
      <c r="AD305" s="27"/>
      <c r="AE305" s="27"/>
      <c r="AF305" s="27"/>
      <c r="AG305" s="27"/>
      <c r="AH305" s="27">
        <f>IF(AND(V305=1,Control_Achizitii!$J305="DOSAR COMPLET",Control_Achizitii!$K305&lt;&gt;""),1,0)</f>
        <v>0</v>
      </c>
    </row>
    <row r="306" spans="1:34">
      <c r="A306" s="27"/>
      <c r="B306" s="27"/>
      <c r="C306" s="27"/>
      <c r="D306" s="27"/>
      <c r="E306" s="27"/>
      <c r="F306" s="27"/>
      <c r="G306" s="27"/>
      <c r="H306" s="27"/>
      <c r="I306" s="27"/>
      <c r="J306" s="27"/>
      <c r="K306" s="27"/>
      <c r="L306" s="27"/>
      <c r="M306" s="27"/>
      <c r="N306" s="27"/>
      <c r="O306" s="27"/>
      <c r="P306" s="27"/>
      <c r="Q306" s="27"/>
      <c r="R306" s="27"/>
      <c r="S306" s="27"/>
      <c r="T306" s="27">
        <f>IF(LEFT(Control_Achizitii!$E306,4)="Fact",1,0)</f>
        <v>0</v>
      </c>
      <c r="U306" s="27">
        <f>IF(Control_Achizitii!$C306="",0,IF(ISNUMBER(Control_Achizitii!$B306),0,1))</f>
        <v>0</v>
      </c>
      <c r="V306" s="27">
        <f>IF(Control_Achizitii!$C306="",0,IF($Z$2&lt;&gt;"OK",0,IF(AND(ISNUMBER(Control_Achizitii!$B306),Control_Achizitii!$B306&gt;=$E$5,Control_Achizitii!$B306&lt;$J$5+1,OR($O$5="Toate proiectele",Control_Achizitii!$Q306=$O$5)),1,0)))</f>
        <v>0</v>
      </c>
      <c r="W306" s="27">
        <f>IF(AND(V306=1,OR(Control_Achizitii!$J306&lt;&gt;"DOSAR COMPLET",Control_Achizitii!$K306&lt;&gt;"")),ROW(),1000000000)</f>
        <v>1000000000</v>
      </c>
      <c r="X306" s="27">
        <f>IF(AND(V306=1,LEFT(Control_Achizitii!$E306,4)="Fact",NOT(ISNUMBER(Control_Achizitii!$P306))),1,0)</f>
        <v>0</v>
      </c>
      <c r="Y306" s="27">
        <f>IF(V306=0,0,IF(Control_Achizitii!$J306="DOSAR COMPLET",1,IF(LEFT(Control_Achizitii!$J306,9)="INCOMPLET",2,3)))</f>
        <v>0</v>
      </c>
      <c r="Z306" s="27"/>
      <c r="AA306" s="27"/>
      <c r="AB306" s="27"/>
      <c r="AC306" s="27"/>
      <c r="AD306" s="27"/>
      <c r="AE306" s="27"/>
      <c r="AF306" s="27"/>
      <c r="AG306" s="27"/>
      <c r="AH306" s="27">
        <f>IF(AND(V306=1,Control_Achizitii!$J306="DOSAR COMPLET",Control_Achizitii!$K306&lt;&gt;""),1,0)</f>
        <v>0</v>
      </c>
    </row>
    <row r="307" spans="1:34">
      <c r="A307" s="27"/>
      <c r="B307" s="27"/>
      <c r="C307" s="27"/>
      <c r="D307" s="27"/>
      <c r="E307" s="27"/>
      <c r="F307" s="27"/>
      <c r="G307" s="27"/>
      <c r="H307" s="27"/>
      <c r="I307" s="27"/>
      <c r="J307" s="27"/>
      <c r="K307" s="27"/>
      <c r="L307" s="27"/>
      <c r="M307" s="27"/>
      <c r="N307" s="27"/>
      <c r="O307" s="27"/>
      <c r="P307" s="27"/>
      <c r="Q307" s="27"/>
      <c r="R307" s="27"/>
      <c r="S307" s="27"/>
      <c r="T307" s="27">
        <f>IF(LEFT(Control_Achizitii!$E307,4)="Fact",1,0)</f>
        <v>0</v>
      </c>
      <c r="U307" s="27">
        <f>IF(Control_Achizitii!$C307="",0,IF(ISNUMBER(Control_Achizitii!$B307),0,1))</f>
        <v>0</v>
      </c>
      <c r="V307" s="27">
        <f>IF(Control_Achizitii!$C307="",0,IF($Z$2&lt;&gt;"OK",0,IF(AND(ISNUMBER(Control_Achizitii!$B307),Control_Achizitii!$B307&gt;=$E$5,Control_Achizitii!$B307&lt;$J$5+1,OR($O$5="Toate proiectele",Control_Achizitii!$Q307=$O$5)),1,0)))</f>
        <v>0</v>
      </c>
      <c r="W307" s="27">
        <f>IF(AND(V307=1,OR(Control_Achizitii!$J307&lt;&gt;"DOSAR COMPLET",Control_Achizitii!$K307&lt;&gt;"")),ROW(),1000000000)</f>
        <v>1000000000</v>
      </c>
      <c r="X307" s="27">
        <f>IF(AND(V307=1,LEFT(Control_Achizitii!$E307,4)="Fact",NOT(ISNUMBER(Control_Achizitii!$P307))),1,0)</f>
        <v>0</v>
      </c>
      <c r="Y307" s="27">
        <f>IF(V307=0,0,IF(Control_Achizitii!$J307="DOSAR COMPLET",1,IF(LEFT(Control_Achizitii!$J307,9)="INCOMPLET",2,3)))</f>
        <v>0</v>
      </c>
      <c r="Z307" s="27"/>
      <c r="AA307" s="27"/>
      <c r="AB307" s="27"/>
      <c r="AC307" s="27"/>
      <c r="AD307" s="27"/>
      <c r="AE307" s="27"/>
      <c r="AF307" s="27"/>
      <c r="AG307" s="27"/>
      <c r="AH307" s="27">
        <f>IF(AND(V307=1,Control_Achizitii!$J307="DOSAR COMPLET",Control_Achizitii!$K307&lt;&gt;""),1,0)</f>
        <v>0</v>
      </c>
    </row>
    <row r="308" spans="1:34">
      <c r="A308" s="27"/>
      <c r="B308" s="27"/>
      <c r="C308" s="27"/>
      <c r="D308" s="27"/>
      <c r="E308" s="27"/>
      <c r="F308" s="27"/>
      <c r="G308" s="27"/>
      <c r="H308" s="27"/>
      <c r="I308" s="27"/>
      <c r="J308" s="27"/>
      <c r="K308" s="27"/>
      <c r="L308" s="27"/>
      <c r="M308" s="27"/>
      <c r="N308" s="27"/>
      <c r="O308" s="27"/>
      <c r="P308" s="27"/>
      <c r="Q308" s="27"/>
      <c r="R308" s="27"/>
      <c r="S308" s="27"/>
      <c r="T308" s="27">
        <f>IF(LEFT(Control_Achizitii!$E308,4)="Fact",1,0)</f>
        <v>0</v>
      </c>
      <c r="U308" s="27">
        <f>IF(Control_Achizitii!$C308="",0,IF(ISNUMBER(Control_Achizitii!$B308),0,1))</f>
        <v>0</v>
      </c>
      <c r="V308" s="27">
        <f>IF(Control_Achizitii!$C308="",0,IF($Z$2&lt;&gt;"OK",0,IF(AND(ISNUMBER(Control_Achizitii!$B308),Control_Achizitii!$B308&gt;=$E$5,Control_Achizitii!$B308&lt;$J$5+1,OR($O$5="Toate proiectele",Control_Achizitii!$Q308=$O$5)),1,0)))</f>
        <v>0</v>
      </c>
      <c r="W308" s="27">
        <f>IF(AND(V308=1,OR(Control_Achizitii!$J308&lt;&gt;"DOSAR COMPLET",Control_Achizitii!$K308&lt;&gt;"")),ROW(),1000000000)</f>
        <v>1000000000</v>
      </c>
      <c r="X308" s="27">
        <f>IF(AND(V308=1,LEFT(Control_Achizitii!$E308,4)="Fact",NOT(ISNUMBER(Control_Achizitii!$P308))),1,0)</f>
        <v>0</v>
      </c>
      <c r="Y308" s="27">
        <f>IF(V308=0,0,IF(Control_Achizitii!$J308="DOSAR COMPLET",1,IF(LEFT(Control_Achizitii!$J308,9)="INCOMPLET",2,3)))</f>
        <v>0</v>
      </c>
      <c r="Z308" s="27"/>
      <c r="AA308" s="27"/>
      <c r="AB308" s="27"/>
      <c r="AC308" s="27"/>
      <c r="AD308" s="27"/>
      <c r="AE308" s="27"/>
      <c r="AF308" s="27"/>
      <c r="AG308" s="27"/>
      <c r="AH308" s="27">
        <f>IF(AND(V308=1,Control_Achizitii!$J308="DOSAR COMPLET",Control_Achizitii!$K308&lt;&gt;""),1,0)</f>
        <v>0</v>
      </c>
    </row>
    <row r="309" spans="1:34">
      <c r="A309" s="27"/>
      <c r="B309" s="27"/>
      <c r="C309" s="27"/>
      <c r="D309" s="27"/>
      <c r="E309" s="27"/>
      <c r="F309" s="27"/>
      <c r="G309" s="27"/>
      <c r="H309" s="27"/>
      <c r="I309" s="27"/>
      <c r="J309" s="27"/>
      <c r="K309" s="27"/>
      <c r="L309" s="27"/>
      <c r="M309" s="27"/>
      <c r="N309" s="27"/>
      <c r="O309" s="27"/>
      <c r="P309" s="27"/>
      <c r="Q309" s="27"/>
      <c r="R309" s="27"/>
      <c r="S309" s="27"/>
      <c r="T309" s="27">
        <f>IF(LEFT(Control_Achizitii!$E309,4)="Fact",1,0)</f>
        <v>0</v>
      </c>
      <c r="U309" s="27">
        <f>IF(Control_Achizitii!$C309="",0,IF(ISNUMBER(Control_Achizitii!$B309),0,1))</f>
        <v>0</v>
      </c>
      <c r="V309" s="27">
        <f>IF(Control_Achizitii!$C309="",0,IF($Z$2&lt;&gt;"OK",0,IF(AND(ISNUMBER(Control_Achizitii!$B309),Control_Achizitii!$B309&gt;=$E$5,Control_Achizitii!$B309&lt;$J$5+1,OR($O$5="Toate proiectele",Control_Achizitii!$Q309=$O$5)),1,0)))</f>
        <v>0</v>
      </c>
      <c r="W309" s="27">
        <f>IF(AND(V309=1,OR(Control_Achizitii!$J309&lt;&gt;"DOSAR COMPLET",Control_Achizitii!$K309&lt;&gt;"")),ROW(),1000000000)</f>
        <v>1000000000</v>
      </c>
      <c r="X309" s="27">
        <f>IF(AND(V309=1,LEFT(Control_Achizitii!$E309,4)="Fact",NOT(ISNUMBER(Control_Achizitii!$P309))),1,0)</f>
        <v>0</v>
      </c>
      <c r="Y309" s="27">
        <f>IF(V309=0,0,IF(Control_Achizitii!$J309="DOSAR COMPLET",1,IF(LEFT(Control_Achizitii!$J309,9)="INCOMPLET",2,3)))</f>
        <v>0</v>
      </c>
      <c r="Z309" s="27"/>
      <c r="AA309" s="27"/>
      <c r="AB309" s="27"/>
      <c r="AC309" s="27"/>
      <c r="AD309" s="27"/>
      <c r="AE309" s="27"/>
      <c r="AF309" s="27"/>
      <c r="AG309" s="27"/>
      <c r="AH309" s="27">
        <f>IF(AND(V309=1,Control_Achizitii!$J309="DOSAR COMPLET",Control_Achizitii!$K309&lt;&gt;""),1,0)</f>
        <v>0</v>
      </c>
    </row>
    <row r="310" spans="1:34">
      <c r="A310" s="27"/>
      <c r="B310" s="27"/>
      <c r="C310" s="27"/>
      <c r="D310" s="27"/>
      <c r="E310" s="27"/>
      <c r="F310" s="27"/>
      <c r="G310" s="27"/>
      <c r="H310" s="27"/>
      <c r="I310" s="27"/>
      <c r="J310" s="27"/>
      <c r="K310" s="27"/>
      <c r="L310" s="27"/>
      <c r="M310" s="27"/>
      <c r="N310" s="27"/>
      <c r="O310" s="27"/>
      <c r="P310" s="27"/>
      <c r="Q310" s="27"/>
      <c r="R310" s="27"/>
      <c r="S310" s="27"/>
      <c r="T310" s="27">
        <f>IF(LEFT(Control_Achizitii!$E310,4)="Fact",1,0)</f>
        <v>0</v>
      </c>
      <c r="U310" s="27">
        <f>IF(Control_Achizitii!$C310="",0,IF(ISNUMBER(Control_Achizitii!$B310),0,1))</f>
        <v>0</v>
      </c>
      <c r="V310" s="27">
        <f>IF(Control_Achizitii!$C310="",0,IF($Z$2&lt;&gt;"OK",0,IF(AND(ISNUMBER(Control_Achizitii!$B310),Control_Achizitii!$B310&gt;=$E$5,Control_Achizitii!$B310&lt;$J$5+1,OR($O$5="Toate proiectele",Control_Achizitii!$Q310=$O$5)),1,0)))</f>
        <v>0</v>
      </c>
      <c r="W310" s="27">
        <f>IF(AND(V310=1,OR(Control_Achizitii!$J310&lt;&gt;"DOSAR COMPLET",Control_Achizitii!$K310&lt;&gt;"")),ROW(),1000000000)</f>
        <v>1000000000</v>
      </c>
      <c r="X310" s="27">
        <f>IF(AND(V310=1,LEFT(Control_Achizitii!$E310,4)="Fact",NOT(ISNUMBER(Control_Achizitii!$P310))),1,0)</f>
        <v>0</v>
      </c>
      <c r="Y310" s="27">
        <f>IF(V310=0,0,IF(Control_Achizitii!$J310="DOSAR COMPLET",1,IF(LEFT(Control_Achizitii!$J310,9)="INCOMPLET",2,3)))</f>
        <v>0</v>
      </c>
      <c r="Z310" s="27"/>
      <c r="AA310" s="27"/>
      <c r="AB310" s="27"/>
      <c r="AC310" s="27"/>
      <c r="AD310" s="27"/>
      <c r="AE310" s="27"/>
      <c r="AF310" s="27"/>
      <c r="AG310" s="27"/>
      <c r="AH310" s="27">
        <f>IF(AND(V310=1,Control_Achizitii!$J310="DOSAR COMPLET",Control_Achizitii!$K310&lt;&gt;""),1,0)</f>
        <v>0</v>
      </c>
    </row>
    <row r="311" spans="1:34">
      <c r="A311" s="27"/>
      <c r="B311" s="27"/>
      <c r="C311" s="27"/>
      <c r="D311" s="27"/>
      <c r="E311" s="27"/>
      <c r="F311" s="27"/>
      <c r="G311" s="27"/>
      <c r="H311" s="27"/>
      <c r="I311" s="27"/>
      <c r="J311" s="27"/>
      <c r="K311" s="27"/>
      <c r="L311" s="27"/>
      <c r="M311" s="27"/>
      <c r="N311" s="27"/>
      <c r="O311" s="27"/>
      <c r="P311" s="27"/>
      <c r="Q311" s="27"/>
      <c r="R311" s="27"/>
      <c r="S311" s="27"/>
      <c r="T311" s="27">
        <f>IF(LEFT(Control_Achizitii!$E311,4)="Fact",1,0)</f>
        <v>0</v>
      </c>
      <c r="U311" s="27">
        <f>IF(Control_Achizitii!$C311="",0,IF(ISNUMBER(Control_Achizitii!$B311),0,1))</f>
        <v>0</v>
      </c>
      <c r="V311" s="27">
        <f>IF(Control_Achizitii!$C311="",0,IF($Z$2&lt;&gt;"OK",0,IF(AND(ISNUMBER(Control_Achizitii!$B311),Control_Achizitii!$B311&gt;=$E$5,Control_Achizitii!$B311&lt;$J$5+1,OR($O$5="Toate proiectele",Control_Achizitii!$Q311=$O$5)),1,0)))</f>
        <v>0</v>
      </c>
      <c r="W311" s="27">
        <f>IF(AND(V311=1,OR(Control_Achizitii!$J311&lt;&gt;"DOSAR COMPLET",Control_Achizitii!$K311&lt;&gt;"")),ROW(),1000000000)</f>
        <v>1000000000</v>
      </c>
      <c r="X311" s="27">
        <f>IF(AND(V311=1,LEFT(Control_Achizitii!$E311,4)="Fact",NOT(ISNUMBER(Control_Achizitii!$P311))),1,0)</f>
        <v>0</v>
      </c>
      <c r="Y311" s="27">
        <f>IF(V311=0,0,IF(Control_Achizitii!$J311="DOSAR COMPLET",1,IF(LEFT(Control_Achizitii!$J311,9)="INCOMPLET",2,3)))</f>
        <v>0</v>
      </c>
      <c r="Z311" s="27"/>
      <c r="AA311" s="27"/>
      <c r="AB311" s="27"/>
      <c r="AC311" s="27"/>
      <c r="AD311" s="27"/>
      <c r="AE311" s="27"/>
      <c r="AF311" s="27"/>
      <c r="AG311" s="27"/>
      <c r="AH311" s="27">
        <f>IF(AND(V311=1,Control_Achizitii!$J311="DOSAR COMPLET",Control_Achizitii!$K311&lt;&gt;""),1,0)</f>
        <v>0</v>
      </c>
    </row>
    <row r="312" spans="1:34">
      <c r="A312" s="27"/>
      <c r="B312" s="27"/>
      <c r="C312" s="27"/>
      <c r="D312" s="27"/>
      <c r="E312" s="27"/>
      <c r="F312" s="27"/>
      <c r="G312" s="27"/>
      <c r="H312" s="27"/>
      <c r="I312" s="27"/>
      <c r="J312" s="27"/>
      <c r="K312" s="27"/>
      <c r="L312" s="27"/>
      <c r="M312" s="27"/>
      <c r="N312" s="27"/>
      <c r="O312" s="27"/>
      <c r="P312" s="27"/>
      <c r="Q312" s="27"/>
      <c r="R312" s="27"/>
      <c r="S312" s="27"/>
      <c r="T312" s="27">
        <f>IF(LEFT(Control_Achizitii!$E312,4)="Fact",1,0)</f>
        <v>0</v>
      </c>
      <c r="U312" s="27">
        <f>IF(Control_Achizitii!$C312="",0,IF(ISNUMBER(Control_Achizitii!$B312),0,1))</f>
        <v>0</v>
      </c>
      <c r="V312" s="27">
        <f>IF(Control_Achizitii!$C312="",0,IF($Z$2&lt;&gt;"OK",0,IF(AND(ISNUMBER(Control_Achizitii!$B312),Control_Achizitii!$B312&gt;=$E$5,Control_Achizitii!$B312&lt;$J$5+1,OR($O$5="Toate proiectele",Control_Achizitii!$Q312=$O$5)),1,0)))</f>
        <v>0</v>
      </c>
      <c r="W312" s="27">
        <f>IF(AND(V312=1,OR(Control_Achizitii!$J312&lt;&gt;"DOSAR COMPLET",Control_Achizitii!$K312&lt;&gt;"")),ROW(),1000000000)</f>
        <v>1000000000</v>
      </c>
      <c r="X312" s="27">
        <f>IF(AND(V312=1,LEFT(Control_Achizitii!$E312,4)="Fact",NOT(ISNUMBER(Control_Achizitii!$P312))),1,0)</f>
        <v>0</v>
      </c>
      <c r="Y312" s="27">
        <f>IF(V312=0,0,IF(Control_Achizitii!$J312="DOSAR COMPLET",1,IF(LEFT(Control_Achizitii!$J312,9)="INCOMPLET",2,3)))</f>
        <v>0</v>
      </c>
      <c r="Z312" s="27"/>
      <c r="AA312" s="27"/>
      <c r="AB312" s="27"/>
      <c r="AC312" s="27"/>
      <c r="AD312" s="27"/>
      <c r="AE312" s="27"/>
      <c r="AF312" s="27"/>
      <c r="AG312" s="27"/>
      <c r="AH312" s="27">
        <f>IF(AND(V312=1,Control_Achizitii!$J312="DOSAR COMPLET",Control_Achizitii!$K312&lt;&gt;""),1,0)</f>
        <v>0</v>
      </c>
    </row>
    <row r="313" spans="1:34">
      <c r="A313" s="27"/>
      <c r="B313" s="27"/>
      <c r="C313" s="27"/>
      <c r="D313" s="27"/>
      <c r="E313" s="27"/>
      <c r="F313" s="27"/>
      <c r="G313" s="27"/>
      <c r="H313" s="27"/>
      <c r="I313" s="27"/>
      <c r="J313" s="27"/>
      <c r="K313" s="27"/>
      <c r="L313" s="27"/>
      <c r="M313" s="27"/>
      <c r="N313" s="27"/>
      <c r="O313" s="27"/>
      <c r="P313" s="27"/>
      <c r="Q313" s="27"/>
      <c r="R313" s="27"/>
      <c r="S313" s="27"/>
      <c r="T313" s="27">
        <f>IF(LEFT(Control_Achizitii!$E313,4)="Fact",1,0)</f>
        <v>0</v>
      </c>
      <c r="U313" s="27">
        <f>IF(Control_Achizitii!$C313="",0,IF(ISNUMBER(Control_Achizitii!$B313),0,1))</f>
        <v>0</v>
      </c>
      <c r="V313" s="27">
        <f>IF(Control_Achizitii!$C313="",0,IF($Z$2&lt;&gt;"OK",0,IF(AND(ISNUMBER(Control_Achizitii!$B313),Control_Achizitii!$B313&gt;=$E$5,Control_Achizitii!$B313&lt;$J$5+1,OR($O$5="Toate proiectele",Control_Achizitii!$Q313=$O$5)),1,0)))</f>
        <v>0</v>
      </c>
      <c r="W313" s="27">
        <f>IF(AND(V313=1,OR(Control_Achizitii!$J313&lt;&gt;"DOSAR COMPLET",Control_Achizitii!$K313&lt;&gt;"")),ROW(),1000000000)</f>
        <v>1000000000</v>
      </c>
      <c r="X313" s="27">
        <f>IF(AND(V313=1,LEFT(Control_Achizitii!$E313,4)="Fact",NOT(ISNUMBER(Control_Achizitii!$P313))),1,0)</f>
        <v>0</v>
      </c>
      <c r="Y313" s="27">
        <f>IF(V313=0,0,IF(Control_Achizitii!$J313="DOSAR COMPLET",1,IF(LEFT(Control_Achizitii!$J313,9)="INCOMPLET",2,3)))</f>
        <v>0</v>
      </c>
      <c r="Z313" s="27"/>
      <c r="AA313" s="27"/>
      <c r="AB313" s="27"/>
      <c r="AC313" s="27"/>
      <c r="AD313" s="27"/>
      <c r="AE313" s="27"/>
      <c r="AF313" s="27"/>
      <c r="AG313" s="27"/>
      <c r="AH313" s="27">
        <f>IF(AND(V313=1,Control_Achizitii!$J313="DOSAR COMPLET",Control_Achizitii!$K313&lt;&gt;""),1,0)</f>
        <v>0</v>
      </c>
    </row>
    <row r="314" spans="1:34">
      <c r="A314" s="27"/>
      <c r="B314" s="27"/>
      <c r="C314" s="27"/>
      <c r="D314" s="27"/>
      <c r="E314" s="27"/>
      <c r="F314" s="27"/>
      <c r="G314" s="27"/>
      <c r="H314" s="27"/>
      <c r="I314" s="27"/>
      <c r="J314" s="27"/>
      <c r="K314" s="27"/>
      <c r="L314" s="27"/>
      <c r="M314" s="27"/>
      <c r="N314" s="27"/>
      <c r="O314" s="27"/>
      <c r="P314" s="27"/>
      <c r="Q314" s="27"/>
      <c r="R314" s="27"/>
      <c r="S314" s="27"/>
      <c r="T314" s="27">
        <f>IF(LEFT(Control_Achizitii!$E314,4)="Fact",1,0)</f>
        <v>0</v>
      </c>
      <c r="U314" s="27">
        <f>IF(Control_Achizitii!$C314="",0,IF(ISNUMBER(Control_Achizitii!$B314),0,1))</f>
        <v>0</v>
      </c>
      <c r="V314" s="27">
        <f>IF(Control_Achizitii!$C314="",0,IF($Z$2&lt;&gt;"OK",0,IF(AND(ISNUMBER(Control_Achizitii!$B314),Control_Achizitii!$B314&gt;=$E$5,Control_Achizitii!$B314&lt;$J$5+1,OR($O$5="Toate proiectele",Control_Achizitii!$Q314=$O$5)),1,0)))</f>
        <v>0</v>
      </c>
      <c r="W314" s="27">
        <f>IF(AND(V314=1,OR(Control_Achizitii!$J314&lt;&gt;"DOSAR COMPLET",Control_Achizitii!$K314&lt;&gt;"")),ROW(),1000000000)</f>
        <v>1000000000</v>
      </c>
      <c r="X314" s="27">
        <f>IF(AND(V314=1,LEFT(Control_Achizitii!$E314,4)="Fact",NOT(ISNUMBER(Control_Achizitii!$P314))),1,0)</f>
        <v>0</v>
      </c>
      <c r="Y314" s="27">
        <f>IF(V314=0,0,IF(Control_Achizitii!$J314="DOSAR COMPLET",1,IF(LEFT(Control_Achizitii!$J314,9)="INCOMPLET",2,3)))</f>
        <v>0</v>
      </c>
      <c r="Z314" s="27"/>
      <c r="AA314" s="27"/>
      <c r="AB314" s="27"/>
      <c r="AC314" s="27"/>
      <c r="AD314" s="27"/>
      <c r="AE314" s="27"/>
      <c r="AF314" s="27"/>
      <c r="AG314" s="27"/>
      <c r="AH314" s="27">
        <f>IF(AND(V314=1,Control_Achizitii!$J314="DOSAR COMPLET",Control_Achizitii!$K314&lt;&gt;""),1,0)</f>
        <v>0</v>
      </c>
    </row>
    <row r="315" spans="1:34">
      <c r="A315" s="27"/>
      <c r="B315" s="27"/>
      <c r="C315" s="27"/>
      <c r="D315" s="27"/>
      <c r="E315" s="27"/>
      <c r="F315" s="27"/>
      <c r="G315" s="27"/>
      <c r="H315" s="27"/>
      <c r="I315" s="27"/>
      <c r="J315" s="27"/>
      <c r="K315" s="27"/>
      <c r="L315" s="27"/>
      <c r="M315" s="27"/>
      <c r="N315" s="27"/>
      <c r="O315" s="27"/>
      <c r="P315" s="27"/>
      <c r="Q315" s="27"/>
      <c r="R315" s="27"/>
      <c r="S315" s="27"/>
      <c r="T315" s="27">
        <f>IF(LEFT(Control_Achizitii!$E315,4)="Fact",1,0)</f>
        <v>0</v>
      </c>
      <c r="U315" s="27">
        <f>IF(Control_Achizitii!$C315="",0,IF(ISNUMBER(Control_Achizitii!$B315),0,1))</f>
        <v>0</v>
      </c>
      <c r="V315" s="27">
        <f>IF(Control_Achizitii!$C315="",0,IF($Z$2&lt;&gt;"OK",0,IF(AND(ISNUMBER(Control_Achizitii!$B315),Control_Achizitii!$B315&gt;=$E$5,Control_Achizitii!$B315&lt;$J$5+1,OR($O$5="Toate proiectele",Control_Achizitii!$Q315=$O$5)),1,0)))</f>
        <v>0</v>
      </c>
      <c r="W315" s="27">
        <f>IF(AND(V315=1,OR(Control_Achizitii!$J315&lt;&gt;"DOSAR COMPLET",Control_Achizitii!$K315&lt;&gt;"")),ROW(),1000000000)</f>
        <v>1000000000</v>
      </c>
      <c r="X315" s="27">
        <f>IF(AND(V315=1,LEFT(Control_Achizitii!$E315,4)="Fact",NOT(ISNUMBER(Control_Achizitii!$P315))),1,0)</f>
        <v>0</v>
      </c>
      <c r="Y315" s="27">
        <f>IF(V315=0,0,IF(Control_Achizitii!$J315="DOSAR COMPLET",1,IF(LEFT(Control_Achizitii!$J315,9)="INCOMPLET",2,3)))</f>
        <v>0</v>
      </c>
      <c r="Z315" s="27"/>
      <c r="AA315" s="27"/>
      <c r="AB315" s="27"/>
      <c r="AC315" s="27"/>
      <c r="AD315" s="27"/>
      <c r="AE315" s="27"/>
      <c r="AF315" s="27"/>
      <c r="AG315" s="27"/>
      <c r="AH315" s="27">
        <f>IF(AND(V315=1,Control_Achizitii!$J315="DOSAR COMPLET",Control_Achizitii!$K315&lt;&gt;""),1,0)</f>
        <v>0</v>
      </c>
    </row>
    <row r="316" spans="1:34">
      <c r="A316" s="27"/>
      <c r="B316" s="27"/>
      <c r="C316" s="27"/>
      <c r="D316" s="27"/>
      <c r="E316" s="27"/>
      <c r="F316" s="27"/>
      <c r="G316" s="27"/>
      <c r="H316" s="27"/>
      <c r="I316" s="27"/>
      <c r="J316" s="27"/>
      <c r="K316" s="27"/>
      <c r="L316" s="27"/>
      <c r="M316" s="27"/>
      <c r="N316" s="27"/>
      <c r="O316" s="27"/>
      <c r="P316" s="27"/>
      <c r="Q316" s="27"/>
      <c r="R316" s="27"/>
      <c r="S316" s="27"/>
      <c r="T316" s="27">
        <f>IF(LEFT(Control_Achizitii!$E316,4)="Fact",1,0)</f>
        <v>0</v>
      </c>
      <c r="U316" s="27">
        <f>IF(Control_Achizitii!$C316="",0,IF(ISNUMBER(Control_Achizitii!$B316),0,1))</f>
        <v>0</v>
      </c>
      <c r="V316" s="27">
        <f>IF(Control_Achizitii!$C316="",0,IF($Z$2&lt;&gt;"OK",0,IF(AND(ISNUMBER(Control_Achizitii!$B316),Control_Achizitii!$B316&gt;=$E$5,Control_Achizitii!$B316&lt;$J$5+1,OR($O$5="Toate proiectele",Control_Achizitii!$Q316=$O$5)),1,0)))</f>
        <v>0</v>
      </c>
      <c r="W316" s="27">
        <f>IF(AND(V316=1,OR(Control_Achizitii!$J316&lt;&gt;"DOSAR COMPLET",Control_Achizitii!$K316&lt;&gt;"")),ROW(),1000000000)</f>
        <v>1000000000</v>
      </c>
      <c r="X316" s="27">
        <f>IF(AND(V316=1,LEFT(Control_Achizitii!$E316,4)="Fact",NOT(ISNUMBER(Control_Achizitii!$P316))),1,0)</f>
        <v>0</v>
      </c>
      <c r="Y316" s="27">
        <f>IF(V316=0,0,IF(Control_Achizitii!$J316="DOSAR COMPLET",1,IF(LEFT(Control_Achizitii!$J316,9)="INCOMPLET",2,3)))</f>
        <v>0</v>
      </c>
      <c r="Z316" s="27"/>
      <c r="AA316" s="27"/>
      <c r="AB316" s="27"/>
      <c r="AC316" s="27"/>
      <c r="AD316" s="27"/>
      <c r="AE316" s="27"/>
      <c r="AF316" s="27"/>
      <c r="AG316" s="27"/>
      <c r="AH316" s="27">
        <f>IF(AND(V316=1,Control_Achizitii!$J316="DOSAR COMPLET",Control_Achizitii!$K316&lt;&gt;""),1,0)</f>
        <v>0</v>
      </c>
    </row>
    <row r="317" spans="1:34">
      <c r="A317" s="27"/>
      <c r="B317" s="27"/>
      <c r="C317" s="27"/>
      <c r="D317" s="27"/>
      <c r="E317" s="27"/>
      <c r="F317" s="27"/>
      <c r="G317" s="27"/>
      <c r="H317" s="27"/>
      <c r="I317" s="27"/>
      <c r="J317" s="27"/>
      <c r="K317" s="27"/>
      <c r="L317" s="27"/>
      <c r="M317" s="27"/>
      <c r="N317" s="27"/>
      <c r="O317" s="27"/>
      <c r="P317" s="27"/>
      <c r="Q317" s="27"/>
      <c r="R317" s="27"/>
      <c r="S317" s="27"/>
      <c r="T317" s="27">
        <f>IF(LEFT(Control_Achizitii!$E317,4)="Fact",1,0)</f>
        <v>0</v>
      </c>
      <c r="U317" s="27">
        <f>IF(Control_Achizitii!$C317="",0,IF(ISNUMBER(Control_Achizitii!$B317),0,1))</f>
        <v>0</v>
      </c>
      <c r="V317" s="27">
        <f>IF(Control_Achizitii!$C317="",0,IF($Z$2&lt;&gt;"OK",0,IF(AND(ISNUMBER(Control_Achizitii!$B317),Control_Achizitii!$B317&gt;=$E$5,Control_Achizitii!$B317&lt;$J$5+1,OR($O$5="Toate proiectele",Control_Achizitii!$Q317=$O$5)),1,0)))</f>
        <v>0</v>
      </c>
      <c r="W317" s="27">
        <f>IF(AND(V317=1,OR(Control_Achizitii!$J317&lt;&gt;"DOSAR COMPLET",Control_Achizitii!$K317&lt;&gt;"")),ROW(),1000000000)</f>
        <v>1000000000</v>
      </c>
      <c r="X317" s="27">
        <f>IF(AND(V317=1,LEFT(Control_Achizitii!$E317,4)="Fact",NOT(ISNUMBER(Control_Achizitii!$P317))),1,0)</f>
        <v>0</v>
      </c>
      <c r="Y317" s="27">
        <f>IF(V317=0,0,IF(Control_Achizitii!$J317="DOSAR COMPLET",1,IF(LEFT(Control_Achizitii!$J317,9)="INCOMPLET",2,3)))</f>
        <v>0</v>
      </c>
      <c r="Z317" s="27"/>
      <c r="AA317" s="27"/>
      <c r="AB317" s="27"/>
      <c r="AC317" s="27"/>
      <c r="AD317" s="27"/>
      <c r="AE317" s="27"/>
      <c r="AF317" s="27"/>
      <c r="AG317" s="27"/>
      <c r="AH317" s="27">
        <f>IF(AND(V317=1,Control_Achizitii!$J317="DOSAR COMPLET",Control_Achizitii!$K317&lt;&gt;""),1,0)</f>
        <v>0</v>
      </c>
    </row>
    <row r="318" spans="1:34">
      <c r="A318" s="27"/>
      <c r="B318" s="27"/>
      <c r="C318" s="27"/>
      <c r="D318" s="27"/>
      <c r="E318" s="27"/>
      <c r="F318" s="27"/>
      <c r="G318" s="27"/>
      <c r="H318" s="27"/>
      <c r="I318" s="27"/>
      <c r="J318" s="27"/>
      <c r="K318" s="27"/>
      <c r="L318" s="27"/>
      <c r="M318" s="27"/>
      <c r="N318" s="27"/>
      <c r="O318" s="27"/>
      <c r="P318" s="27"/>
      <c r="Q318" s="27"/>
      <c r="R318" s="27"/>
      <c r="S318" s="27"/>
      <c r="T318" s="27">
        <f>IF(LEFT(Control_Achizitii!$E318,4)="Fact",1,0)</f>
        <v>0</v>
      </c>
      <c r="U318" s="27">
        <f>IF(Control_Achizitii!$C318="",0,IF(ISNUMBER(Control_Achizitii!$B318),0,1))</f>
        <v>0</v>
      </c>
      <c r="V318" s="27">
        <f>IF(Control_Achizitii!$C318="",0,IF($Z$2&lt;&gt;"OK",0,IF(AND(ISNUMBER(Control_Achizitii!$B318),Control_Achizitii!$B318&gt;=$E$5,Control_Achizitii!$B318&lt;$J$5+1,OR($O$5="Toate proiectele",Control_Achizitii!$Q318=$O$5)),1,0)))</f>
        <v>0</v>
      </c>
      <c r="W318" s="27">
        <f>IF(AND(V318=1,OR(Control_Achizitii!$J318&lt;&gt;"DOSAR COMPLET",Control_Achizitii!$K318&lt;&gt;"")),ROW(),1000000000)</f>
        <v>1000000000</v>
      </c>
      <c r="X318" s="27">
        <f>IF(AND(V318=1,LEFT(Control_Achizitii!$E318,4)="Fact",NOT(ISNUMBER(Control_Achizitii!$P318))),1,0)</f>
        <v>0</v>
      </c>
      <c r="Y318" s="27">
        <f>IF(V318=0,0,IF(Control_Achizitii!$J318="DOSAR COMPLET",1,IF(LEFT(Control_Achizitii!$J318,9)="INCOMPLET",2,3)))</f>
        <v>0</v>
      </c>
      <c r="Z318" s="27"/>
      <c r="AA318" s="27"/>
      <c r="AB318" s="27"/>
      <c r="AC318" s="27"/>
      <c r="AD318" s="27"/>
      <c r="AE318" s="27"/>
      <c r="AF318" s="27"/>
      <c r="AG318" s="27"/>
      <c r="AH318" s="27">
        <f>IF(AND(V318=1,Control_Achizitii!$J318="DOSAR COMPLET",Control_Achizitii!$K318&lt;&gt;""),1,0)</f>
        <v>0</v>
      </c>
    </row>
    <row r="319" spans="1:34">
      <c r="A319" s="27"/>
      <c r="B319" s="27"/>
      <c r="C319" s="27"/>
      <c r="D319" s="27"/>
      <c r="E319" s="27"/>
      <c r="F319" s="27"/>
      <c r="G319" s="27"/>
      <c r="H319" s="27"/>
      <c r="I319" s="27"/>
      <c r="J319" s="27"/>
      <c r="K319" s="27"/>
      <c r="L319" s="27"/>
      <c r="M319" s="27"/>
      <c r="N319" s="27"/>
      <c r="O319" s="27"/>
      <c r="P319" s="27"/>
      <c r="Q319" s="27"/>
      <c r="R319" s="27"/>
      <c r="S319" s="27"/>
      <c r="T319" s="27">
        <f>IF(LEFT(Control_Achizitii!$E319,4)="Fact",1,0)</f>
        <v>0</v>
      </c>
      <c r="U319" s="27">
        <f>IF(Control_Achizitii!$C319="",0,IF(ISNUMBER(Control_Achizitii!$B319),0,1))</f>
        <v>0</v>
      </c>
      <c r="V319" s="27">
        <f>IF(Control_Achizitii!$C319="",0,IF($Z$2&lt;&gt;"OK",0,IF(AND(ISNUMBER(Control_Achizitii!$B319),Control_Achizitii!$B319&gt;=$E$5,Control_Achizitii!$B319&lt;$J$5+1,OR($O$5="Toate proiectele",Control_Achizitii!$Q319=$O$5)),1,0)))</f>
        <v>0</v>
      </c>
      <c r="W319" s="27">
        <f>IF(AND(V319=1,OR(Control_Achizitii!$J319&lt;&gt;"DOSAR COMPLET",Control_Achizitii!$K319&lt;&gt;"")),ROW(),1000000000)</f>
        <v>1000000000</v>
      </c>
      <c r="X319" s="27">
        <f>IF(AND(V319=1,LEFT(Control_Achizitii!$E319,4)="Fact",NOT(ISNUMBER(Control_Achizitii!$P319))),1,0)</f>
        <v>0</v>
      </c>
      <c r="Y319" s="27">
        <f>IF(V319=0,0,IF(Control_Achizitii!$J319="DOSAR COMPLET",1,IF(LEFT(Control_Achizitii!$J319,9)="INCOMPLET",2,3)))</f>
        <v>0</v>
      </c>
      <c r="Z319" s="27"/>
      <c r="AA319" s="27"/>
      <c r="AB319" s="27"/>
      <c r="AC319" s="27"/>
      <c r="AD319" s="27"/>
      <c r="AE319" s="27"/>
      <c r="AF319" s="27"/>
      <c r="AG319" s="27"/>
      <c r="AH319" s="27">
        <f>IF(AND(V319=1,Control_Achizitii!$J319="DOSAR COMPLET",Control_Achizitii!$K319&lt;&gt;""),1,0)</f>
        <v>0</v>
      </c>
    </row>
    <row r="320" spans="1:34">
      <c r="A320" s="27"/>
      <c r="B320" s="27"/>
      <c r="C320" s="27"/>
      <c r="D320" s="27"/>
      <c r="E320" s="27"/>
      <c r="F320" s="27"/>
      <c r="G320" s="27"/>
      <c r="H320" s="27"/>
      <c r="I320" s="27"/>
      <c r="J320" s="27"/>
      <c r="K320" s="27"/>
      <c r="L320" s="27"/>
      <c r="M320" s="27"/>
      <c r="N320" s="27"/>
      <c r="O320" s="27"/>
      <c r="P320" s="27"/>
      <c r="Q320" s="27"/>
      <c r="R320" s="27"/>
      <c r="S320" s="27"/>
      <c r="T320" s="27">
        <f>IF(LEFT(Control_Achizitii!$E320,4)="Fact",1,0)</f>
        <v>0</v>
      </c>
      <c r="U320" s="27">
        <f>IF(Control_Achizitii!$C320="",0,IF(ISNUMBER(Control_Achizitii!$B320),0,1))</f>
        <v>0</v>
      </c>
      <c r="V320" s="27">
        <f>IF(Control_Achizitii!$C320="",0,IF($Z$2&lt;&gt;"OK",0,IF(AND(ISNUMBER(Control_Achizitii!$B320),Control_Achizitii!$B320&gt;=$E$5,Control_Achizitii!$B320&lt;$J$5+1,OR($O$5="Toate proiectele",Control_Achizitii!$Q320=$O$5)),1,0)))</f>
        <v>0</v>
      </c>
      <c r="W320" s="27">
        <f>IF(AND(V320=1,OR(Control_Achizitii!$J320&lt;&gt;"DOSAR COMPLET",Control_Achizitii!$K320&lt;&gt;"")),ROW(),1000000000)</f>
        <v>1000000000</v>
      </c>
      <c r="X320" s="27">
        <f>IF(AND(V320=1,LEFT(Control_Achizitii!$E320,4)="Fact",NOT(ISNUMBER(Control_Achizitii!$P320))),1,0)</f>
        <v>0</v>
      </c>
      <c r="Y320" s="27">
        <f>IF(V320=0,0,IF(Control_Achizitii!$J320="DOSAR COMPLET",1,IF(LEFT(Control_Achizitii!$J320,9)="INCOMPLET",2,3)))</f>
        <v>0</v>
      </c>
      <c r="Z320" s="27"/>
      <c r="AA320" s="27"/>
      <c r="AB320" s="27"/>
      <c r="AC320" s="27"/>
      <c r="AD320" s="27"/>
      <c r="AE320" s="27"/>
      <c r="AF320" s="27"/>
      <c r="AG320" s="27"/>
      <c r="AH320" s="27">
        <f>IF(AND(V320=1,Control_Achizitii!$J320="DOSAR COMPLET",Control_Achizitii!$K320&lt;&gt;""),1,0)</f>
        <v>0</v>
      </c>
    </row>
    <row r="321" spans="1:34">
      <c r="A321" s="27"/>
      <c r="B321" s="27"/>
      <c r="C321" s="27"/>
      <c r="D321" s="27"/>
      <c r="E321" s="27"/>
      <c r="F321" s="27"/>
      <c r="G321" s="27"/>
      <c r="H321" s="27"/>
      <c r="I321" s="27"/>
      <c r="J321" s="27"/>
      <c r="K321" s="27"/>
      <c r="L321" s="27"/>
      <c r="M321" s="27"/>
      <c r="N321" s="27"/>
      <c r="O321" s="27"/>
      <c r="P321" s="27"/>
      <c r="Q321" s="27"/>
      <c r="R321" s="27"/>
      <c r="S321" s="27"/>
      <c r="T321" s="27">
        <f>IF(LEFT(Control_Achizitii!$E321,4)="Fact",1,0)</f>
        <v>0</v>
      </c>
      <c r="U321" s="27">
        <f>IF(Control_Achizitii!$C321="",0,IF(ISNUMBER(Control_Achizitii!$B321),0,1))</f>
        <v>0</v>
      </c>
      <c r="V321" s="27">
        <f>IF(Control_Achizitii!$C321="",0,IF($Z$2&lt;&gt;"OK",0,IF(AND(ISNUMBER(Control_Achizitii!$B321),Control_Achizitii!$B321&gt;=$E$5,Control_Achizitii!$B321&lt;$J$5+1,OR($O$5="Toate proiectele",Control_Achizitii!$Q321=$O$5)),1,0)))</f>
        <v>0</v>
      </c>
      <c r="W321" s="27">
        <f>IF(AND(V321=1,OR(Control_Achizitii!$J321&lt;&gt;"DOSAR COMPLET",Control_Achizitii!$K321&lt;&gt;"")),ROW(),1000000000)</f>
        <v>1000000000</v>
      </c>
      <c r="X321" s="27">
        <f>IF(AND(V321=1,LEFT(Control_Achizitii!$E321,4)="Fact",NOT(ISNUMBER(Control_Achizitii!$P321))),1,0)</f>
        <v>0</v>
      </c>
      <c r="Y321" s="27">
        <f>IF(V321=0,0,IF(Control_Achizitii!$J321="DOSAR COMPLET",1,IF(LEFT(Control_Achizitii!$J321,9)="INCOMPLET",2,3)))</f>
        <v>0</v>
      </c>
      <c r="Z321" s="27"/>
      <c r="AA321" s="27"/>
      <c r="AB321" s="27"/>
      <c r="AC321" s="27"/>
      <c r="AD321" s="27"/>
      <c r="AE321" s="27"/>
      <c r="AF321" s="27"/>
      <c r="AG321" s="27"/>
      <c r="AH321" s="27">
        <f>IF(AND(V321=1,Control_Achizitii!$J321="DOSAR COMPLET",Control_Achizitii!$K321&lt;&gt;""),1,0)</f>
        <v>0</v>
      </c>
    </row>
    <row r="322" spans="1:34">
      <c r="A322" s="27"/>
      <c r="B322" s="27"/>
      <c r="C322" s="27"/>
      <c r="D322" s="27"/>
      <c r="E322" s="27"/>
      <c r="F322" s="27"/>
      <c r="G322" s="27"/>
      <c r="H322" s="27"/>
      <c r="I322" s="27"/>
      <c r="J322" s="27"/>
      <c r="K322" s="27"/>
      <c r="L322" s="27"/>
      <c r="M322" s="27"/>
      <c r="N322" s="27"/>
      <c r="O322" s="27"/>
      <c r="P322" s="27"/>
      <c r="Q322" s="27"/>
      <c r="R322" s="27"/>
      <c r="S322" s="27"/>
      <c r="T322" s="27">
        <f>IF(LEFT(Control_Achizitii!$E322,4)="Fact",1,0)</f>
        <v>0</v>
      </c>
      <c r="U322" s="27">
        <f>IF(Control_Achizitii!$C322="",0,IF(ISNUMBER(Control_Achizitii!$B322),0,1))</f>
        <v>0</v>
      </c>
      <c r="V322" s="27">
        <f>IF(Control_Achizitii!$C322="",0,IF($Z$2&lt;&gt;"OK",0,IF(AND(ISNUMBER(Control_Achizitii!$B322),Control_Achizitii!$B322&gt;=$E$5,Control_Achizitii!$B322&lt;$J$5+1,OR($O$5="Toate proiectele",Control_Achizitii!$Q322=$O$5)),1,0)))</f>
        <v>0</v>
      </c>
      <c r="W322" s="27">
        <f>IF(AND(V322=1,OR(Control_Achizitii!$J322&lt;&gt;"DOSAR COMPLET",Control_Achizitii!$K322&lt;&gt;"")),ROW(),1000000000)</f>
        <v>1000000000</v>
      </c>
      <c r="X322" s="27">
        <f>IF(AND(V322=1,LEFT(Control_Achizitii!$E322,4)="Fact",NOT(ISNUMBER(Control_Achizitii!$P322))),1,0)</f>
        <v>0</v>
      </c>
      <c r="Y322" s="27">
        <f>IF(V322=0,0,IF(Control_Achizitii!$J322="DOSAR COMPLET",1,IF(LEFT(Control_Achizitii!$J322,9)="INCOMPLET",2,3)))</f>
        <v>0</v>
      </c>
      <c r="Z322" s="27"/>
      <c r="AA322" s="27"/>
      <c r="AB322" s="27"/>
      <c r="AC322" s="27"/>
      <c r="AD322" s="27"/>
      <c r="AE322" s="27"/>
      <c r="AF322" s="27"/>
      <c r="AG322" s="27"/>
      <c r="AH322" s="27">
        <f>IF(AND(V322=1,Control_Achizitii!$J322="DOSAR COMPLET",Control_Achizitii!$K322&lt;&gt;""),1,0)</f>
        <v>0</v>
      </c>
    </row>
    <row r="323" spans="1:34">
      <c r="A323" s="27"/>
      <c r="B323" s="27"/>
      <c r="C323" s="27"/>
      <c r="D323" s="27"/>
      <c r="E323" s="27"/>
      <c r="F323" s="27"/>
      <c r="G323" s="27"/>
      <c r="H323" s="27"/>
      <c r="I323" s="27"/>
      <c r="J323" s="27"/>
      <c r="K323" s="27"/>
      <c r="L323" s="27"/>
      <c r="M323" s="27"/>
      <c r="N323" s="27"/>
      <c r="O323" s="27"/>
      <c r="P323" s="27"/>
      <c r="Q323" s="27"/>
      <c r="R323" s="27"/>
      <c r="S323" s="27"/>
      <c r="T323" s="27">
        <f>IF(LEFT(Control_Achizitii!$E323,4)="Fact",1,0)</f>
        <v>0</v>
      </c>
      <c r="U323" s="27">
        <f>IF(Control_Achizitii!$C323="",0,IF(ISNUMBER(Control_Achizitii!$B323),0,1))</f>
        <v>0</v>
      </c>
      <c r="V323" s="27">
        <f>IF(Control_Achizitii!$C323="",0,IF($Z$2&lt;&gt;"OK",0,IF(AND(ISNUMBER(Control_Achizitii!$B323),Control_Achizitii!$B323&gt;=$E$5,Control_Achizitii!$B323&lt;$J$5+1,OR($O$5="Toate proiectele",Control_Achizitii!$Q323=$O$5)),1,0)))</f>
        <v>0</v>
      </c>
      <c r="W323" s="27">
        <f>IF(AND(V323=1,OR(Control_Achizitii!$J323&lt;&gt;"DOSAR COMPLET",Control_Achizitii!$K323&lt;&gt;"")),ROW(),1000000000)</f>
        <v>1000000000</v>
      </c>
      <c r="X323" s="27">
        <f>IF(AND(V323=1,LEFT(Control_Achizitii!$E323,4)="Fact",NOT(ISNUMBER(Control_Achizitii!$P323))),1,0)</f>
        <v>0</v>
      </c>
      <c r="Y323" s="27">
        <f>IF(V323=0,0,IF(Control_Achizitii!$J323="DOSAR COMPLET",1,IF(LEFT(Control_Achizitii!$J323,9)="INCOMPLET",2,3)))</f>
        <v>0</v>
      </c>
      <c r="Z323" s="27"/>
      <c r="AA323" s="27"/>
      <c r="AB323" s="27"/>
      <c r="AC323" s="27"/>
      <c r="AD323" s="27"/>
      <c r="AE323" s="27"/>
      <c r="AF323" s="27"/>
      <c r="AG323" s="27"/>
      <c r="AH323" s="27">
        <f>IF(AND(V323=1,Control_Achizitii!$J323="DOSAR COMPLET",Control_Achizitii!$K323&lt;&gt;""),1,0)</f>
        <v>0</v>
      </c>
    </row>
    <row r="324" spans="1:34">
      <c r="A324" s="27"/>
      <c r="B324" s="27"/>
      <c r="C324" s="27"/>
      <c r="D324" s="27"/>
      <c r="E324" s="27"/>
      <c r="F324" s="27"/>
      <c r="G324" s="27"/>
      <c r="H324" s="27"/>
      <c r="I324" s="27"/>
      <c r="J324" s="27"/>
      <c r="K324" s="27"/>
      <c r="L324" s="27"/>
      <c r="M324" s="27"/>
      <c r="N324" s="27"/>
      <c r="O324" s="27"/>
      <c r="P324" s="27"/>
      <c r="Q324" s="27"/>
      <c r="R324" s="27"/>
      <c r="S324" s="27"/>
      <c r="T324" s="27">
        <f>IF(LEFT(Control_Achizitii!$E324,4)="Fact",1,0)</f>
        <v>0</v>
      </c>
      <c r="U324" s="27">
        <f>IF(Control_Achizitii!$C324="",0,IF(ISNUMBER(Control_Achizitii!$B324),0,1))</f>
        <v>0</v>
      </c>
      <c r="V324" s="27">
        <f>IF(Control_Achizitii!$C324="",0,IF($Z$2&lt;&gt;"OK",0,IF(AND(ISNUMBER(Control_Achizitii!$B324),Control_Achizitii!$B324&gt;=$E$5,Control_Achizitii!$B324&lt;$J$5+1,OR($O$5="Toate proiectele",Control_Achizitii!$Q324=$O$5)),1,0)))</f>
        <v>0</v>
      </c>
      <c r="W324" s="27">
        <f>IF(AND(V324=1,OR(Control_Achizitii!$J324&lt;&gt;"DOSAR COMPLET",Control_Achizitii!$K324&lt;&gt;"")),ROW(),1000000000)</f>
        <v>1000000000</v>
      </c>
      <c r="X324" s="27">
        <f>IF(AND(V324=1,LEFT(Control_Achizitii!$E324,4)="Fact",NOT(ISNUMBER(Control_Achizitii!$P324))),1,0)</f>
        <v>0</v>
      </c>
      <c r="Y324" s="27">
        <f>IF(V324=0,0,IF(Control_Achizitii!$J324="DOSAR COMPLET",1,IF(LEFT(Control_Achizitii!$J324,9)="INCOMPLET",2,3)))</f>
        <v>0</v>
      </c>
      <c r="Z324" s="27"/>
      <c r="AA324" s="27"/>
      <c r="AB324" s="27"/>
      <c r="AC324" s="27"/>
      <c r="AD324" s="27"/>
      <c r="AE324" s="27"/>
      <c r="AF324" s="27"/>
      <c r="AG324" s="27"/>
      <c r="AH324" s="27">
        <f>IF(AND(V324=1,Control_Achizitii!$J324="DOSAR COMPLET",Control_Achizitii!$K324&lt;&gt;""),1,0)</f>
        <v>0</v>
      </c>
    </row>
    <row r="325" spans="1:34">
      <c r="A325" s="27"/>
      <c r="B325" s="27"/>
      <c r="C325" s="27"/>
      <c r="D325" s="27"/>
      <c r="E325" s="27"/>
      <c r="F325" s="27"/>
      <c r="G325" s="27"/>
      <c r="H325" s="27"/>
      <c r="I325" s="27"/>
      <c r="J325" s="27"/>
      <c r="K325" s="27"/>
      <c r="L325" s="27"/>
      <c r="M325" s="27"/>
      <c r="N325" s="27"/>
      <c r="O325" s="27"/>
      <c r="P325" s="27"/>
      <c r="Q325" s="27"/>
      <c r="R325" s="27"/>
      <c r="S325" s="27"/>
      <c r="T325" s="27">
        <f>IF(LEFT(Control_Achizitii!$E325,4)="Fact",1,0)</f>
        <v>0</v>
      </c>
      <c r="U325" s="27">
        <f>IF(Control_Achizitii!$C325="",0,IF(ISNUMBER(Control_Achizitii!$B325),0,1))</f>
        <v>0</v>
      </c>
      <c r="V325" s="27">
        <f>IF(Control_Achizitii!$C325="",0,IF($Z$2&lt;&gt;"OK",0,IF(AND(ISNUMBER(Control_Achizitii!$B325),Control_Achizitii!$B325&gt;=$E$5,Control_Achizitii!$B325&lt;$J$5+1,OR($O$5="Toate proiectele",Control_Achizitii!$Q325=$O$5)),1,0)))</f>
        <v>0</v>
      </c>
      <c r="W325" s="27">
        <f>IF(AND(V325=1,OR(Control_Achizitii!$J325&lt;&gt;"DOSAR COMPLET",Control_Achizitii!$K325&lt;&gt;"")),ROW(),1000000000)</f>
        <v>1000000000</v>
      </c>
      <c r="X325" s="27">
        <f>IF(AND(V325=1,LEFT(Control_Achizitii!$E325,4)="Fact",NOT(ISNUMBER(Control_Achizitii!$P325))),1,0)</f>
        <v>0</v>
      </c>
      <c r="Y325" s="27">
        <f>IF(V325=0,0,IF(Control_Achizitii!$J325="DOSAR COMPLET",1,IF(LEFT(Control_Achizitii!$J325,9)="INCOMPLET",2,3)))</f>
        <v>0</v>
      </c>
      <c r="Z325" s="27"/>
      <c r="AA325" s="27"/>
      <c r="AB325" s="27"/>
      <c r="AC325" s="27"/>
      <c r="AD325" s="27"/>
      <c r="AE325" s="27"/>
      <c r="AF325" s="27"/>
      <c r="AG325" s="27"/>
      <c r="AH325" s="27">
        <f>IF(AND(V325=1,Control_Achizitii!$J325="DOSAR COMPLET",Control_Achizitii!$K325&lt;&gt;""),1,0)</f>
        <v>0</v>
      </c>
    </row>
    <row r="326" spans="1:34">
      <c r="A326" s="27"/>
      <c r="B326" s="27"/>
      <c r="C326" s="27"/>
      <c r="D326" s="27"/>
      <c r="E326" s="27"/>
      <c r="F326" s="27"/>
      <c r="G326" s="27"/>
      <c r="H326" s="27"/>
      <c r="I326" s="27"/>
      <c r="J326" s="27"/>
      <c r="K326" s="27"/>
      <c r="L326" s="27"/>
      <c r="M326" s="27"/>
      <c r="N326" s="27"/>
      <c r="O326" s="27"/>
      <c r="P326" s="27"/>
      <c r="Q326" s="27"/>
      <c r="R326" s="27"/>
      <c r="S326" s="27"/>
      <c r="T326" s="27">
        <f>IF(LEFT(Control_Achizitii!$E326,4)="Fact",1,0)</f>
        <v>0</v>
      </c>
      <c r="U326" s="27">
        <f>IF(Control_Achizitii!$C326="",0,IF(ISNUMBER(Control_Achizitii!$B326),0,1))</f>
        <v>0</v>
      </c>
      <c r="V326" s="27">
        <f>IF(Control_Achizitii!$C326="",0,IF($Z$2&lt;&gt;"OK",0,IF(AND(ISNUMBER(Control_Achizitii!$B326),Control_Achizitii!$B326&gt;=$E$5,Control_Achizitii!$B326&lt;$J$5+1,OR($O$5="Toate proiectele",Control_Achizitii!$Q326=$O$5)),1,0)))</f>
        <v>0</v>
      </c>
      <c r="W326" s="27">
        <f>IF(AND(V326=1,OR(Control_Achizitii!$J326&lt;&gt;"DOSAR COMPLET",Control_Achizitii!$K326&lt;&gt;"")),ROW(),1000000000)</f>
        <v>1000000000</v>
      </c>
      <c r="X326" s="27">
        <f>IF(AND(V326=1,LEFT(Control_Achizitii!$E326,4)="Fact",NOT(ISNUMBER(Control_Achizitii!$P326))),1,0)</f>
        <v>0</v>
      </c>
      <c r="Y326" s="27">
        <f>IF(V326=0,0,IF(Control_Achizitii!$J326="DOSAR COMPLET",1,IF(LEFT(Control_Achizitii!$J326,9)="INCOMPLET",2,3)))</f>
        <v>0</v>
      </c>
      <c r="Z326" s="27"/>
      <c r="AA326" s="27"/>
      <c r="AB326" s="27"/>
      <c r="AC326" s="27"/>
      <c r="AD326" s="27"/>
      <c r="AE326" s="27"/>
      <c r="AF326" s="27"/>
      <c r="AG326" s="27"/>
      <c r="AH326" s="27">
        <f>IF(AND(V326=1,Control_Achizitii!$J326="DOSAR COMPLET",Control_Achizitii!$K326&lt;&gt;""),1,0)</f>
        <v>0</v>
      </c>
    </row>
    <row r="327" spans="1:34">
      <c r="A327" s="27"/>
      <c r="B327" s="27"/>
      <c r="C327" s="27"/>
      <c r="D327" s="27"/>
      <c r="E327" s="27"/>
      <c r="F327" s="27"/>
      <c r="G327" s="27"/>
      <c r="H327" s="27"/>
      <c r="I327" s="27"/>
      <c r="J327" s="27"/>
      <c r="K327" s="27"/>
      <c r="L327" s="27"/>
      <c r="M327" s="27"/>
      <c r="N327" s="27"/>
      <c r="O327" s="27"/>
      <c r="P327" s="27"/>
      <c r="Q327" s="27"/>
      <c r="R327" s="27"/>
      <c r="S327" s="27"/>
      <c r="T327" s="27">
        <f>IF(LEFT(Control_Achizitii!$E327,4)="Fact",1,0)</f>
        <v>0</v>
      </c>
      <c r="U327" s="27">
        <f>IF(Control_Achizitii!$C327="",0,IF(ISNUMBER(Control_Achizitii!$B327),0,1))</f>
        <v>0</v>
      </c>
      <c r="V327" s="27">
        <f>IF(Control_Achizitii!$C327="",0,IF($Z$2&lt;&gt;"OK",0,IF(AND(ISNUMBER(Control_Achizitii!$B327),Control_Achizitii!$B327&gt;=$E$5,Control_Achizitii!$B327&lt;$J$5+1,OR($O$5="Toate proiectele",Control_Achizitii!$Q327=$O$5)),1,0)))</f>
        <v>0</v>
      </c>
      <c r="W327" s="27">
        <f>IF(AND(V327=1,OR(Control_Achizitii!$J327&lt;&gt;"DOSAR COMPLET",Control_Achizitii!$K327&lt;&gt;"")),ROW(),1000000000)</f>
        <v>1000000000</v>
      </c>
      <c r="X327" s="27">
        <f>IF(AND(V327=1,LEFT(Control_Achizitii!$E327,4)="Fact",NOT(ISNUMBER(Control_Achizitii!$P327))),1,0)</f>
        <v>0</v>
      </c>
      <c r="Y327" s="27">
        <f>IF(V327=0,0,IF(Control_Achizitii!$J327="DOSAR COMPLET",1,IF(LEFT(Control_Achizitii!$J327,9)="INCOMPLET",2,3)))</f>
        <v>0</v>
      </c>
      <c r="Z327" s="27"/>
      <c r="AA327" s="27"/>
      <c r="AB327" s="27"/>
      <c r="AC327" s="27"/>
      <c r="AD327" s="27"/>
      <c r="AE327" s="27"/>
      <c r="AF327" s="27"/>
      <c r="AG327" s="27"/>
      <c r="AH327" s="27">
        <f>IF(AND(V327=1,Control_Achizitii!$J327="DOSAR COMPLET",Control_Achizitii!$K327&lt;&gt;""),1,0)</f>
        <v>0</v>
      </c>
    </row>
    <row r="328" spans="1:34">
      <c r="A328" s="27"/>
      <c r="B328" s="27"/>
      <c r="C328" s="27"/>
      <c r="D328" s="27"/>
      <c r="E328" s="27"/>
      <c r="F328" s="27"/>
      <c r="G328" s="27"/>
      <c r="H328" s="27"/>
      <c r="I328" s="27"/>
      <c r="J328" s="27"/>
      <c r="K328" s="27"/>
      <c r="L328" s="27"/>
      <c r="M328" s="27"/>
      <c r="N328" s="27"/>
      <c r="O328" s="27"/>
      <c r="P328" s="27"/>
      <c r="Q328" s="27"/>
      <c r="R328" s="27"/>
      <c r="S328" s="27"/>
      <c r="T328" s="27">
        <f>IF(LEFT(Control_Achizitii!$E328,4)="Fact",1,0)</f>
        <v>0</v>
      </c>
      <c r="U328" s="27">
        <f>IF(Control_Achizitii!$C328="",0,IF(ISNUMBER(Control_Achizitii!$B328),0,1))</f>
        <v>0</v>
      </c>
      <c r="V328" s="27">
        <f>IF(Control_Achizitii!$C328="",0,IF($Z$2&lt;&gt;"OK",0,IF(AND(ISNUMBER(Control_Achizitii!$B328),Control_Achizitii!$B328&gt;=$E$5,Control_Achizitii!$B328&lt;$J$5+1,OR($O$5="Toate proiectele",Control_Achizitii!$Q328=$O$5)),1,0)))</f>
        <v>0</v>
      </c>
      <c r="W328" s="27">
        <f>IF(AND(V328=1,OR(Control_Achizitii!$J328&lt;&gt;"DOSAR COMPLET",Control_Achizitii!$K328&lt;&gt;"")),ROW(),1000000000)</f>
        <v>1000000000</v>
      </c>
      <c r="X328" s="27">
        <f>IF(AND(V328=1,LEFT(Control_Achizitii!$E328,4)="Fact",NOT(ISNUMBER(Control_Achizitii!$P328))),1,0)</f>
        <v>0</v>
      </c>
      <c r="Y328" s="27">
        <f>IF(V328=0,0,IF(Control_Achizitii!$J328="DOSAR COMPLET",1,IF(LEFT(Control_Achizitii!$J328,9)="INCOMPLET",2,3)))</f>
        <v>0</v>
      </c>
      <c r="Z328" s="27"/>
      <c r="AA328" s="27"/>
      <c r="AB328" s="27"/>
      <c r="AC328" s="27"/>
      <c r="AD328" s="27"/>
      <c r="AE328" s="27"/>
      <c r="AF328" s="27"/>
      <c r="AG328" s="27"/>
      <c r="AH328" s="27">
        <f>IF(AND(V328=1,Control_Achizitii!$J328="DOSAR COMPLET",Control_Achizitii!$K328&lt;&gt;""),1,0)</f>
        <v>0</v>
      </c>
    </row>
    <row r="329" spans="1:34">
      <c r="A329" s="27"/>
      <c r="B329" s="27"/>
      <c r="C329" s="27"/>
      <c r="D329" s="27"/>
      <c r="E329" s="27"/>
      <c r="F329" s="27"/>
      <c r="G329" s="27"/>
      <c r="H329" s="27"/>
      <c r="I329" s="27"/>
      <c r="J329" s="27"/>
      <c r="K329" s="27"/>
      <c r="L329" s="27"/>
      <c r="M329" s="27"/>
      <c r="N329" s="27"/>
      <c r="O329" s="27"/>
      <c r="P329" s="27"/>
      <c r="Q329" s="27"/>
      <c r="R329" s="27"/>
      <c r="S329" s="27"/>
      <c r="T329" s="27">
        <f>IF(LEFT(Control_Achizitii!$E329,4)="Fact",1,0)</f>
        <v>0</v>
      </c>
      <c r="U329" s="27">
        <f>IF(Control_Achizitii!$C329="",0,IF(ISNUMBER(Control_Achizitii!$B329),0,1))</f>
        <v>0</v>
      </c>
      <c r="V329" s="27">
        <f>IF(Control_Achizitii!$C329="",0,IF($Z$2&lt;&gt;"OK",0,IF(AND(ISNUMBER(Control_Achizitii!$B329),Control_Achizitii!$B329&gt;=$E$5,Control_Achizitii!$B329&lt;$J$5+1,OR($O$5="Toate proiectele",Control_Achizitii!$Q329=$O$5)),1,0)))</f>
        <v>0</v>
      </c>
      <c r="W329" s="27">
        <f>IF(AND(V329=1,OR(Control_Achizitii!$J329&lt;&gt;"DOSAR COMPLET",Control_Achizitii!$K329&lt;&gt;"")),ROW(),1000000000)</f>
        <v>1000000000</v>
      </c>
      <c r="X329" s="27">
        <f>IF(AND(V329=1,LEFT(Control_Achizitii!$E329,4)="Fact",NOT(ISNUMBER(Control_Achizitii!$P329))),1,0)</f>
        <v>0</v>
      </c>
      <c r="Y329" s="27">
        <f>IF(V329=0,0,IF(Control_Achizitii!$J329="DOSAR COMPLET",1,IF(LEFT(Control_Achizitii!$J329,9)="INCOMPLET",2,3)))</f>
        <v>0</v>
      </c>
      <c r="Z329" s="27"/>
      <c r="AA329" s="27"/>
      <c r="AB329" s="27"/>
      <c r="AC329" s="27"/>
      <c r="AD329" s="27"/>
      <c r="AE329" s="27"/>
      <c r="AF329" s="27"/>
      <c r="AG329" s="27"/>
      <c r="AH329" s="27">
        <f>IF(AND(V329=1,Control_Achizitii!$J329="DOSAR COMPLET",Control_Achizitii!$K329&lt;&gt;""),1,0)</f>
        <v>0</v>
      </c>
    </row>
    <row r="330" spans="1:34">
      <c r="A330" s="27"/>
      <c r="B330" s="27"/>
      <c r="C330" s="27"/>
      <c r="D330" s="27"/>
      <c r="E330" s="27"/>
      <c r="F330" s="27"/>
      <c r="G330" s="27"/>
      <c r="H330" s="27"/>
      <c r="I330" s="27"/>
      <c r="J330" s="27"/>
      <c r="K330" s="27"/>
      <c r="L330" s="27"/>
      <c r="M330" s="27"/>
      <c r="N330" s="27"/>
      <c r="O330" s="27"/>
      <c r="P330" s="27"/>
      <c r="Q330" s="27"/>
      <c r="R330" s="27"/>
      <c r="S330" s="27"/>
      <c r="T330" s="27">
        <f>IF(LEFT(Control_Achizitii!$E330,4)="Fact",1,0)</f>
        <v>0</v>
      </c>
      <c r="U330" s="27">
        <f>IF(Control_Achizitii!$C330="",0,IF(ISNUMBER(Control_Achizitii!$B330),0,1))</f>
        <v>0</v>
      </c>
      <c r="V330" s="27">
        <f>IF(Control_Achizitii!$C330="",0,IF($Z$2&lt;&gt;"OK",0,IF(AND(ISNUMBER(Control_Achizitii!$B330),Control_Achizitii!$B330&gt;=$E$5,Control_Achizitii!$B330&lt;$J$5+1,OR($O$5="Toate proiectele",Control_Achizitii!$Q330=$O$5)),1,0)))</f>
        <v>0</v>
      </c>
      <c r="W330" s="27">
        <f>IF(AND(V330=1,OR(Control_Achizitii!$J330&lt;&gt;"DOSAR COMPLET",Control_Achizitii!$K330&lt;&gt;"")),ROW(),1000000000)</f>
        <v>1000000000</v>
      </c>
      <c r="X330" s="27">
        <f>IF(AND(V330=1,LEFT(Control_Achizitii!$E330,4)="Fact",NOT(ISNUMBER(Control_Achizitii!$P330))),1,0)</f>
        <v>0</v>
      </c>
      <c r="Y330" s="27">
        <f>IF(V330=0,0,IF(Control_Achizitii!$J330="DOSAR COMPLET",1,IF(LEFT(Control_Achizitii!$J330,9)="INCOMPLET",2,3)))</f>
        <v>0</v>
      </c>
      <c r="Z330" s="27"/>
      <c r="AA330" s="27"/>
      <c r="AB330" s="27"/>
      <c r="AC330" s="27"/>
      <c r="AD330" s="27"/>
      <c r="AE330" s="27"/>
      <c r="AF330" s="27"/>
      <c r="AG330" s="27"/>
      <c r="AH330" s="27">
        <f>IF(AND(V330=1,Control_Achizitii!$J330="DOSAR COMPLET",Control_Achizitii!$K330&lt;&gt;""),1,0)</f>
        <v>0</v>
      </c>
    </row>
    <row r="331" spans="1:34">
      <c r="A331" s="27"/>
      <c r="B331" s="27"/>
      <c r="C331" s="27"/>
      <c r="D331" s="27"/>
      <c r="E331" s="27"/>
      <c r="F331" s="27"/>
      <c r="G331" s="27"/>
      <c r="H331" s="27"/>
      <c r="I331" s="27"/>
      <c r="J331" s="27"/>
      <c r="K331" s="27"/>
      <c r="L331" s="27"/>
      <c r="M331" s="27"/>
      <c r="N331" s="27"/>
      <c r="O331" s="27"/>
      <c r="P331" s="27"/>
      <c r="Q331" s="27"/>
      <c r="R331" s="27"/>
      <c r="S331" s="27"/>
      <c r="T331" s="27">
        <f>IF(LEFT(Control_Achizitii!$E331,4)="Fact",1,0)</f>
        <v>0</v>
      </c>
      <c r="U331" s="27">
        <f>IF(Control_Achizitii!$C331="",0,IF(ISNUMBER(Control_Achizitii!$B331),0,1))</f>
        <v>0</v>
      </c>
      <c r="V331" s="27">
        <f>IF(Control_Achizitii!$C331="",0,IF($Z$2&lt;&gt;"OK",0,IF(AND(ISNUMBER(Control_Achizitii!$B331),Control_Achizitii!$B331&gt;=$E$5,Control_Achizitii!$B331&lt;$J$5+1,OR($O$5="Toate proiectele",Control_Achizitii!$Q331=$O$5)),1,0)))</f>
        <v>0</v>
      </c>
      <c r="W331" s="27">
        <f>IF(AND(V331=1,OR(Control_Achizitii!$J331&lt;&gt;"DOSAR COMPLET",Control_Achizitii!$K331&lt;&gt;"")),ROW(),1000000000)</f>
        <v>1000000000</v>
      </c>
      <c r="X331" s="27">
        <f>IF(AND(V331=1,LEFT(Control_Achizitii!$E331,4)="Fact",NOT(ISNUMBER(Control_Achizitii!$P331))),1,0)</f>
        <v>0</v>
      </c>
      <c r="Y331" s="27">
        <f>IF(V331=0,0,IF(Control_Achizitii!$J331="DOSAR COMPLET",1,IF(LEFT(Control_Achizitii!$J331,9)="INCOMPLET",2,3)))</f>
        <v>0</v>
      </c>
      <c r="Z331" s="27"/>
      <c r="AA331" s="27"/>
      <c r="AB331" s="27"/>
      <c r="AC331" s="27"/>
      <c r="AD331" s="27"/>
      <c r="AE331" s="27"/>
      <c r="AF331" s="27"/>
      <c r="AG331" s="27"/>
      <c r="AH331" s="27">
        <f>IF(AND(V331=1,Control_Achizitii!$J331="DOSAR COMPLET",Control_Achizitii!$K331&lt;&gt;""),1,0)</f>
        <v>0</v>
      </c>
    </row>
    <row r="332" spans="1:34">
      <c r="A332" s="27"/>
      <c r="B332" s="27"/>
      <c r="C332" s="27"/>
      <c r="D332" s="27"/>
      <c r="E332" s="27"/>
      <c r="F332" s="27"/>
      <c r="G332" s="27"/>
      <c r="H332" s="27"/>
      <c r="I332" s="27"/>
      <c r="J332" s="27"/>
      <c r="K332" s="27"/>
      <c r="L332" s="27"/>
      <c r="M332" s="27"/>
      <c r="N332" s="27"/>
      <c r="O332" s="27"/>
      <c r="P332" s="27"/>
      <c r="Q332" s="27"/>
      <c r="R332" s="27"/>
      <c r="S332" s="27"/>
      <c r="T332" s="27">
        <f>IF(LEFT(Control_Achizitii!$E332,4)="Fact",1,0)</f>
        <v>0</v>
      </c>
      <c r="U332" s="27">
        <f>IF(Control_Achizitii!$C332="",0,IF(ISNUMBER(Control_Achizitii!$B332),0,1))</f>
        <v>0</v>
      </c>
      <c r="V332" s="27">
        <f>IF(Control_Achizitii!$C332="",0,IF($Z$2&lt;&gt;"OK",0,IF(AND(ISNUMBER(Control_Achizitii!$B332),Control_Achizitii!$B332&gt;=$E$5,Control_Achizitii!$B332&lt;$J$5+1,OR($O$5="Toate proiectele",Control_Achizitii!$Q332=$O$5)),1,0)))</f>
        <v>0</v>
      </c>
      <c r="W332" s="27">
        <f>IF(AND(V332=1,OR(Control_Achizitii!$J332&lt;&gt;"DOSAR COMPLET",Control_Achizitii!$K332&lt;&gt;"")),ROW(),1000000000)</f>
        <v>1000000000</v>
      </c>
      <c r="X332" s="27">
        <f>IF(AND(V332=1,LEFT(Control_Achizitii!$E332,4)="Fact",NOT(ISNUMBER(Control_Achizitii!$P332))),1,0)</f>
        <v>0</v>
      </c>
      <c r="Y332" s="27">
        <f>IF(V332=0,0,IF(Control_Achizitii!$J332="DOSAR COMPLET",1,IF(LEFT(Control_Achizitii!$J332,9)="INCOMPLET",2,3)))</f>
        <v>0</v>
      </c>
      <c r="Z332" s="27"/>
      <c r="AA332" s="27"/>
      <c r="AB332" s="27"/>
      <c r="AC332" s="27"/>
      <c r="AD332" s="27"/>
      <c r="AE332" s="27"/>
      <c r="AF332" s="27"/>
      <c r="AG332" s="27"/>
      <c r="AH332" s="27">
        <f>IF(AND(V332=1,Control_Achizitii!$J332="DOSAR COMPLET",Control_Achizitii!$K332&lt;&gt;""),1,0)</f>
        <v>0</v>
      </c>
    </row>
    <row r="333" spans="1:34">
      <c r="A333" s="27"/>
      <c r="B333" s="27"/>
      <c r="C333" s="27"/>
      <c r="D333" s="27"/>
      <c r="E333" s="27"/>
      <c r="F333" s="27"/>
      <c r="G333" s="27"/>
      <c r="H333" s="27"/>
      <c r="I333" s="27"/>
      <c r="J333" s="27"/>
      <c r="K333" s="27"/>
      <c r="L333" s="27"/>
      <c r="M333" s="27"/>
      <c r="N333" s="27"/>
      <c r="O333" s="27"/>
      <c r="P333" s="27"/>
      <c r="Q333" s="27"/>
      <c r="R333" s="27"/>
      <c r="S333" s="27"/>
      <c r="T333" s="27">
        <f>IF(LEFT(Control_Achizitii!$E333,4)="Fact",1,0)</f>
        <v>0</v>
      </c>
      <c r="U333" s="27">
        <f>IF(Control_Achizitii!$C333="",0,IF(ISNUMBER(Control_Achizitii!$B333),0,1))</f>
        <v>0</v>
      </c>
      <c r="V333" s="27">
        <f>IF(Control_Achizitii!$C333="",0,IF($Z$2&lt;&gt;"OK",0,IF(AND(ISNUMBER(Control_Achizitii!$B333),Control_Achizitii!$B333&gt;=$E$5,Control_Achizitii!$B333&lt;$J$5+1,OR($O$5="Toate proiectele",Control_Achizitii!$Q333=$O$5)),1,0)))</f>
        <v>0</v>
      </c>
      <c r="W333" s="27">
        <f>IF(AND(V333=1,OR(Control_Achizitii!$J333&lt;&gt;"DOSAR COMPLET",Control_Achizitii!$K333&lt;&gt;"")),ROW(),1000000000)</f>
        <v>1000000000</v>
      </c>
      <c r="X333" s="27">
        <f>IF(AND(V333=1,LEFT(Control_Achizitii!$E333,4)="Fact",NOT(ISNUMBER(Control_Achizitii!$P333))),1,0)</f>
        <v>0</v>
      </c>
      <c r="Y333" s="27">
        <f>IF(V333=0,0,IF(Control_Achizitii!$J333="DOSAR COMPLET",1,IF(LEFT(Control_Achizitii!$J333,9)="INCOMPLET",2,3)))</f>
        <v>0</v>
      </c>
      <c r="Z333" s="27"/>
      <c r="AA333" s="27"/>
      <c r="AB333" s="27"/>
      <c r="AC333" s="27"/>
      <c r="AD333" s="27"/>
      <c r="AE333" s="27"/>
      <c r="AF333" s="27"/>
      <c r="AG333" s="27"/>
      <c r="AH333" s="27">
        <f>IF(AND(V333=1,Control_Achizitii!$J333="DOSAR COMPLET",Control_Achizitii!$K333&lt;&gt;""),1,0)</f>
        <v>0</v>
      </c>
    </row>
    <row r="334" spans="1:34">
      <c r="A334" s="27"/>
      <c r="B334" s="27"/>
      <c r="C334" s="27"/>
      <c r="D334" s="27"/>
      <c r="E334" s="27"/>
      <c r="F334" s="27"/>
      <c r="G334" s="27"/>
      <c r="H334" s="27"/>
      <c r="I334" s="27"/>
      <c r="J334" s="27"/>
      <c r="K334" s="27"/>
      <c r="L334" s="27"/>
      <c r="M334" s="27"/>
      <c r="N334" s="27"/>
      <c r="O334" s="27"/>
      <c r="P334" s="27"/>
      <c r="Q334" s="27"/>
      <c r="R334" s="27"/>
      <c r="S334" s="27"/>
      <c r="T334" s="27">
        <f>IF(LEFT(Control_Achizitii!$E334,4)="Fact",1,0)</f>
        <v>0</v>
      </c>
      <c r="U334" s="27">
        <f>IF(Control_Achizitii!$C334="",0,IF(ISNUMBER(Control_Achizitii!$B334),0,1))</f>
        <v>0</v>
      </c>
      <c r="V334" s="27">
        <f>IF(Control_Achizitii!$C334="",0,IF($Z$2&lt;&gt;"OK",0,IF(AND(ISNUMBER(Control_Achizitii!$B334),Control_Achizitii!$B334&gt;=$E$5,Control_Achizitii!$B334&lt;$J$5+1,OR($O$5="Toate proiectele",Control_Achizitii!$Q334=$O$5)),1,0)))</f>
        <v>0</v>
      </c>
      <c r="W334" s="27">
        <f>IF(AND(V334=1,OR(Control_Achizitii!$J334&lt;&gt;"DOSAR COMPLET",Control_Achizitii!$K334&lt;&gt;"")),ROW(),1000000000)</f>
        <v>1000000000</v>
      </c>
      <c r="X334" s="27">
        <f>IF(AND(V334=1,LEFT(Control_Achizitii!$E334,4)="Fact",NOT(ISNUMBER(Control_Achizitii!$P334))),1,0)</f>
        <v>0</v>
      </c>
      <c r="Y334" s="27">
        <f>IF(V334=0,0,IF(Control_Achizitii!$J334="DOSAR COMPLET",1,IF(LEFT(Control_Achizitii!$J334,9)="INCOMPLET",2,3)))</f>
        <v>0</v>
      </c>
      <c r="Z334" s="27"/>
      <c r="AA334" s="27"/>
      <c r="AB334" s="27"/>
      <c r="AC334" s="27"/>
      <c r="AD334" s="27"/>
      <c r="AE334" s="27"/>
      <c r="AF334" s="27"/>
      <c r="AG334" s="27"/>
      <c r="AH334" s="27">
        <f>IF(AND(V334=1,Control_Achizitii!$J334="DOSAR COMPLET",Control_Achizitii!$K334&lt;&gt;""),1,0)</f>
        <v>0</v>
      </c>
    </row>
    <row r="335" spans="1:34">
      <c r="A335" s="27"/>
      <c r="B335" s="27"/>
      <c r="C335" s="27"/>
      <c r="D335" s="27"/>
      <c r="E335" s="27"/>
      <c r="F335" s="27"/>
      <c r="G335" s="27"/>
      <c r="H335" s="27"/>
      <c r="I335" s="27"/>
      <c r="J335" s="27"/>
      <c r="K335" s="27"/>
      <c r="L335" s="27"/>
      <c r="M335" s="27"/>
      <c r="N335" s="27"/>
      <c r="O335" s="27"/>
      <c r="P335" s="27"/>
      <c r="Q335" s="27"/>
      <c r="R335" s="27"/>
      <c r="S335" s="27"/>
      <c r="T335" s="27">
        <f>IF(LEFT(Control_Achizitii!$E335,4)="Fact",1,0)</f>
        <v>0</v>
      </c>
      <c r="U335" s="27">
        <f>IF(Control_Achizitii!$C335="",0,IF(ISNUMBER(Control_Achizitii!$B335),0,1))</f>
        <v>0</v>
      </c>
      <c r="V335" s="27">
        <f>IF(Control_Achizitii!$C335="",0,IF($Z$2&lt;&gt;"OK",0,IF(AND(ISNUMBER(Control_Achizitii!$B335),Control_Achizitii!$B335&gt;=$E$5,Control_Achizitii!$B335&lt;$J$5+1,OR($O$5="Toate proiectele",Control_Achizitii!$Q335=$O$5)),1,0)))</f>
        <v>0</v>
      </c>
      <c r="W335" s="27">
        <f>IF(AND(V335=1,OR(Control_Achizitii!$J335&lt;&gt;"DOSAR COMPLET",Control_Achizitii!$K335&lt;&gt;"")),ROW(),1000000000)</f>
        <v>1000000000</v>
      </c>
      <c r="X335" s="27">
        <f>IF(AND(V335=1,LEFT(Control_Achizitii!$E335,4)="Fact",NOT(ISNUMBER(Control_Achizitii!$P335))),1,0)</f>
        <v>0</v>
      </c>
      <c r="Y335" s="27">
        <f>IF(V335=0,0,IF(Control_Achizitii!$J335="DOSAR COMPLET",1,IF(LEFT(Control_Achizitii!$J335,9)="INCOMPLET",2,3)))</f>
        <v>0</v>
      </c>
      <c r="Z335" s="27"/>
      <c r="AA335" s="27"/>
      <c r="AB335" s="27"/>
      <c r="AC335" s="27"/>
      <c r="AD335" s="27"/>
      <c r="AE335" s="27"/>
      <c r="AF335" s="27"/>
      <c r="AG335" s="27"/>
      <c r="AH335" s="27">
        <f>IF(AND(V335=1,Control_Achizitii!$J335="DOSAR COMPLET",Control_Achizitii!$K335&lt;&gt;""),1,0)</f>
        <v>0</v>
      </c>
    </row>
    <row r="336" spans="1:34">
      <c r="A336" s="27"/>
      <c r="B336" s="27"/>
      <c r="C336" s="27"/>
      <c r="D336" s="27"/>
      <c r="E336" s="27"/>
      <c r="F336" s="27"/>
      <c r="G336" s="27"/>
      <c r="H336" s="27"/>
      <c r="I336" s="27"/>
      <c r="J336" s="27"/>
      <c r="K336" s="27"/>
      <c r="L336" s="27"/>
      <c r="M336" s="27"/>
      <c r="N336" s="27"/>
      <c r="O336" s="27"/>
      <c r="P336" s="27"/>
      <c r="Q336" s="27"/>
      <c r="R336" s="27"/>
      <c r="S336" s="27"/>
      <c r="T336" s="27">
        <f>IF(LEFT(Control_Achizitii!$E336,4)="Fact",1,0)</f>
        <v>0</v>
      </c>
      <c r="U336" s="27">
        <f>IF(Control_Achizitii!$C336="",0,IF(ISNUMBER(Control_Achizitii!$B336),0,1))</f>
        <v>0</v>
      </c>
      <c r="V336" s="27">
        <f>IF(Control_Achizitii!$C336="",0,IF($Z$2&lt;&gt;"OK",0,IF(AND(ISNUMBER(Control_Achizitii!$B336),Control_Achizitii!$B336&gt;=$E$5,Control_Achizitii!$B336&lt;$J$5+1,OR($O$5="Toate proiectele",Control_Achizitii!$Q336=$O$5)),1,0)))</f>
        <v>0</v>
      </c>
      <c r="W336" s="27">
        <f>IF(AND(V336=1,OR(Control_Achizitii!$J336&lt;&gt;"DOSAR COMPLET",Control_Achizitii!$K336&lt;&gt;"")),ROW(),1000000000)</f>
        <v>1000000000</v>
      </c>
      <c r="X336" s="27">
        <f>IF(AND(V336=1,LEFT(Control_Achizitii!$E336,4)="Fact",NOT(ISNUMBER(Control_Achizitii!$P336))),1,0)</f>
        <v>0</v>
      </c>
      <c r="Y336" s="27">
        <f>IF(V336=0,0,IF(Control_Achizitii!$J336="DOSAR COMPLET",1,IF(LEFT(Control_Achizitii!$J336,9)="INCOMPLET",2,3)))</f>
        <v>0</v>
      </c>
      <c r="Z336" s="27"/>
      <c r="AA336" s="27"/>
      <c r="AB336" s="27"/>
      <c r="AC336" s="27"/>
      <c r="AD336" s="27"/>
      <c r="AE336" s="27"/>
      <c r="AF336" s="27"/>
      <c r="AG336" s="27"/>
      <c r="AH336" s="27">
        <f>IF(AND(V336=1,Control_Achizitii!$J336="DOSAR COMPLET",Control_Achizitii!$K336&lt;&gt;""),1,0)</f>
        <v>0</v>
      </c>
    </row>
    <row r="337" spans="1:34">
      <c r="A337" s="27"/>
      <c r="B337" s="27"/>
      <c r="C337" s="27"/>
      <c r="D337" s="27"/>
      <c r="E337" s="27"/>
      <c r="F337" s="27"/>
      <c r="G337" s="27"/>
      <c r="H337" s="27"/>
      <c r="I337" s="27"/>
      <c r="J337" s="27"/>
      <c r="K337" s="27"/>
      <c r="L337" s="27"/>
      <c r="M337" s="27"/>
      <c r="N337" s="27"/>
      <c r="O337" s="27"/>
      <c r="P337" s="27"/>
      <c r="Q337" s="27"/>
      <c r="R337" s="27"/>
      <c r="S337" s="27"/>
      <c r="T337" s="27">
        <f>IF(LEFT(Control_Achizitii!$E337,4)="Fact",1,0)</f>
        <v>0</v>
      </c>
      <c r="U337" s="27">
        <f>IF(Control_Achizitii!$C337="",0,IF(ISNUMBER(Control_Achizitii!$B337),0,1))</f>
        <v>0</v>
      </c>
      <c r="V337" s="27">
        <f>IF(Control_Achizitii!$C337="",0,IF($Z$2&lt;&gt;"OK",0,IF(AND(ISNUMBER(Control_Achizitii!$B337),Control_Achizitii!$B337&gt;=$E$5,Control_Achizitii!$B337&lt;$J$5+1,OR($O$5="Toate proiectele",Control_Achizitii!$Q337=$O$5)),1,0)))</f>
        <v>0</v>
      </c>
      <c r="W337" s="27">
        <f>IF(AND(V337=1,OR(Control_Achizitii!$J337&lt;&gt;"DOSAR COMPLET",Control_Achizitii!$K337&lt;&gt;"")),ROW(),1000000000)</f>
        <v>1000000000</v>
      </c>
      <c r="X337" s="27">
        <f>IF(AND(V337=1,LEFT(Control_Achizitii!$E337,4)="Fact",NOT(ISNUMBER(Control_Achizitii!$P337))),1,0)</f>
        <v>0</v>
      </c>
      <c r="Y337" s="27">
        <f>IF(V337=0,0,IF(Control_Achizitii!$J337="DOSAR COMPLET",1,IF(LEFT(Control_Achizitii!$J337,9)="INCOMPLET",2,3)))</f>
        <v>0</v>
      </c>
      <c r="Z337" s="27"/>
      <c r="AA337" s="27"/>
      <c r="AB337" s="27"/>
      <c r="AC337" s="27"/>
      <c r="AD337" s="27"/>
      <c r="AE337" s="27"/>
      <c r="AF337" s="27"/>
      <c r="AG337" s="27"/>
      <c r="AH337" s="27">
        <f>IF(AND(V337=1,Control_Achizitii!$J337="DOSAR COMPLET",Control_Achizitii!$K337&lt;&gt;""),1,0)</f>
        <v>0</v>
      </c>
    </row>
    <row r="338" spans="1:34">
      <c r="A338" s="27"/>
      <c r="B338" s="27"/>
      <c r="C338" s="27"/>
      <c r="D338" s="27"/>
      <c r="E338" s="27"/>
      <c r="F338" s="27"/>
      <c r="G338" s="27"/>
      <c r="H338" s="27"/>
      <c r="I338" s="27"/>
      <c r="J338" s="27"/>
      <c r="K338" s="27"/>
      <c r="L338" s="27"/>
      <c r="M338" s="27"/>
      <c r="N338" s="27"/>
      <c r="O338" s="27"/>
      <c r="P338" s="27"/>
      <c r="Q338" s="27"/>
      <c r="R338" s="27"/>
      <c r="S338" s="27"/>
      <c r="T338" s="27">
        <f>IF(LEFT(Control_Achizitii!$E338,4)="Fact",1,0)</f>
        <v>0</v>
      </c>
      <c r="U338" s="27">
        <f>IF(Control_Achizitii!$C338="",0,IF(ISNUMBER(Control_Achizitii!$B338),0,1))</f>
        <v>0</v>
      </c>
      <c r="V338" s="27">
        <f>IF(Control_Achizitii!$C338="",0,IF($Z$2&lt;&gt;"OK",0,IF(AND(ISNUMBER(Control_Achizitii!$B338),Control_Achizitii!$B338&gt;=$E$5,Control_Achizitii!$B338&lt;$J$5+1,OR($O$5="Toate proiectele",Control_Achizitii!$Q338=$O$5)),1,0)))</f>
        <v>0</v>
      </c>
      <c r="W338" s="27">
        <f>IF(AND(V338=1,OR(Control_Achizitii!$J338&lt;&gt;"DOSAR COMPLET",Control_Achizitii!$K338&lt;&gt;"")),ROW(),1000000000)</f>
        <v>1000000000</v>
      </c>
      <c r="X338" s="27">
        <f>IF(AND(V338=1,LEFT(Control_Achizitii!$E338,4)="Fact",NOT(ISNUMBER(Control_Achizitii!$P338))),1,0)</f>
        <v>0</v>
      </c>
      <c r="Y338" s="27">
        <f>IF(V338=0,0,IF(Control_Achizitii!$J338="DOSAR COMPLET",1,IF(LEFT(Control_Achizitii!$J338,9)="INCOMPLET",2,3)))</f>
        <v>0</v>
      </c>
      <c r="Z338" s="27"/>
      <c r="AA338" s="27"/>
      <c r="AB338" s="27"/>
      <c r="AC338" s="27"/>
      <c r="AD338" s="27"/>
      <c r="AE338" s="27"/>
      <c r="AF338" s="27"/>
      <c r="AG338" s="27"/>
      <c r="AH338" s="27">
        <f>IF(AND(V338=1,Control_Achizitii!$J338="DOSAR COMPLET",Control_Achizitii!$K338&lt;&gt;""),1,0)</f>
        <v>0</v>
      </c>
    </row>
    <row r="339" spans="1:34">
      <c r="A339" s="27"/>
      <c r="B339" s="27"/>
      <c r="C339" s="27"/>
      <c r="D339" s="27"/>
      <c r="E339" s="27"/>
      <c r="F339" s="27"/>
      <c r="G339" s="27"/>
      <c r="H339" s="27"/>
      <c r="I339" s="27"/>
      <c r="J339" s="27"/>
      <c r="K339" s="27"/>
      <c r="L339" s="27"/>
      <c r="M339" s="27"/>
      <c r="N339" s="27"/>
      <c r="O339" s="27"/>
      <c r="P339" s="27"/>
      <c r="Q339" s="27"/>
      <c r="R339" s="27"/>
      <c r="S339" s="27"/>
      <c r="T339" s="27">
        <f>IF(LEFT(Control_Achizitii!$E339,4)="Fact",1,0)</f>
        <v>0</v>
      </c>
      <c r="U339" s="27">
        <f>IF(Control_Achizitii!$C339="",0,IF(ISNUMBER(Control_Achizitii!$B339),0,1))</f>
        <v>0</v>
      </c>
      <c r="V339" s="27">
        <f>IF(Control_Achizitii!$C339="",0,IF($Z$2&lt;&gt;"OK",0,IF(AND(ISNUMBER(Control_Achizitii!$B339),Control_Achizitii!$B339&gt;=$E$5,Control_Achizitii!$B339&lt;$J$5+1,OR($O$5="Toate proiectele",Control_Achizitii!$Q339=$O$5)),1,0)))</f>
        <v>0</v>
      </c>
      <c r="W339" s="27">
        <f>IF(AND(V339=1,OR(Control_Achizitii!$J339&lt;&gt;"DOSAR COMPLET",Control_Achizitii!$K339&lt;&gt;"")),ROW(),1000000000)</f>
        <v>1000000000</v>
      </c>
      <c r="X339" s="27">
        <f>IF(AND(V339=1,LEFT(Control_Achizitii!$E339,4)="Fact",NOT(ISNUMBER(Control_Achizitii!$P339))),1,0)</f>
        <v>0</v>
      </c>
      <c r="Y339" s="27">
        <f>IF(V339=0,0,IF(Control_Achizitii!$J339="DOSAR COMPLET",1,IF(LEFT(Control_Achizitii!$J339,9)="INCOMPLET",2,3)))</f>
        <v>0</v>
      </c>
      <c r="Z339" s="27"/>
      <c r="AA339" s="27"/>
      <c r="AB339" s="27"/>
      <c r="AC339" s="27"/>
      <c r="AD339" s="27"/>
      <c r="AE339" s="27"/>
      <c r="AF339" s="27"/>
      <c r="AG339" s="27"/>
      <c r="AH339" s="27">
        <f>IF(AND(V339=1,Control_Achizitii!$J339="DOSAR COMPLET",Control_Achizitii!$K339&lt;&gt;""),1,0)</f>
        <v>0</v>
      </c>
    </row>
    <row r="340" spans="1:34">
      <c r="A340" s="27"/>
      <c r="B340" s="27"/>
      <c r="C340" s="27"/>
      <c r="D340" s="27"/>
      <c r="E340" s="27"/>
      <c r="F340" s="27"/>
      <c r="G340" s="27"/>
      <c r="H340" s="27"/>
      <c r="I340" s="27"/>
      <c r="J340" s="27"/>
      <c r="K340" s="27"/>
      <c r="L340" s="27"/>
      <c r="M340" s="27"/>
      <c r="N340" s="27"/>
      <c r="O340" s="27"/>
      <c r="P340" s="27"/>
      <c r="Q340" s="27"/>
      <c r="R340" s="27"/>
      <c r="S340" s="27"/>
      <c r="T340" s="27">
        <f>IF(LEFT(Control_Achizitii!$E340,4)="Fact",1,0)</f>
        <v>0</v>
      </c>
      <c r="U340" s="27">
        <f>IF(Control_Achizitii!$C340="",0,IF(ISNUMBER(Control_Achizitii!$B340),0,1))</f>
        <v>0</v>
      </c>
      <c r="V340" s="27">
        <f>IF(Control_Achizitii!$C340="",0,IF($Z$2&lt;&gt;"OK",0,IF(AND(ISNUMBER(Control_Achizitii!$B340),Control_Achizitii!$B340&gt;=$E$5,Control_Achizitii!$B340&lt;$J$5+1,OR($O$5="Toate proiectele",Control_Achizitii!$Q340=$O$5)),1,0)))</f>
        <v>0</v>
      </c>
      <c r="W340" s="27">
        <f>IF(AND(V340=1,OR(Control_Achizitii!$J340&lt;&gt;"DOSAR COMPLET",Control_Achizitii!$K340&lt;&gt;"")),ROW(),1000000000)</f>
        <v>1000000000</v>
      </c>
      <c r="X340" s="27">
        <f>IF(AND(V340=1,LEFT(Control_Achizitii!$E340,4)="Fact",NOT(ISNUMBER(Control_Achizitii!$P340))),1,0)</f>
        <v>0</v>
      </c>
      <c r="Y340" s="27">
        <f>IF(V340=0,0,IF(Control_Achizitii!$J340="DOSAR COMPLET",1,IF(LEFT(Control_Achizitii!$J340,9)="INCOMPLET",2,3)))</f>
        <v>0</v>
      </c>
      <c r="Z340" s="27"/>
      <c r="AA340" s="27"/>
      <c r="AB340" s="27"/>
      <c r="AC340" s="27"/>
      <c r="AD340" s="27"/>
      <c r="AE340" s="27"/>
      <c r="AF340" s="27"/>
      <c r="AG340" s="27"/>
      <c r="AH340" s="27">
        <f>IF(AND(V340=1,Control_Achizitii!$J340="DOSAR COMPLET",Control_Achizitii!$K340&lt;&gt;""),1,0)</f>
        <v>0</v>
      </c>
    </row>
    <row r="341" spans="1:34">
      <c r="A341" s="27"/>
      <c r="B341" s="27"/>
      <c r="C341" s="27"/>
      <c r="D341" s="27"/>
      <c r="E341" s="27"/>
      <c r="F341" s="27"/>
      <c r="G341" s="27"/>
      <c r="H341" s="27"/>
      <c r="I341" s="27"/>
      <c r="J341" s="27"/>
      <c r="K341" s="27"/>
      <c r="L341" s="27"/>
      <c r="M341" s="27"/>
      <c r="N341" s="27"/>
      <c r="O341" s="27"/>
      <c r="P341" s="27"/>
      <c r="Q341" s="27"/>
      <c r="R341" s="27"/>
      <c r="S341" s="27"/>
      <c r="T341" s="27">
        <f>IF(LEFT(Control_Achizitii!$E341,4)="Fact",1,0)</f>
        <v>0</v>
      </c>
      <c r="U341" s="27">
        <f>IF(Control_Achizitii!$C341="",0,IF(ISNUMBER(Control_Achizitii!$B341),0,1))</f>
        <v>0</v>
      </c>
      <c r="V341" s="27">
        <f>IF(Control_Achizitii!$C341="",0,IF($Z$2&lt;&gt;"OK",0,IF(AND(ISNUMBER(Control_Achizitii!$B341),Control_Achizitii!$B341&gt;=$E$5,Control_Achizitii!$B341&lt;$J$5+1,OR($O$5="Toate proiectele",Control_Achizitii!$Q341=$O$5)),1,0)))</f>
        <v>0</v>
      </c>
      <c r="W341" s="27">
        <f>IF(AND(V341=1,OR(Control_Achizitii!$J341&lt;&gt;"DOSAR COMPLET",Control_Achizitii!$K341&lt;&gt;"")),ROW(),1000000000)</f>
        <v>1000000000</v>
      </c>
      <c r="X341" s="27">
        <f>IF(AND(V341=1,LEFT(Control_Achizitii!$E341,4)="Fact",NOT(ISNUMBER(Control_Achizitii!$P341))),1,0)</f>
        <v>0</v>
      </c>
      <c r="Y341" s="27">
        <f>IF(V341=0,0,IF(Control_Achizitii!$J341="DOSAR COMPLET",1,IF(LEFT(Control_Achizitii!$J341,9)="INCOMPLET",2,3)))</f>
        <v>0</v>
      </c>
      <c r="Z341" s="27"/>
      <c r="AA341" s="27"/>
      <c r="AB341" s="27"/>
      <c r="AC341" s="27"/>
      <c r="AD341" s="27"/>
      <c r="AE341" s="27"/>
      <c r="AF341" s="27"/>
      <c r="AG341" s="27"/>
      <c r="AH341" s="27">
        <f>IF(AND(V341=1,Control_Achizitii!$J341="DOSAR COMPLET",Control_Achizitii!$K341&lt;&gt;""),1,0)</f>
        <v>0</v>
      </c>
    </row>
    <row r="342" spans="1:34">
      <c r="A342" s="27"/>
      <c r="B342" s="27"/>
      <c r="C342" s="27"/>
      <c r="D342" s="27"/>
      <c r="E342" s="27"/>
      <c r="F342" s="27"/>
      <c r="G342" s="27"/>
      <c r="H342" s="27"/>
      <c r="I342" s="27"/>
      <c r="J342" s="27"/>
      <c r="K342" s="27"/>
      <c r="L342" s="27"/>
      <c r="M342" s="27"/>
      <c r="N342" s="27"/>
      <c r="O342" s="27"/>
      <c r="P342" s="27"/>
      <c r="Q342" s="27"/>
      <c r="R342" s="27"/>
      <c r="S342" s="27"/>
      <c r="T342" s="27">
        <f>IF(LEFT(Control_Achizitii!$E342,4)="Fact",1,0)</f>
        <v>0</v>
      </c>
      <c r="U342" s="27">
        <f>IF(Control_Achizitii!$C342="",0,IF(ISNUMBER(Control_Achizitii!$B342),0,1))</f>
        <v>0</v>
      </c>
      <c r="V342" s="27">
        <f>IF(Control_Achizitii!$C342="",0,IF($Z$2&lt;&gt;"OK",0,IF(AND(ISNUMBER(Control_Achizitii!$B342),Control_Achizitii!$B342&gt;=$E$5,Control_Achizitii!$B342&lt;$J$5+1,OR($O$5="Toate proiectele",Control_Achizitii!$Q342=$O$5)),1,0)))</f>
        <v>0</v>
      </c>
      <c r="W342" s="27">
        <f>IF(AND(V342=1,OR(Control_Achizitii!$J342&lt;&gt;"DOSAR COMPLET",Control_Achizitii!$K342&lt;&gt;"")),ROW(),1000000000)</f>
        <v>1000000000</v>
      </c>
      <c r="X342" s="27">
        <f>IF(AND(V342=1,LEFT(Control_Achizitii!$E342,4)="Fact",NOT(ISNUMBER(Control_Achizitii!$P342))),1,0)</f>
        <v>0</v>
      </c>
      <c r="Y342" s="27">
        <f>IF(V342=0,0,IF(Control_Achizitii!$J342="DOSAR COMPLET",1,IF(LEFT(Control_Achizitii!$J342,9)="INCOMPLET",2,3)))</f>
        <v>0</v>
      </c>
      <c r="Z342" s="27"/>
      <c r="AA342" s="27"/>
      <c r="AB342" s="27"/>
      <c r="AC342" s="27"/>
      <c r="AD342" s="27"/>
      <c r="AE342" s="27"/>
      <c r="AF342" s="27"/>
      <c r="AG342" s="27"/>
      <c r="AH342" s="27">
        <f>IF(AND(V342=1,Control_Achizitii!$J342="DOSAR COMPLET",Control_Achizitii!$K342&lt;&gt;""),1,0)</f>
        <v>0</v>
      </c>
    </row>
    <row r="343" spans="1:34">
      <c r="A343" s="27"/>
      <c r="B343" s="27"/>
      <c r="C343" s="27"/>
      <c r="D343" s="27"/>
      <c r="E343" s="27"/>
      <c r="F343" s="27"/>
      <c r="G343" s="27"/>
      <c r="H343" s="27"/>
      <c r="I343" s="27"/>
      <c r="J343" s="27"/>
      <c r="K343" s="27"/>
      <c r="L343" s="27"/>
      <c r="M343" s="27"/>
      <c r="N343" s="27"/>
      <c r="O343" s="27"/>
      <c r="P343" s="27"/>
      <c r="Q343" s="27"/>
      <c r="R343" s="27"/>
      <c r="S343" s="27"/>
      <c r="T343" s="27">
        <f>IF(LEFT(Control_Achizitii!$E343,4)="Fact",1,0)</f>
        <v>0</v>
      </c>
      <c r="U343" s="27">
        <f>IF(Control_Achizitii!$C343="",0,IF(ISNUMBER(Control_Achizitii!$B343),0,1))</f>
        <v>0</v>
      </c>
      <c r="V343" s="27">
        <f>IF(Control_Achizitii!$C343="",0,IF($Z$2&lt;&gt;"OK",0,IF(AND(ISNUMBER(Control_Achizitii!$B343),Control_Achizitii!$B343&gt;=$E$5,Control_Achizitii!$B343&lt;$J$5+1,OR($O$5="Toate proiectele",Control_Achizitii!$Q343=$O$5)),1,0)))</f>
        <v>0</v>
      </c>
      <c r="W343" s="27">
        <f>IF(AND(V343=1,OR(Control_Achizitii!$J343&lt;&gt;"DOSAR COMPLET",Control_Achizitii!$K343&lt;&gt;"")),ROW(),1000000000)</f>
        <v>1000000000</v>
      </c>
      <c r="X343" s="27">
        <f>IF(AND(V343=1,LEFT(Control_Achizitii!$E343,4)="Fact",NOT(ISNUMBER(Control_Achizitii!$P343))),1,0)</f>
        <v>0</v>
      </c>
      <c r="Y343" s="27">
        <f>IF(V343=0,0,IF(Control_Achizitii!$J343="DOSAR COMPLET",1,IF(LEFT(Control_Achizitii!$J343,9)="INCOMPLET",2,3)))</f>
        <v>0</v>
      </c>
      <c r="Z343" s="27"/>
      <c r="AA343" s="27"/>
      <c r="AB343" s="27"/>
      <c r="AC343" s="27"/>
      <c r="AD343" s="27"/>
      <c r="AE343" s="27"/>
      <c r="AF343" s="27"/>
      <c r="AG343" s="27"/>
      <c r="AH343" s="27">
        <f>IF(AND(V343=1,Control_Achizitii!$J343="DOSAR COMPLET",Control_Achizitii!$K343&lt;&gt;""),1,0)</f>
        <v>0</v>
      </c>
    </row>
    <row r="344" spans="1:34">
      <c r="A344" s="27"/>
      <c r="B344" s="27"/>
      <c r="C344" s="27"/>
      <c r="D344" s="27"/>
      <c r="E344" s="27"/>
      <c r="F344" s="27"/>
      <c r="G344" s="27"/>
      <c r="H344" s="27"/>
      <c r="I344" s="27"/>
      <c r="J344" s="27"/>
      <c r="K344" s="27"/>
      <c r="L344" s="27"/>
      <c r="M344" s="27"/>
      <c r="N344" s="27"/>
      <c r="O344" s="27"/>
      <c r="P344" s="27"/>
      <c r="Q344" s="27"/>
      <c r="R344" s="27"/>
      <c r="S344" s="27"/>
      <c r="T344" s="27">
        <f>IF(LEFT(Control_Achizitii!$E344,4)="Fact",1,0)</f>
        <v>0</v>
      </c>
      <c r="U344" s="27">
        <f>IF(Control_Achizitii!$C344="",0,IF(ISNUMBER(Control_Achizitii!$B344),0,1))</f>
        <v>0</v>
      </c>
      <c r="V344" s="27">
        <f>IF(Control_Achizitii!$C344="",0,IF($Z$2&lt;&gt;"OK",0,IF(AND(ISNUMBER(Control_Achizitii!$B344),Control_Achizitii!$B344&gt;=$E$5,Control_Achizitii!$B344&lt;$J$5+1,OR($O$5="Toate proiectele",Control_Achizitii!$Q344=$O$5)),1,0)))</f>
        <v>0</v>
      </c>
      <c r="W344" s="27">
        <f>IF(AND(V344=1,OR(Control_Achizitii!$J344&lt;&gt;"DOSAR COMPLET",Control_Achizitii!$K344&lt;&gt;"")),ROW(),1000000000)</f>
        <v>1000000000</v>
      </c>
      <c r="X344" s="27">
        <f>IF(AND(V344=1,LEFT(Control_Achizitii!$E344,4)="Fact",NOT(ISNUMBER(Control_Achizitii!$P344))),1,0)</f>
        <v>0</v>
      </c>
      <c r="Y344" s="27">
        <f>IF(V344=0,0,IF(Control_Achizitii!$J344="DOSAR COMPLET",1,IF(LEFT(Control_Achizitii!$J344,9)="INCOMPLET",2,3)))</f>
        <v>0</v>
      </c>
      <c r="Z344" s="27"/>
      <c r="AA344" s="27"/>
      <c r="AB344" s="27"/>
      <c r="AC344" s="27"/>
      <c r="AD344" s="27"/>
      <c r="AE344" s="27"/>
      <c r="AF344" s="27"/>
      <c r="AG344" s="27"/>
      <c r="AH344" s="27">
        <f>IF(AND(V344=1,Control_Achizitii!$J344="DOSAR COMPLET",Control_Achizitii!$K344&lt;&gt;""),1,0)</f>
        <v>0</v>
      </c>
    </row>
    <row r="345" spans="1:34">
      <c r="A345" s="27"/>
      <c r="B345" s="27"/>
      <c r="C345" s="27"/>
      <c r="D345" s="27"/>
      <c r="E345" s="27"/>
      <c r="F345" s="27"/>
      <c r="G345" s="27"/>
      <c r="H345" s="27"/>
      <c r="I345" s="27"/>
      <c r="J345" s="27"/>
      <c r="K345" s="27"/>
      <c r="L345" s="27"/>
      <c r="M345" s="27"/>
      <c r="N345" s="27"/>
      <c r="O345" s="27"/>
      <c r="P345" s="27"/>
      <c r="Q345" s="27"/>
      <c r="R345" s="27"/>
      <c r="S345" s="27"/>
      <c r="T345" s="27">
        <f>IF(LEFT(Control_Achizitii!$E345,4)="Fact",1,0)</f>
        <v>0</v>
      </c>
      <c r="U345" s="27">
        <f>IF(Control_Achizitii!$C345="",0,IF(ISNUMBER(Control_Achizitii!$B345),0,1))</f>
        <v>0</v>
      </c>
      <c r="V345" s="27">
        <f>IF(Control_Achizitii!$C345="",0,IF($Z$2&lt;&gt;"OK",0,IF(AND(ISNUMBER(Control_Achizitii!$B345),Control_Achizitii!$B345&gt;=$E$5,Control_Achizitii!$B345&lt;$J$5+1,OR($O$5="Toate proiectele",Control_Achizitii!$Q345=$O$5)),1,0)))</f>
        <v>0</v>
      </c>
      <c r="W345" s="27">
        <f>IF(AND(V345=1,OR(Control_Achizitii!$J345&lt;&gt;"DOSAR COMPLET",Control_Achizitii!$K345&lt;&gt;"")),ROW(),1000000000)</f>
        <v>1000000000</v>
      </c>
      <c r="X345" s="27">
        <f>IF(AND(V345=1,LEFT(Control_Achizitii!$E345,4)="Fact",NOT(ISNUMBER(Control_Achizitii!$P345))),1,0)</f>
        <v>0</v>
      </c>
      <c r="Y345" s="27">
        <f>IF(V345=0,0,IF(Control_Achizitii!$J345="DOSAR COMPLET",1,IF(LEFT(Control_Achizitii!$J345,9)="INCOMPLET",2,3)))</f>
        <v>0</v>
      </c>
      <c r="Z345" s="27"/>
      <c r="AA345" s="27"/>
      <c r="AB345" s="27"/>
      <c r="AC345" s="27"/>
      <c r="AD345" s="27"/>
      <c r="AE345" s="27"/>
      <c r="AF345" s="27"/>
      <c r="AG345" s="27"/>
      <c r="AH345" s="27">
        <f>IF(AND(V345=1,Control_Achizitii!$J345="DOSAR COMPLET",Control_Achizitii!$K345&lt;&gt;""),1,0)</f>
        <v>0</v>
      </c>
    </row>
    <row r="346" spans="1:34">
      <c r="A346" s="27"/>
      <c r="B346" s="27"/>
      <c r="C346" s="27"/>
      <c r="D346" s="27"/>
      <c r="E346" s="27"/>
      <c r="F346" s="27"/>
      <c r="G346" s="27"/>
      <c r="H346" s="27"/>
      <c r="I346" s="27"/>
      <c r="J346" s="27"/>
      <c r="K346" s="27"/>
      <c r="L346" s="27"/>
      <c r="M346" s="27"/>
      <c r="N346" s="27"/>
      <c r="O346" s="27"/>
      <c r="P346" s="27"/>
      <c r="Q346" s="27"/>
      <c r="R346" s="27"/>
      <c r="S346" s="27"/>
      <c r="T346" s="27">
        <f>IF(LEFT(Control_Achizitii!$E346,4)="Fact",1,0)</f>
        <v>0</v>
      </c>
      <c r="U346" s="27">
        <f>IF(Control_Achizitii!$C346="",0,IF(ISNUMBER(Control_Achizitii!$B346),0,1))</f>
        <v>0</v>
      </c>
      <c r="V346" s="27">
        <f>IF(Control_Achizitii!$C346="",0,IF($Z$2&lt;&gt;"OK",0,IF(AND(ISNUMBER(Control_Achizitii!$B346),Control_Achizitii!$B346&gt;=$E$5,Control_Achizitii!$B346&lt;$J$5+1,OR($O$5="Toate proiectele",Control_Achizitii!$Q346=$O$5)),1,0)))</f>
        <v>0</v>
      </c>
      <c r="W346" s="27">
        <f>IF(AND(V346=1,OR(Control_Achizitii!$J346&lt;&gt;"DOSAR COMPLET",Control_Achizitii!$K346&lt;&gt;"")),ROW(),1000000000)</f>
        <v>1000000000</v>
      </c>
      <c r="X346" s="27">
        <f>IF(AND(V346=1,LEFT(Control_Achizitii!$E346,4)="Fact",NOT(ISNUMBER(Control_Achizitii!$P346))),1,0)</f>
        <v>0</v>
      </c>
      <c r="Y346" s="27">
        <f>IF(V346=0,0,IF(Control_Achizitii!$J346="DOSAR COMPLET",1,IF(LEFT(Control_Achizitii!$J346,9)="INCOMPLET",2,3)))</f>
        <v>0</v>
      </c>
      <c r="Z346" s="27"/>
      <c r="AA346" s="27"/>
      <c r="AB346" s="27"/>
      <c r="AC346" s="27"/>
      <c r="AD346" s="27"/>
      <c r="AE346" s="27"/>
      <c r="AF346" s="27"/>
      <c r="AG346" s="27"/>
      <c r="AH346" s="27">
        <f>IF(AND(V346=1,Control_Achizitii!$J346="DOSAR COMPLET",Control_Achizitii!$K346&lt;&gt;""),1,0)</f>
        <v>0</v>
      </c>
    </row>
    <row r="347" spans="1:34">
      <c r="A347" s="27"/>
      <c r="B347" s="27"/>
      <c r="C347" s="27"/>
      <c r="D347" s="27"/>
      <c r="E347" s="27"/>
      <c r="F347" s="27"/>
      <c r="G347" s="27"/>
      <c r="H347" s="27"/>
      <c r="I347" s="27"/>
      <c r="J347" s="27"/>
      <c r="K347" s="27"/>
      <c r="L347" s="27"/>
      <c r="M347" s="27"/>
      <c r="N347" s="27"/>
      <c r="O347" s="27"/>
      <c r="P347" s="27"/>
      <c r="Q347" s="27"/>
      <c r="R347" s="27"/>
      <c r="S347" s="27"/>
      <c r="T347" s="27">
        <f>IF(LEFT(Control_Achizitii!$E347,4)="Fact",1,0)</f>
        <v>0</v>
      </c>
      <c r="U347" s="27">
        <f>IF(Control_Achizitii!$C347="",0,IF(ISNUMBER(Control_Achizitii!$B347),0,1))</f>
        <v>0</v>
      </c>
      <c r="V347" s="27">
        <f>IF(Control_Achizitii!$C347="",0,IF($Z$2&lt;&gt;"OK",0,IF(AND(ISNUMBER(Control_Achizitii!$B347),Control_Achizitii!$B347&gt;=$E$5,Control_Achizitii!$B347&lt;$J$5+1,OR($O$5="Toate proiectele",Control_Achizitii!$Q347=$O$5)),1,0)))</f>
        <v>0</v>
      </c>
      <c r="W347" s="27">
        <f>IF(AND(V347=1,OR(Control_Achizitii!$J347&lt;&gt;"DOSAR COMPLET",Control_Achizitii!$K347&lt;&gt;"")),ROW(),1000000000)</f>
        <v>1000000000</v>
      </c>
      <c r="X347" s="27">
        <f>IF(AND(V347=1,LEFT(Control_Achizitii!$E347,4)="Fact",NOT(ISNUMBER(Control_Achizitii!$P347))),1,0)</f>
        <v>0</v>
      </c>
      <c r="Y347" s="27">
        <f>IF(V347=0,0,IF(Control_Achizitii!$J347="DOSAR COMPLET",1,IF(LEFT(Control_Achizitii!$J347,9)="INCOMPLET",2,3)))</f>
        <v>0</v>
      </c>
      <c r="Z347" s="27"/>
      <c r="AA347" s="27"/>
      <c r="AB347" s="27"/>
      <c r="AC347" s="27"/>
      <c r="AD347" s="27"/>
      <c r="AE347" s="27"/>
      <c r="AF347" s="27"/>
      <c r="AG347" s="27"/>
      <c r="AH347" s="27">
        <f>IF(AND(V347=1,Control_Achizitii!$J347="DOSAR COMPLET",Control_Achizitii!$K347&lt;&gt;""),1,0)</f>
        <v>0</v>
      </c>
    </row>
    <row r="348" spans="1:34">
      <c r="A348" s="27"/>
      <c r="B348" s="27"/>
      <c r="C348" s="27"/>
      <c r="D348" s="27"/>
      <c r="E348" s="27"/>
      <c r="F348" s="27"/>
      <c r="G348" s="27"/>
      <c r="H348" s="27"/>
      <c r="I348" s="27"/>
      <c r="J348" s="27"/>
      <c r="K348" s="27"/>
      <c r="L348" s="27"/>
      <c r="M348" s="27"/>
      <c r="N348" s="27"/>
      <c r="O348" s="27"/>
      <c r="P348" s="27"/>
      <c r="Q348" s="27"/>
      <c r="R348" s="27"/>
      <c r="S348" s="27"/>
      <c r="T348" s="27">
        <f>IF(LEFT(Control_Achizitii!$E348,4)="Fact",1,0)</f>
        <v>0</v>
      </c>
      <c r="U348" s="27">
        <f>IF(Control_Achizitii!$C348="",0,IF(ISNUMBER(Control_Achizitii!$B348),0,1))</f>
        <v>0</v>
      </c>
      <c r="V348" s="27">
        <f>IF(Control_Achizitii!$C348="",0,IF($Z$2&lt;&gt;"OK",0,IF(AND(ISNUMBER(Control_Achizitii!$B348),Control_Achizitii!$B348&gt;=$E$5,Control_Achizitii!$B348&lt;$J$5+1,OR($O$5="Toate proiectele",Control_Achizitii!$Q348=$O$5)),1,0)))</f>
        <v>0</v>
      </c>
      <c r="W348" s="27">
        <f>IF(AND(V348=1,OR(Control_Achizitii!$J348&lt;&gt;"DOSAR COMPLET",Control_Achizitii!$K348&lt;&gt;"")),ROW(),1000000000)</f>
        <v>1000000000</v>
      </c>
      <c r="X348" s="27">
        <f>IF(AND(V348=1,LEFT(Control_Achizitii!$E348,4)="Fact",NOT(ISNUMBER(Control_Achizitii!$P348))),1,0)</f>
        <v>0</v>
      </c>
      <c r="Y348" s="27">
        <f>IF(V348=0,0,IF(Control_Achizitii!$J348="DOSAR COMPLET",1,IF(LEFT(Control_Achizitii!$J348,9)="INCOMPLET",2,3)))</f>
        <v>0</v>
      </c>
      <c r="Z348" s="27"/>
      <c r="AA348" s="27"/>
      <c r="AB348" s="27"/>
      <c r="AC348" s="27"/>
      <c r="AD348" s="27"/>
      <c r="AE348" s="27"/>
      <c r="AF348" s="27"/>
      <c r="AG348" s="27"/>
      <c r="AH348" s="27">
        <f>IF(AND(V348=1,Control_Achizitii!$J348="DOSAR COMPLET",Control_Achizitii!$K348&lt;&gt;""),1,0)</f>
        <v>0</v>
      </c>
    </row>
    <row r="349" spans="1:34">
      <c r="A349" s="27"/>
      <c r="B349" s="27"/>
      <c r="C349" s="27"/>
      <c r="D349" s="27"/>
      <c r="E349" s="27"/>
      <c r="F349" s="27"/>
      <c r="G349" s="27"/>
      <c r="H349" s="27"/>
      <c r="I349" s="27"/>
      <c r="J349" s="27"/>
      <c r="K349" s="27"/>
      <c r="L349" s="27"/>
      <c r="M349" s="27"/>
      <c r="N349" s="27"/>
      <c r="O349" s="27"/>
      <c r="P349" s="27"/>
      <c r="Q349" s="27"/>
      <c r="R349" s="27"/>
      <c r="S349" s="27"/>
      <c r="T349" s="27">
        <f>IF(LEFT(Control_Achizitii!$E349,4)="Fact",1,0)</f>
        <v>0</v>
      </c>
      <c r="U349" s="27">
        <f>IF(Control_Achizitii!$C349="",0,IF(ISNUMBER(Control_Achizitii!$B349),0,1))</f>
        <v>0</v>
      </c>
      <c r="V349" s="27">
        <f>IF(Control_Achizitii!$C349="",0,IF($Z$2&lt;&gt;"OK",0,IF(AND(ISNUMBER(Control_Achizitii!$B349),Control_Achizitii!$B349&gt;=$E$5,Control_Achizitii!$B349&lt;$J$5+1,OR($O$5="Toate proiectele",Control_Achizitii!$Q349=$O$5)),1,0)))</f>
        <v>0</v>
      </c>
      <c r="W349" s="27">
        <f>IF(AND(V349=1,OR(Control_Achizitii!$J349&lt;&gt;"DOSAR COMPLET",Control_Achizitii!$K349&lt;&gt;"")),ROW(),1000000000)</f>
        <v>1000000000</v>
      </c>
      <c r="X349" s="27">
        <f>IF(AND(V349=1,LEFT(Control_Achizitii!$E349,4)="Fact",NOT(ISNUMBER(Control_Achizitii!$P349))),1,0)</f>
        <v>0</v>
      </c>
      <c r="Y349" s="27">
        <f>IF(V349=0,0,IF(Control_Achizitii!$J349="DOSAR COMPLET",1,IF(LEFT(Control_Achizitii!$J349,9)="INCOMPLET",2,3)))</f>
        <v>0</v>
      </c>
      <c r="Z349" s="27"/>
      <c r="AA349" s="27"/>
      <c r="AB349" s="27"/>
      <c r="AC349" s="27"/>
      <c r="AD349" s="27"/>
      <c r="AE349" s="27"/>
      <c r="AF349" s="27"/>
      <c r="AG349" s="27"/>
      <c r="AH349" s="27">
        <f>IF(AND(V349=1,Control_Achizitii!$J349="DOSAR COMPLET",Control_Achizitii!$K349&lt;&gt;""),1,0)</f>
        <v>0</v>
      </c>
    </row>
    <row r="350" spans="1:34">
      <c r="A350" s="27"/>
      <c r="B350" s="27"/>
      <c r="C350" s="27"/>
      <c r="D350" s="27"/>
      <c r="E350" s="27"/>
      <c r="F350" s="27"/>
      <c r="G350" s="27"/>
      <c r="H350" s="27"/>
      <c r="I350" s="27"/>
      <c r="J350" s="27"/>
      <c r="K350" s="27"/>
      <c r="L350" s="27"/>
      <c r="M350" s="27"/>
      <c r="N350" s="27"/>
      <c r="O350" s="27"/>
      <c r="P350" s="27"/>
      <c r="Q350" s="27"/>
      <c r="R350" s="27"/>
      <c r="S350" s="27"/>
      <c r="T350" s="27">
        <f>IF(LEFT(Control_Achizitii!$E350,4)="Fact",1,0)</f>
        <v>0</v>
      </c>
      <c r="U350" s="27">
        <f>IF(Control_Achizitii!$C350="",0,IF(ISNUMBER(Control_Achizitii!$B350),0,1))</f>
        <v>0</v>
      </c>
      <c r="V350" s="27">
        <f>IF(Control_Achizitii!$C350="",0,IF($Z$2&lt;&gt;"OK",0,IF(AND(ISNUMBER(Control_Achizitii!$B350),Control_Achizitii!$B350&gt;=$E$5,Control_Achizitii!$B350&lt;$J$5+1,OR($O$5="Toate proiectele",Control_Achizitii!$Q350=$O$5)),1,0)))</f>
        <v>0</v>
      </c>
      <c r="W350" s="27">
        <f>IF(AND(V350=1,OR(Control_Achizitii!$J350&lt;&gt;"DOSAR COMPLET",Control_Achizitii!$K350&lt;&gt;"")),ROW(),1000000000)</f>
        <v>1000000000</v>
      </c>
      <c r="X350" s="27">
        <f>IF(AND(V350=1,LEFT(Control_Achizitii!$E350,4)="Fact",NOT(ISNUMBER(Control_Achizitii!$P350))),1,0)</f>
        <v>0</v>
      </c>
      <c r="Y350" s="27">
        <f>IF(V350=0,0,IF(Control_Achizitii!$J350="DOSAR COMPLET",1,IF(LEFT(Control_Achizitii!$J350,9)="INCOMPLET",2,3)))</f>
        <v>0</v>
      </c>
      <c r="Z350" s="27"/>
      <c r="AA350" s="27"/>
      <c r="AB350" s="27"/>
      <c r="AC350" s="27"/>
      <c r="AD350" s="27"/>
      <c r="AE350" s="27"/>
      <c r="AF350" s="27"/>
      <c r="AG350" s="27"/>
      <c r="AH350" s="27">
        <f>IF(AND(V350=1,Control_Achizitii!$J350="DOSAR COMPLET",Control_Achizitii!$K350&lt;&gt;""),1,0)</f>
        <v>0</v>
      </c>
    </row>
    <row r="351" spans="1:34">
      <c r="A351" s="27"/>
      <c r="B351" s="27"/>
      <c r="C351" s="27"/>
      <c r="D351" s="27"/>
      <c r="E351" s="27"/>
      <c r="F351" s="27"/>
      <c r="G351" s="27"/>
      <c r="H351" s="27"/>
      <c r="I351" s="27"/>
      <c r="J351" s="27"/>
      <c r="K351" s="27"/>
      <c r="L351" s="27"/>
      <c r="M351" s="27"/>
      <c r="N351" s="27"/>
      <c r="O351" s="27"/>
      <c r="P351" s="27"/>
      <c r="Q351" s="27"/>
      <c r="R351" s="27"/>
      <c r="S351" s="27"/>
      <c r="T351" s="27">
        <f>IF(LEFT(Control_Achizitii!$E351,4)="Fact",1,0)</f>
        <v>0</v>
      </c>
      <c r="U351" s="27">
        <f>IF(Control_Achizitii!$C351="",0,IF(ISNUMBER(Control_Achizitii!$B351),0,1))</f>
        <v>0</v>
      </c>
      <c r="V351" s="27">
        <f>IF(Control_Achizitii!$C351="",0,IF($Z$2&lt;&gt;"OK",0,IF(AND(ISNUMBER(Control_Achizitii!$B351),Control_Achizitii!$B351&gt;=$E$5,Control_Achizitii!$B351&lt;$J$5+1,OR($O$5="Toate proiectele",Control_Achizitii!$Q351=$O$5)),1,0)))</f>
        <v>0</v>
      </c>
      <c r="W351" s="27">
        <f>IF(AND(V351=1,OR(Control_Achizitii!$J351&lt;&gt;"DOSAR COMPLET",Control_Achizitii!$K351&lt;&gt;"")),ROW(),1000000000)</f>
        <v>1000000000</v>
      </c>
      <c r="X351" s="27">
        <f>IF(AND(V351=1,LEFT(Control_Achizitii!$E351,4)="Fact",NOT(ISNUMBER(Control_Achizitii!$P351))),1,0)</f>
        <v>0</v>
      </c>
      <c r="Y351" s="27">
        <f>IF(V351=0,0,IF(Control_Achizitii!$J351="DOSAR COMPLET",1,IF(LEFT(Control_Achizitii!$J351,9)="INCOMPLET",2,3)))</f>
        <v>0</v>
      </c>
      <c r="Z351" s="27"/>
      <c r="AA351" s="27"/>
      <c r="AB351" s="27"/>
      <c r="AC351" s="27"/>
      <c r="AD351" s="27"/>
      <c r="AE351" s="27"/>
      <c r="AF351" s="27"/>
      <c r="AG351" s="27"/>
      <c r="AH351" s="27">
        <f>IF(AND(V351=1,Control_Achizitii!$J351="DOSAR COMPLET",Control_Achizitii!$K351&lt;&gt;""),1,0)</f>
        <v>0</v>
      </c>
    </row>
    <row r="352" spans="1:34">
      <c r="A352" s="27"/>
      <c r="B352" s="27"/>
      <c r="C352" s="27"/>
      <c r="D352" s="27"/>
      <c r="E352" s="27"/>
      <c r="F352" s="27"/>
      <c r="G352" s="27"/>
      <c r="H352" s="27"/>
      <c r="I352" s="27"/>
      <c r="J352" s="27"/>
      <c r="K352" s="27"/>
      <c r="L352" s="27"/>
      <c r="M352" s="27"/>
      <c r="N352" s="27"/>
      <c r="O352" s="27"/>
      <c r="P352" s="27"/>
      <c r="Q352" s="27"/>
      <c r="R352" s="27"/>
      <c r="S352" s="27"/>
      <c r="T352" s="27">
        <f>IF(LEFT(Control_Achizitii!$E352,4)="Fact",1,0)</f>
        <v>0</v>
      </c>
      <c r="U352" s="27">
        <f>IF(Control_Achizitii!$C352="",0,IF(ISNUMBER(Control_Achizitii!$B352),0,1))</f>
        <v>0</v>
      </c>
      <c r="V352" s="27">
        <f>IF(Control_Achizitii!$C352="",0,IF($Z$2&lt;&gt;"OK",0,IF(AND(ISNUMBER(Control_Achizitii!$B352),Control_Achizitii!$B352&gt;=$E$5,Control_Achizitii!$B352&lt;$J$5+1,OR($O$5="Toate proiectele",Control_Achizitii!$Q352=$O$5)),1,0)))</f>
        <v>0</v>
      </c>
      <c r="W352" s="27">
        <f>IF(AND(V352=1,OR(Control_Achizitii!$J352&lt;&gt;"DOSAR COMPLET",Control_Achizitii!$K352&lt;&gt;"")),ROW(),1000000000)</f>
        <v>1000000000</v>
      </c>
      <c r="X352" s="27">
        <f>IF(AND(V352=1,LEFT(Control_Achizitii!$E352,4)="Fact",NOT(ISNUMBER(Control_Achizitii!$P352))),1,0)</f>
        <v>0</v>
      </c>
      <c r="Y352" s="27">
        <f>IF(V352=0,0,IF(Control_Achizitii!$J352="DOSAR COMPLET",1,IF(LEFT(Control_Achizitii!$J352,9)="INCOMPLET",2,3)))</f>
        <v>0</v>
      </c>
      <c r="Z352" s="27"/>
      <c r="AA352" s="27"/>
      <c r="AB352" s="27"/>
      <c r="AC352" s="27"/>
      <c r="AD352" s="27"/>
      <c r="AE352" s="27"/>
      <c r="AF352" s="27"/>
      <c r="AG352" s="27"/>
      <c r="AH352" s="27">
        <f>IF(AND(V352=1,Control_Achizitii!$J352="DOSAR COMPLET",Control_Achizitii!$K352&lt;&gt;""),1,0)</f>
        <v>0</v>
      </c>
    </row>
    <row r="353" spans="1:34">
      <c r="A353" s="27"/>
      <c r="B353" s="27"/>
      <c r="C353" s="27"/>
      <c r="D353" s="27"/>
      <c r="E353" s="27"/>
      <c r="F353" s="27"/>
      <c r="G353" s="27"/>
      <c r="H353" s="27"/>
      <c r="I353" s="27"/>
      <c r="J353" s="27"/>
      <c r="K353" s="27"/>
      <c r="L353" s="27"/>
      <c r="M353" s="27"/>
      <c r="N353" s="27"/>
      <c r="O353" s="27"/>
      <c r="P353" s="27"/>
      <c r="Q353" s="27"/>
      <c r="R353" s="27"/>
      <c r="S353" s="27"/>
      <c r="T353" s="27">
        <f>IF(LEFT(Control_Achizitii!$E353,4)="Fact",1,0)</f>
        <v>0</v>
      </c>
      <c r="U353" s="27">
        <f>IF(Control_Achizitii!$C353="",0,IF(ISNUMBER(Control_Achizitii!$B353),0,1))</f>
        <v>0</v>
      </c>
      <c r="V353" s="27">
        <f>IF(Control_Achizitii!$C353="",0,IF($Z$2&lt;&gt;"OK",0,IF(AND(ISNUMBER(Control_Achizitii!$B353),Control_Achizitii!$B353&gt;=$E$5,Control_Achizitii!$B353&lt;$J$5+1,OR($O$5="Toate proiectele",Control_Achizitii!$Q353=$O$5)),1,0)))</f>
        <v>0</v>
      </c>
      <c r="W353" s="27">
        <f>IF(AND(V353=1,OR(Control_Achizitii!$J353&lt;&gt;"DOSAR COMPLET",Control_Achizitii!$K353&lt;&gt;"")),ROW(),1000000000)</f>
        <v>1000000000</v>
      </c>
      <c r="X353" s="27">
        <f>IF(AND(V353=1,LEFT(Control_Achizitii!$E353,4)="Fact",NOT(ISNUMBER(Control_Achizitii!$P353))),1,0)</f>
        <v>0</v>
      </c>
      <c r="Y353" s="27">
        <f>IF(V353=0,0,IF(Control_Achizitii!$J353="DOSAR COMPLET",1,IF(LEFT(Control_Achizitii!$J353,9)="INCOMPLET",2,3)))</f>
        <v>0</v>
      </c>
      <c r="Z353" s="27"/>
      <c r="AA353" s="27"/>
      <c r="AB353" s="27"/>
      <c r="AC353" s="27"/>
      <c r="AD353" s="27"/>
      <c r="AE353" s="27"/>
      <c r="AF353" s="27"/>
      <c r="AG353" s="27"/>
      <c r="AH353" s="27">
        <f>IF(AND(V353=1,Control_Achizitii!$J353="DOSAR COMPLET",Control_Achizitii!$K353&lt;&gt;""),1,0)</f>
        <v>0</v>
      </c>
    </row>
    <row r="354" spans="1:34">
      <c r="A354" s="27"/>
      <c r="B354" s="27"/>
      <c r="C354" s="27"/>
      <c r="D354" s="27"/>
      <c r="E354" s="27"/>
      <c r="F354" s="27"/>
      <c r="G354" s="27"/>
      <c r="H354" s="27"/>
      <c r="I354" s="27"/>
      <c r="J354" s="27"/>
      <c r="K354" s="27"/>
      <c r="L354" s="27"/>
      <c r="M354" s="27"/>
      <c r="N354" s="27"/>
      <c r="O354" s="27"/>
      <c r="P354" s="27"/>
      <c r="Q354" s="27"/>
      <c r="R354" s="27"/>
      <c r="S354" s="27"/>
      <c r="T354" s="27">
        <f>IF(LEFT(Control_Achizitii!$E354,4)="Fact",1,0)</f>
        <v>0</v>
      </c>
      <c r="U354" s="27">
        <f>IF(Control_Achizitii!$C354="",0,IF(ISNUMBER(Control_Achizitii!$B354),0,1))</f>
        <v>0</v>
      </c>
      <c r="V354" s="27">
        <f>IF(Control_Achizitii!$C354="",0,IF($Z$2&lt;&gt;"OK",0,IF(AND(ISNUMBER(Control_Achizitii!$B354),Control_Achizitii!$B354&gt;=$E$5,Control_Achizitii!$B354&lt;$J$5+1,OR($O$5="Toate proiectele",Control_Achizitii!$Q354=$O$5)),1,0)))</f>
        <v>0</v>
      </c>
      <c r="W354" s="27">
        <f>IF(AND(V354=1,OR(Control_Achizitii!$J354&lt;&gt;"DOSAR COMPLET",Control_Achizitii!$K354&lt;&gt;"")),ROW(),1000000000)</f>
        <v>1000000000</v>
      </c>
      <c r="X354" s="27">
        <f>IF(AND(V354=1,LEFT(Control_Achizitii!$E354,4)="Fact",NOT(ISNUMBER(Control_Achizitii!$P354))),1,0)</f>
        <v>0</v>
      </c>
      <c r="Y354" s="27">
        <f>IF(V354=0,0,IF(Control_Achizitii!$J354="DOSAR COMPLET",1,IF(LEFT(Control_Achizitii!$J354,9)="INCOMPLET",2,3)))</f>
        <v>0</v>
      </c>
      <c r="Z354" s="27"/>
      <c r="AA354" s="27"/>
      <c r="AB354" s="27"/>
      <c r="AC354" s="27"/>
      <c r="AD354" s="27"/>
      <c r="AE354" s="27"/>
      <c r="AF354" s="27"/>
      <c r="AG354" s="27"/>
      <c r="AH354" s="27">
        <f>IF(AND(V354=1,Control_Achizitii!$J354="DOSAR COMPLET",Control_Achizitii!$K354&lt;&gt;""),1,0)</f>
        <v>0</v>
      </c>
    </row>
    <row r="355" spans="1:34">
      <c r="A355" s="27"/>
      <c r="B355" s="27"/>
      <c r="C355" s="27"/>
      <c r="D355" s="27"/>
      <c r="E355" s="27"/>
      <c r="F355" s="27"/>
      <c r="G355" s="27"/>
      <c r="H355" s="27"/>
      <c r="I355" s="27"/>
      <c r="J355" s="27"/>
      <c r="K355" s="27"/>
      <c r="L355" s="27"/>
      <c r="M355" s="27"/>
      <c r="N355" s="27"/>
      <c r="O355" s="27"/>
      <c r="P355" s="27"/>
      <c r="Q355" s="27"/>
      <c r="R355" s="27"/>
      <c r="S355" s="27"/>
      <c r="T355" s="27">
        <f>IF(LEFT(Control_Achizitii!$E355,4)="Fact",1,0)</f>
        <v>0</v>
      </c>
      <c r="U355" s="27">
        <f>IF(Control_Achizitii!$C355="",0,IF(ISNUMBER(Control_Achizitii!$B355),0,1))</f>
        <v>0</v>
      </c>
      <c r="V355" s="27">
        <f>IF(Control_Achizitii!$C355="",0,IF($Z$2&lt;&gt;"OK",0,IF(AND(ISNUMBER(Control_Achizitii!$B355),Control_Achizitii!$B355&gt;=$E$5,Control_Achizitii!$B355&lt;$J$5+1,OR($O$5="Toate proiectele",Control_Achizitii!$Q355=$O$5)),1,0)))</f>
        <v>0</v>
      </c>
      <c r="W355" s="27">
        <f>IF(AND(V355=1,OR(Control_Achizitii!$J355&lt;&gt;"DOSAR COMPLET",Control_Achizitii!$K355&lt;&gt;"")),ROW(),1000000000)</f>
        <v>1000000000</v>
      </c>
      <c r="X355" s="27">
        <f>IF(AND(V355=1,LEFT(Control_Achizitii!$E355,4)="Fact",NOT(ISNUMBER(Control_Achizitii!$P355))),1,0)</f>
        <v>0</v>
      </c>
      <c r="Y355" s="27">
        <f>IF(V355=0,0,IF(Control_Achizitii!$J355="DOSAR COMPLET",1,IF(LEFT(Control_Achizitii!$J355,9)="INCOMPLET",2,3)))</f>
        <v>0</v>
      </c>
      <c r="Z355" s="27"/>
      <c r="AA355" s="27"/>
      <c r="AB355" s="27"/>
      <c r="AC355" s="27"/>
      <c r="AD355" s="27"/>
      <c r="AE355" s="27"/>
      <c r="AF355" s="27"/>
      <c r="AG355" s="27"/>
      <c r="AH355" s="27">
        <f>IF(AND(V355=1,Control_Achizitii!$J355="DOSAR COMPLET",Control_Achizitii!$K355&lt;&gt;""),1,0)</f>
        <v>0</v>
      </c>
    </row>
    <row r="356" spans="1:34">
      <c r="A356" s="27"/>
      <c r="B356" s="27"/>
      <c r="C356" s="27"/>
      <c r="D356" s="27"/>
      <c r="E356" s="27"/>
      <c r="F356" s="27"/>
      <c r="G356" s="27"/>
      <c r="H356" s="27"/>
      <c r="I356" s="27"/>
      <c r="J356" s="27"/>
      <c r="K356" s="27"/>
      <c r="L356" s="27"/>
      <c r="M356" s="27"/>
      <c r="N356" s="27"/>
      <c r="O356" s="27"/>
      <c r="P356" s="27"/>
      <c r="Q356" s="27"/>
      <c r="R356" s="27"/>
      <c r="S356" s="27"/>
      <c r="T356" s="27">
        <f>IF(LEFT(Control_Achizitii!$E356,4)="Fact",1,0)</f>
        <v>0</v>
      </c>
      <c r="U356" s="27">
        <f>IF(Control_Achizitii!$C356="",0,IF(ISNUMBER(Control_Achizitii!$B356),0,1))</f>
        <v>0</v>
      </c>
      <c r="V356" s="27">
        <f>IF(Control_Achizitii!$C356="",0,IF($Z$2&lt;&gt;"OK",0,IF(AND(ISNUMBER(Control_Achizitii!$B356),Control_Achizitii!$B356&gt;=$E$5,Control_Achizitii!$B356&lt;$J$5+1,OR($O$5="Toate proiectele",Control_Achizitii!$Q356=$O$5)),1,0)))</f>
        <v>0</v>
      </c>
      <c r="W356" s="27">
        <f>IF(AND(V356=1,OR(Control_Achizitii!$J356&lt;&gt;"DOSAR COMPLET",Control_Achizitii!$K356&lt;&gt;"")),ROW(),1000000000)</f>
        <v>1000000000</v>
      </c>
      <c r="X356" s="27">
        <f>IF(AND(V356=1,LEFT(Control_Achizitii!$E356,4)="Fact",NOT(ISNUMBER(Control_Achizitii!$P356))),1,0)</f>
        <v>0</v>
      </c>
      <c r="Y356" s="27">
        <f>IF(V356=0,0,IF(Control_Achizitii!$J356="DOSAR COMPLET",1,IF(LEFT(Control_Achizitii!$J356,9)="INCOMPLET",2,3)))</f>
        <v>0</v>
      </c>
      <c r="Z356" s="27"/>
      <c r="AA356" s="27"/>
      <c r="AB356" s="27"/>
      <c r="AC356" s="27"/>
      <c r="AD356" s="27"/>
      <c r="AE356" s="27"/>
      <c r="AF356" s="27"/>
      <c r="AG356" s="27"/>
      <c r="AH356" s="27">
        <f>IF(AND(V356=1,Control_Achizitii!$J356="DOSAR COMPLET",Control_Achizitii!$K356&lt;&gt;""),1,0)</f>
        <v>0</v>
      </c>
    </row>
    <row r="357" spans="1:34">
      <c r="A357" s="27"/>
      <c r="B357" s="27"/>
      <c r="C357" s="27"/>
      <c r="D357" s="27"/>
      <c r="E357" s="27"/>
      <c r="F357" s="27"/>
      <c r="G357" s="27"/>
      <c r="H357" s="27"/>
      <c r="I357" s="27"/>
      <c r="J357" s="27"/>
      <c r="K357" s="27"/>
      <c r="L357" s="27"/>
      <c r="M357" s="27"/>
      <c r="N357" s="27"/>
      <c r="O357" s="27"/>
      <c r="P357" s="27"/>
      <c r="Q357" s="27"/>
      <c r="R357" s="27"/>
      <c r="S357" s="27"/>
      <c r="T357" s="27">
        <f>IF(LEFT(Control_Achizitii!$E357,4)="Fact",1,0)</f>
        <v>0</v>
      </c>
      <c r="U357" s="27">
        <f>IF(Control_Achizitii!$C357="",0,IF(ISNUMBER(Control_Achizitii!$B357),0,1))</f>
        <v>0</v>
      </c>
      <c r="V357" s="27">
        <f>IF(Control_Achizitii!$C357="",0,IF($Z$2&lt;&gt;"OK",0,IF(AND(ISNUMBER(Control_Achizitii!$B357),Control_Achizitii!$B357&gt;=$E$5,Control_Achizitii!$B357&lt;$J$5+1,OR($O$5="Toate proiectele",Control_Achizitii!$Q357=$O$5)),1,0)))</f>
        <v>0</v>
      </c>
      <c r="W357" s="27">
        <f>IF(AND(V357=1,OR(Control_Achizitii!$J357&lt;&gt;"DOSAR COMPLET",Control_Achizitii!$K357&lt;&gt;"")),ROW(),1000000000)</f>
        <v>1000000000</v>
      </c>
      <c r="X357" s="27">
        <f>IF(AND(V357=1,LEFT(Control_Achizitii!$E357,4)="Fact",NOT(ISNUMBER(Control_Achizitii!$P357))),1,0)</f>
        <v>0</v>
      </c>
      <c r="Y357" s="27">
        <f>IF(V357=0,0,IF(Control_Achizitii!$J357="DOSAR COMPLET",1,IF(LEFT(Control_Achizitii!$J357,9)="INCOMPLET",2,3)))</f>
        <v>0</v>
      </c>
      <c r="Z357" s="27"/>
      <c r="AA357" s="27"/>
      <c r="AB357" s="27"/>
      <c r="AC357" s="27"/>
      <c r="AD357" s="27"/>
      <c r="AE357" s="27"/>
      <c r="AF357" s="27"/>
      <c r="AG357" s="27"/>
      <c r="AH357" s="27">
        <f>IF(AND(V357=1,Control_Achizitii!$J357="DOSAR COMPLET",Control_Achizitii!$K357&lt;&gt;""),1,0)</f>
        <v>0</v>
      </c>
    </row>
    <row r="358" spans="1:34">
      <c r="A358" s="27"/>
      <c r="B358" s="27"/>
      <c r="C358" s="27"/>
      <c r="D358" s="27"/>
      <c r="E358" s="27"/>
      <c r="F358" s="27"/>
      <c r="G358" s="27"/>
      <c r="H358" s="27"/>
      <c r="I358" s="27"/>
      <c r="J358" s="27"/>
      <c r="K358" s="27"/>
      <c r="L358" s="27"/>
      <c r="M358" s="27"/>
      <c r="N358" s="27"/>
      <c r="O358" s="27"/>
      <c r="P358" s="27"/>
      <c r="Q358" s="27"/>
      <c r="R358" s="27"/>
      <c r="S358" s="27"/>
      <c r="T358" s="27">
        <f>IF(LEFT(Control_Achizitii!$E358,4)="Fact",1,0)</f>
        <v>0</v>
      </c>
      <c r="U358" s="27">
        <f>IF(Control_Achizitii!$C358="",0,IF(ISNUMBER(Control_Achizitii!$B358),0,1))</f>
        <v>0</v>
      </c>
      <c r="V358" s="27">
        <f>IF(Control_Achizitii!$C358="",0,IF($Z$2&lt;&gt;"OK",0,IF(AND(ISNUMBER(Control_Achizitii!$B358),Control_Achizitii!$B358&gt;=$E$5,Control_Achizitii!$B358&lt;$J$5+1,OR($O$5="Toate proiectele",Control_Achizitii!$Q358=$O$5)),1,0)))</f>
        <v>0</v>
      </c>
      <c r="W358" s="27">
        <f>IF(AND(V358=1,OR(Control_Achizitii!$J358&lt;&gt;"DOSAR COMPLET",Control_Achizitii!$K358&lt;&gt;"")),ROW(),1000000000)</f>
        <v>1000000000</v>
      </c>
      <c r="X358" s="27">
        <f>IF(AND(V358=1,LEFT(Control_Achizitii!$E358,4)="Fact",NOT(ISNUMBER(Control_Achizitii!$P358))),1,0)</f>
        <v>0</v>
      </c>
      <c r="Y358" s="27">
        <f>IF(V358=0,0,IF(Control_Achizitii!$J358="DOSAR COMPLET",1,IF(LEFT(Control_Achizitii!$J358,9)="INCOMPLET",2,3)))</f>
        <v>0</v>
      </c>
      <c r="Z358" s="27"/>
      <c r="AA358" s="27"/>
      <c r="AB358" s="27"/>
      <c r="AC358" s="27"/>
      <c r="AD358" s="27"/>
      <c r="AE358" s="27"/>
      <c r="AF358" s="27"/>
      <c r="AG358" s="27"/>
      <c r="AH358" s="27">
        <f>IF(AND(V358=1,Control_Achizitii!$J358="DOSAR COMPLET",Control_Achizitii!$K358&lt;&gt;""),1,0)</f>
        <v>0</v>
      </c>
    </row>
    <row r="359" spans="1:34">
      <c r="A359" s="27"/>
      <c r="B359" s="27"/>
      <c r="C359" s="27"/>
      <c r="D359" s="27"/>
      <c r="E359" s="27"/>
      <c r="F359" s="27"/>
      <c r="G359" s="27"/>
      <c r="H359" s="27"/>
      <c r="I359" s="27"/>
      <c r="J359" s="27"/>
      <c r="K359" s="27"/>
      <c r="L359" s="27"/>
      <c r="M359" s="27"/>
      <c r="N359" s="27"/>
      <c r="O359" s="27"/>
      <c r="P359" s="27"/>
      <c r="Q359" s="27"/>
      <c r="R359" s="27"/>
      <c r="S359" s="27"/>
      <c r="T359" s="27">
        <f>IF(LEFT(Control_Achizitii!$E359,4)="Fact",1,0)</f>
        <v>0</v>
      </c>
      <c r="U359" s="27">
        <f>IF(Control_Achizitii!$C359="",0,IF(ISNUMBER(Control_Achizitii!$B359),0,1))</f>
        <v>0</v>
      </c>
      <c r="V359" s="27">
        <f>IF(Control_Achizitii!$C359="",0,IF($Z$2&lt;&gt;"OK",0,IF(AND(ISNUMBER(Control_Achizitii!$B359),Control_Achizitii!$B359&gt;=$E$5,Control_Achizitii!$B359&lt;$J$5+1,OR($O$5="Toate proiectele",Control_Achizitii!$Q359=$O$5)),1,0)))</f>
        <v>0</v>
      </c>
      <c r="W359" s="27">
        <f>IF(AND(V359=1,OR(Control_Achizitii!$J359&lt;&gt;"DOSAR COMPLET",Control_Achizitii!$K359&lt;&gt;"")),ROW(),1000000000)</f>
        <v>1000000000</v>
      </c>
      <c r="X359" s="27">
        <f>IF(AND(V359=1,LEFT(Control_Achizitii!$E359,4)="Fact",NOT(ISNUMBER(Control_Achizitii!$P359))),1,0)</f>
        <v>0</v>
      </c>
      <c r="Y359" s="27">
        <f>IF(V359=0,0,IF(Control_Achizitii!$J359="DOSAR COMPLET",1,IF(LEFT(Control_Achizitii!$J359,9)="INCOMPLET",2,3)))</f>
        <v>0</v>
      </c>
      <c r="Z359" s="27"/>
      <c r="AA359" s="27"/>
      <c r="AB359" s="27"/>
      <c r="AC359" s="27"/>
      <c r="AD359" s="27"/>
      <c r="AE359" s="27"/>
      <c r="AF359" s="27"/>
      <c r="AG359" s="27"/>
      <c r="AH359" s="27">
        <f>IF(AND(V359=1,Control_Achizitii!$J359="DOSAR COMPLET",Control_Achizitii!$K359&lt;&gt;""),1,0)</f>
        <v>0</v>
      </c>
    </row>
    <row r="360" spans="1:34">
      <c r="A360" s="27"/>
      <c r="B360" s="27"/>
      <c r="C360" s="27"/>
      <c r="D360" s="27"/>
      <c r="E360" s="27"/>
      <c r="F360" s="27"/>
      <c r="G360" s="27"/>
      <c r="H360" s="27"/>
      <c r="I360" s="27"/>
      <c r="J360" s="27"/>
      <c r="K360" s="27"/>
      <c r="L360" s="27"/>
      <c r="M360" s="27"/>
      <c r="N360" s="27"/>
      <c r="O360" s="27"/>
      <c r="P360" s="27"/>
      <c r="Q360" s="27"/>
      <c r="R360" s="27"/>
      <c r="S360" s="27"/>
      <c r="T360" s="27">
        <f>IF(LEFT(Control_Achizitii!$E360,4)="Fact",1,0)</f>
        <v>0</v>
      </c>
      <c r="U360" s="27">
        <f>IF(Control_Achizitii!$C360="",0,IF(ISNUMBER(Control_Achizitii!$B360),0,1))</f>
        <v>0</v>
      </c>
      <c r="V360" s="27">
        <f>IF(Control_Achizitii!$C360="",0,IF($Z$2&lt;&gt;"OK",0,IF(AND(ISNUMBER(Control_Achizitii!$B360),Control_Achizitii!$B360&gt;=$E$5,Control_Achizitii!$B360&lt;$J$5+1,OR($O$5="Toate proiectele",Control_Achizitii!$Q360=$O$5)),1,0)))</f>
        <v>0</v>
      </c>
      <c r="W360" s="27">
        <f>IF(AND(V360=1,OR(Control_Achizitii!$J360&lt;&gt;"DOSAR COMPLET",Control_Achizitii!$K360&lt;&gt;"")),ROW(),1000000000)</f>
        <v>1000000000</v>
      </c>
      <c r="X360" s="27">
        <f>IF(AND(V360=1,LEFT(Control_Achizitii!$E360,4)="Fact",NOT(ISNUMBER(Control_Achizitii!$P360))),1,0)</f>
        <v>0</v>
      </c>
      <c r="Y360" s="27">
        <f>IF(V360=0,0,IF(Control_Achizitii!$J360="DOSAR COMPLET",1,IF(LEFT(Control_Achizitii!$J360,9)="INCOMPLET",2,3)))</f>
        <v>0</v>
      </c>
      <c r="Z360" s="27"/>
      <c r="AA360" s="27"/>
      <c r="AB360" s="27"/>
      <c r="AC360" s="27"/>
      <c r="AD360" s="27"/>
      <c r="AE360" s="27"/>
      <c r="AF360" s="27"/>
      <c r="AG360" s="27"/>
      <c r="AH360" s="27">
        <f>IF(AND(V360=1,Control_Achizitii!$J360="DOSAR COMPLET",Control_Achizitii!$K360&lt;&gt;""),1,0)</f>
        <v>0</v>
      </c>
    </row>
    <row r="361" spans="1:34">
      <c r="A361" s="27"/>
      <c r="B361" s="27"/>
      <c r="C361" s="27"/>
      <c r="D361" s="27"/>
      <c r="E361" s="27"/>
      <c r="F361" s="27"/>
      <c r="G361" s="27"/>
      <c r="H361" s="27"/>
      <c r="I361" s="27"/>
      <c r="J361" s="27"/>
      <c r="K361" s="27"/>
      <c r="L361" s="27"/>
      <c r="M361" s="27"/>
      <c r="N361" s="27"/>
      <c r="O361" s="27"/>
      <c r="P361" s="27"/>
      <c r="Q361" s="27"/>
      <c r="R361" s="27"/>
      <c r="S361" s="27"/>
      <c r="T361" s="27">
        <f>IF(LEFT(Control_Achizitii!$E361,4)="Fact",1,0)</f>
        <v>0</v>
      </c>
      <c r="U361" s="27">
        <f>IF(Control_Achizitii!$C361="",0,IF(ISNUMBER(Control_Achizitii!$B361),0,1))</f>
        <v>0</v>
      </c>
      <c r="V361" s="27">
        <f>IF(Control_Achizitii!$C361="",0,IF($Z$2&lt;&gt;"OK",0,IF(AND(ISNUMBER(Control_Achizitii!$B361),Control_Achizitii!$B361&gt;=$E$5,Control_Achizitii!$B361&lt;$J$5+1,OR($O$5="Toate proiectele",Control_Achizitii!$Q361=$O$5)),1,0)))</f>
        <v>0</v>
      </c>
      <c r="W361" s="27">
        <f>IF(AND(V361=1,OR(Control_Achizitii!$J361&lt;&gt;"DOSAR COMPLET",Control_Achizitii!$K361&lt;&gt;"")),ROW(),1000000000)</f>
        <v>1000000000</v>
      </c>
      <c r="X361" s="27">
        <f>IF(AND(V361=1,LEFT(Control_Achizitii!$E361,4)="Fact",NOT(ISNUMBER(Control_Achizitii!$P361))),1,0)</f>
        <v>0</v>
      </c>
      <c r="Y361" s="27">
        <f>IF(V361=0,0,IF(Control_Achizitii!$J361="DOSAR COMPLET",1,IF(LEFT(Control_Achizitii!$J361,9)="INCOMPLET",2,3)))</f>
        <v>0</v>
      </c>
      <c r="Z361" s="27"/>
      <c r="AA361" s="27"/>
      <c r="AB361" s="27"/>
      <c r="AC361" s="27"/>
      <c r="AD361" s="27"/>
      <c r="AE361" s="27"/>
      <c r="AF361" s="27"/>
      <c r="AG361" s="27"/>
      <c r="AH361" s="27">
        <f>IF(AND(V361=1,Control_Achizitii!$J361="DOSAR COMPLET",Control_Achizitii!$K361&lt;&gt;""),1,0)</f>
        <v>0</v>
      </c>
    </row>
    <row r="362" spans="1:34">
      <c r="A362" s="27"/>
      <c r="B362" s="27"/>
      <c r="C362" s="27"/>
      <c r="D362" s="27"/>
      <c r="E362" s="27"/>
      <c r="F362" s="27"/>
      <c r="G362" s="27"/>
      <c r="H362" s="27"/>
      <c r="I362" s="27"/>
      <c r="J362" s="27"/>
      <c r="K362" s="27"/>
      <c r="L362" s="27"/>
      <c r="M362" s="27"/>
      <c r="N362" s="27"/>
      <c r="O362" s="27"/>
      <c r="P362" s="27"/>
      <c r="Q362" s="27"/>
      <c r="R362" s="27"/>
      <c r="S362" s="27"/>
      <c r="T362" s="27">
        <f>IF(LEFT(Control_Achizitii!$E362,4)="Fact",1,0)</f>
        <v>0</v>
      </c>
      <c r="U362" s="27">
        <f>IF(Control_Achizitii!$C362="",0,IF(ISNUMBER(Control_Achizitii!$B362),0,1))</f>
        <v>0</v>
      </c>
      <c r="V362" s="27">
        <f>IF(Control_Achizitii!$C362="",0,IF($Z$2&lt;&gt;"OK",0,IF(AND(ISNUMBER(Control_Achizitii!$B362),Control_Achizitii!$B362&gt;=$E$5,Control_Achizitii!$B362&lt;$J$5+1,OR($O$5="Toate proiectele",Control_Achizitii!$Q362=$O$5)),1,0)))</f>
        <v>0</v>
      </c>
      <c r="W362" s="27">
        <f>IF(AND(V362=1,OR(Control_Achizitii!$J362&lt;&gt;"DOSAR COMPLET",Control_Achizitii!$K362&lt;&gt;"")),ROW(),1000000000)</f>
        <v>1000000000</v>
      </c>
      <c r="X362" s="27">
        <f>IF(AND(V362=1,LEFT(Control_Achizitii!$E362,4)="Fact",NOT(ISNUMBER(Control_Achizitii!$P362))),1,0)</f>
        <v>0</v>
      </c>
      <c r="Y362" s="27">
        <f>IF(V362=0,0,IF(Control_Achizitii!$J362="DOSAR COMPLET",1,IF(LEFT(Control_Achizitii!$J362,9)="INCOMPLET",2,3)))</f>
        <v>0</v>
      </c>
      <c r="Z362" s="27"/>
      <c r="AA362" s="27"/>
      <c r="AB362" s="27"/>
      <c r="AC362" s="27"/>
      <c r="AD362" s="27"/>
      <c r="AE362" s="27"/>
      <c r="AF362" s="27"/>
      <c r="AG362" s="27"/>
      <c r="AH362" s="27">
        <f>IF(AND(V362=1,Control_Achizitii!$J362="DOSAR COMPLET",Control_Achizitii!$K362&lt;&gt;""),1,0)</f>
        <v>0</v>
      </c>
    </row>
    <row r="363" spans="1:34">
      <c r="A363" s="27"/>
      <c r="B363" s="27"/>
      <c r="C363" s="27"/>
      <c r="D363" s="27"/>
      <c r="E363" s="27"/>
      <c r="F363" s="27"/>
      <c r="G363" s="27"/>
      <c r="H363" s="27"/>
      <c r="I363" s="27"/>
      <c r="J363" s="27"/>
      <c r="K363" s="27"/>
      <c r="L363" s="27"/>
      <c r="M363" s="27"/>
      <c r="N363" s="27"/>
      <c r="O363" s="27"/>
      <c r="P363" s="27"/>
      <c r="Q363" s="27"/>
      <c r="R363" s="27"/>
      <c r="S363" s="27"/>
      <c r="T363" s="27">
        <f>IF(LEFT(Control_Achizitii!$E363,4)="Fact",1,0)</f>
        <v>0</v>
      </c>
      <c r="U363" s="27">
        <f>IF(Control_Achizitii!$C363="",0,IF(ISNUMBER(Control_Achizitii!$B363),0,1))</f>
        <v>0</v>
      </c>
      <c r="V363" s="27">
        <f>IF(Control_Achizitii!$C363="",0,IF($Z$2&lt;&gt;"OK",0,IF(AND(ISNUMBER(Control_Achizitii!$B363),Control_Achizitii!$B363&gt;=$E$5,Control_Achizitii!$B363&lt;$J$5+1,OR($O$5="Toate proiectele",Control_Achizitii!$Q363=$O$5)),1,0)))</f>
        <v>0</v>
      </c>
      <c r="W363" s="27">
        <f>IF(AND(V363=1,OR(Control_Achizitii!$J363&lt;&gt;"DOSAR COMPLET",Control_Achizitii!$K363&lt;&gt;"")),ROW(),1000000000)</f>
        <v>1000000000</v>
      </c>
      <c r="X363" s="27">
        <f>IF(AND(V363=1,LEFT(Control_Achizitii!$E363,4)="Fact",NOT(ISNUMBER(Control_Achizitii!$P363))),1,0)</f>
        <v>0</v>
      </c>
      <c r="Y363" s="27">
        <f>IF(V363=0,0,IF(Control_Achizitii!$J363="DOSAR COMPLET",1,IF(LEFT(Control_Achizitii!$J363,9)="INCOMPLET",2,3)))</f>
        <v>0</v>
      </c>
      <c r="Z363" s="27"/>
      <c r="AA363" s="27"/>
      <c r="AB363" s="27"/>
      <c r="AC363" s="27"/>
      <c r="AD363" s="27"/>
      <c r="AE363" s="27"/>
      <c r="AF363" s="27"/>
      <c r="AG363" s="27"/>
      <c r="AH363" s="27">
        <f>IF(AND(V363=1,Control_Achizitii!$J363="DOSAR COMPLET",Control_Achizitii!$K363&lt;&gt;""),1,0)</f>
        <v>0</v>
      </c>
    </row>
    <row r="364" spans="1:34">
      <c r="A364" s="27"/>
      <c r="B364" s="27"/>
      <c r="C364" s="27"/>
      <c r="D364" s="27"/>
      <c r="E364" s="27"/>
      <c r="F364" s="27"/>
      <c r="G364" s="27"/>
      <c r="H364" s="27"/>
      <c r="I364" s="27"/>
      <c r="J364" s="27"/>
      <c r="K364" s="27"/>
      <c r="L364" s="27"/>
      <c r="M364" s="27"/>
      <c r="N364" s="27"/>
      <c r="O364" s="27"/>
      <c r="P364" s="27"/>
      <c r="Q364" s="27"/>
      <c r="R364" s="27"/>
      <c r="S364" s="27"/>
      <c r="T364" s="27">
        <f>IF(LEFT(Control_Achizitii!$E364,4)="Fact",1,0)</f>
        <v>0</v>
      </c>
      <c r="U364" s="27">
        <f>IF(Control_Achizitii!$C364="",0,IF(ISNUMBER(Control_Achizitii!$B364),0,1))</f>
        <v>0</v>
      </c>
      <c r="V364" s="27">
        <f>IF(Control_Achizitii!$C364="",0,IF($Z$2&lt;&gt;"OK",0,IF(AND(ISNUMBER(Control_Achizitii!$B364),Control_Achizitii!$B364&gt;=$E$5,Control_Achizitii!$B364&lt;$J$5+1,OR($O$5="Toate proiectele",Control_Achizitii!$Q364=$O$5)),1,0)))</f>
        <v>0</v>
      </c>
      <c r="W364" s="27">
        <f>IF(AND(V364=1,OR(Control_Achizitii!$J364&lt;&gt;"DOSAR COMPLET",Control_Achizitii!$K364&lt;&gt;"")),ROW(),1000000000)</f>
        <v>1000000000</v>
      </c>
      <c r="X364" s="27">
        <f>IF(AND(V364=1,LEFT(Control_Achizitii!$E364,4)="Fact",NOT(ISNUMBER(Control_Achizitii!$P364))),1,0)</f>
        <v>0</v>
      </c>
      <c r="Y364" s="27">
        <f>IF(V364=0,0,IF(Control_Achizitii!$J364="DOSAR COMPLET",1,IF(LEFT(Control_Achizitii!$J364,9)="INCOMPLET",2,3)))</f>
        <v>0</v>
      </c>
      <c r="Z364" s="27"/>
      <c r="AA364" s="27"/>
      <c r="AB364" s="27"/>
      <c r="AC364" s="27"/>
      <c r="AD364" s="27"/>
      <c r="AE364" s="27"/>
      <c r="AF364" s="27"/>
      <c r="AG364" s="27"/>
      <c r="AH364" s="27">
        <f>IF(AND(V364=1,Control_Achizitii!$J364="DOSAR COMPLET",Control_Achizitii!$K364&lt;&gt;""),1,0)</f>
        <v>0</v>
      </c>
    </row>
    <row r="365" spans="1:34">
      <c r="A365" s="27"/>
      <c r="B365" s="27"/>
      <c r="C365" s="27"/>
      <c r="D365" s="27"/>
      <c r="E365" s="27"/>
      <c r="F365" s="27"/>
      <c r="G365" s="27"/>
      <c r="H365" s="27"/>
      <c r="I365" s="27"/>
      <c r="J365" s="27"/>
      <c r="K365" s="27"/>
      <c r="L365" s="27"/>
      <c r="M365" s="27"/>
      <c r="N365" s="27"/>
      <c r="O365" s="27"/>
      <c r="P365" s="27"/>
      <c r="Q365" s="27"/>
      <c r="R365" s="27"/>
      <c r="S365" s="27"/>
      <c r="T365" s="27">
        <f>IF(LEFT(Control_Achizitii!$E365,4)="Fact",1,0)</f>
        <v>0</v>
      </c>
      <c r="U365" s="27">
        <f>IF(Control_Achizitii!$C365="",0,IF(ISNUMBER(Control_Achizitii!$B365),0,1))</f>
        <v>0</v>
      </c>
      <c r="V365" s="27">
        <f>IF(Control_Achizitii!$C365="",0,IF($Z$2&lt;&gt;"OK",0,IF(AND(ISNUMBER(Control_Achizitii!$B365),Control_Achizitii!$B365&gt;=$E$5,Control_Achizitii!$B365&lt;$J$5+1,OR($O$5="Toate proiectele",Control_Achizitii!$Q365=$O$5)),1,0)))</f>
        <v>0</v>
      </c>
      <c r="W365" s="27">
        <f>IF(AND(V365=1,OR(Control_Achizitii!$J365&lt;&gt;"DOSAR COMPLET",Control_Achizitii!$K365&lt;&gt;"")),ROW(),1000000000)</f>
        <v>1000000000</v>
      </c>
      <c r="X365" s="27">
        <f>IF(AND(V365=1,LEFT(Control_Achizitii!$E365,4)="Fact",NOT(ISNUMBER(Control_Achizitii!$P365))),1,0)</f>
        <v>0</v>
      </c>
      <c r="Y365" s="27">
        <f>IF(V365=0,0,IF(Control_Achizitii!$J365="DOSAR COMPLET",1,IF(LEFT(Control_Achizitii!$J365,9)="INCOMPLET",2,3)))</f>
        <v>0</v>
      </c>
      <c r="Z365" s="27"/>
      <c r="AA365" s="27"/>
      <c r="AB365" s="27"/>
      <c r="AC365" s="27"/>
      <c r="AD365" s="27"/>
      <c r="AE365" s="27"/>
      <c r="AF365" s="27"/>
      <c r="AG365" s="27"/>
      <c r="AH365" s="27">
        <f>IF(AND(V365=1,Control_Achizitii!$J365="DOSAR COMPLET",Control_Achizitii!$K365&lt;&gt;""),1,0)</f>
        <v>0</v>
      </c>
    </row>
    <row r="366" spans="1:34">
      <c r="A366" s="27"/>
      <c r="B366" s="27"/>
      <c r="C366" s="27"/>
      <c r="D366" s="27"/>
      <c r="E366" s="27"/>
      <c r="F366" s="27"/>
      <c r="G366" s="27"/>
      <c r="H366" s="27"/>
      <c r="I366" s="27"/>
      <c r="J366" s="27"/>
      <c r="K366" s="27"/>
      <c r="L366" s="27"/>
      <c r="M366" s="27"/>
      <c r="N366" s="27"/>
      <c r="O366" s="27"/>
      <c r="P366" s="27"/>
      <c r="Q366" s="27"/>
      <c r="R366" s="27"/>
      <c r="S366" s="27"/>
      <c r="T366" s="27">
        <f>IF(LEFT(Control_Achizitii!$E366,4)="Fact",1,0)</f>
        <v>0</v>
      </c>
      <c r="U366" s="27">
        <f>IF(Control_Achizitii!$C366="",0,IF(ISNUMBER(Control_Achizitii!$B366),0,1))</f>
        <v>0</v>
      </c>
      <c r="V366" s="27">
        <f>IF(Control_Achizitii!$C366="",0,IF($Z$2&lt;&gt;"OK",0,IF(AND(ISNUMBER(Control_Achizitii!$B366),Control_Achizitii!$B366&gt;=$E$5,Control_Achizitii!$B366&lt;$J$5+1,OR($O$5="Toate proiectele",Control_Achizitii!$Q366=$O$5)),1,0)))</f>
        <v>0</v>
      </c>
      <c r="W366" s="27">
        <f>IF(AND(V366=1,OR(Control_Achizitii!$J366&lt;&gt;"DOSAR COMPLET",Control_Achizitii!$K366&lt;&gt;"")),ROW(),1000000000)</f>
        <v>1000000000</v>
      </c>
      <c r="X366" s="27">
        <f>IF(AND(V366=1,LEFT(Control_Achizitii!$E366,4)="Fact",NOT(ISNUMBER(Control_Achizitii!$P366))),1,0)</f>
        <v>0</v>
      </c>
      <c r="Y366" s="27">
        <f>IF(V366=0,0,IF(Control_Achizitii!$J366="DOSAR COMPLET",1,IF(LEFT(Control_Achizitii!$J366,9)="INCOMPLET",2,3)))</f>
        <v>0</v>
      </c>
      <c r="Z366" s="27"/>
      <c r="AA366" s="27"/>
      <c r="AB366" s="27"/>
      <c r="AC366" s="27"/>
      <c r="AD366" s="27"/>
      <c r="AE366" s="27"/>
      <c r="AF366" s="27"/>
      <c r="AG366" s="27"/>
      <c r="AH366" s="27">
        <f>IF(AND(V366=1,Control_Achizitii!$J366="DOSAR COMPLET",Control_Achizitii!$K366&lt;&gt;""),1,0)</f>
        <v>0</v>
      </c>
    </row>
    <row r="367" spans="1:34">
      <c r="A367" s="27"/>
      <c r="B367" s="27"/>
      <c r="C367" s="27"/>
      <c r="D367" s="27"/>
      <c r="E367" s="27"/>
      <c r="F367" s="27"/>
      <c r="G367" s="27"/>
      <c r="H367" s="27"/>
      <c r="I367" s="27"/>
      <c r="J367" s="27"/>
      <c r="K367" s="27"/>
      <c r="L367" s="27"/>
      <c r="M367" s="27"/>
      <c r="N367" s="27"/>
      <c r="O367" s="27"/>
      <c r="P367" s="27"/>
      <c r="Q367" s="27"/>
      <c r="R367" s="27"/>
      <c r="S367" s="27"/>
      <c r="T367" s="27">
        <f>IF(LEFT(Control_Achizitii!$E367,4)="Fact",1,0)</f>
        <v>0</v>
      </c>
      <c r="U367" s="27">
        <f>IF(Control_Achizitii!$C367="",0,IF(ISNUMBER(Control_Achizitii!$B367),0,1))</f>
        <v>0</v>
      </c>
      <c r="V367" s="27">
        <f>IF(Control_Achizitii!$C367="",0,IF($Z$2&lt;&gt;"OK",0,IF(AND(ISNUMBER(Control_Achizitii!$B367),Control_Achizitii!$B367&gt;=$E$5,Control_Achizitii!$B367&lt;$J$5+1,OR($O$5="Toate proiectele",Control_Achizitii!$Q367=$O$5)),1,0)))</f>
        <v>0</v>
      </c>
      <c r="W367" s="27">
        <f>IF(AND(V367=1,OR(Control_Achizitii!$J367&lt;&gt;"DOSAR COMPLET",Control_Achizitii!$K367&lt;&gt;"")),ROW(),1000000000)</f>
        <v>1000000000</v>
      </c>
      <c r="X367" s="27">
        <f>IF(AND(V367=1,LEFT(Control_Achizitii!$E367,4)="Fact",NOT(ISNUMBER(Control_Achizitii!$P367))),1,0)</f>
        <v>0</v>
      </c>
      <c r="Y367" s="27">
        <f>IF(V367=0,0,IF(Control_Achizitii!$J367="DOSAR COMPLET",1,IF(LEFT(Control_Achizitii!$J367,9)="INCOMPLET",2,3)))</f>
        <v>0</v>
      </c>
      <c r="Z367" s="27"/>
      <c r="AA367" s="27"/>
      <c r="AB367" s="27"/>
      <c r="AC367" s="27"/>
      <c r="AD367" s="27"/>
      <c r="AE367" s="27"/>
      <c r="AF367" s="27"/>
      <c r="AG367" s="27"/>
      <c r="AH367" s="27">
        <f>IF(AND(V367=1,Control_Achizitii!$J367="DOSAR COMPLET",Control_Achizitii!$K367&lt;&gt;""),1,0)</f>
        <v>0</v>
      </c>
    </row>
    <row r="368" spans="1:34">
      <c r="A368" s="27"/>
      <c r="B368" s="27"/>
      <c r="C368" s="27"/>
      <c r="D368" s="27"/>
      <c r="E368" s="27"/>
      <c r="F368" s="27"/>
      <c r="G368" s="27"/>
      <c r="H368" s="27"/>
      <c r="I368" s="27"/>
      <c r="J368" s="27"/>
      <c r="K368" s="27"/>
      <c r="L368" s="27"/>
      <c r="M368" s="27"/>
      <c r="N368" s="27"/>
      <c r="O368" s="27"/>
      <c r="P368" s="27"/>
      <c r="Q368" s="27"/>
      <c r="R368" s="27"/>
      <c r="S368" s="27"/>
      <c r="T368" s="27">
        <f>IF(LEFT(Control_Achizitii!$E368,4)="Fact",1,0)</f>
        <v>0</v>
      </c>
      <c r="U368" s="27">
        <f>IF(Control_Achizitii!$C368="",0,IF(ISNUMBER(Control_Achizitii!$B368),0,1))</f>
        <v>0</v>
      </c>
      <c r="V368" s="27">
        <f>IF(Control_Achizitii!$C368="",0,IF($Z$2&lt;&gt;"OK",0,IF(AND(ISNUMBER(Control_Achizitii!$B368),Control_Achizitii!$B368&gt;=$E$5,Control_Achizitii!$B368&lt;$J$5+1,OR($O$5="Toate proiectele",Control_Achizitii!$Q368=$O$5)),1,0)))</f>
        <v>0</v>
      </c>
      <c r="W368" s="27">
        <f>IF(AND(V368=1,OR(Control_Achizitii!$J368&lt;&gt;"DOSAR COMPLET",Control_Achizitii!$K368&lt;&gt;"")),ROW(),1000000000)</f>
        <v>1000000000</v>
      </c>
      <c r="X368" s="27">
        <f>IF(AND(V368=1,LEFT(Control_Achizitii!$E368,4)="Fact",NOT(ISNUMBER(Control_Achizitii!$P368))),1,0)</f>
        <v>0</v>
      </c>
      <c r="Y368" s="27">
        <f>IF(V368=0,0,IF(Control_Achizitii!$J368="DOSAR COMPLET",1,IF(LEFT(Control_Achizitii!$J368,9)="INCOMPLET",2,3)))</f>
        <v>0</v>
      </c>
      <c r="Z368" s="27"/>
      <c r="AA368" s="27"/>
      <c r="AB368" s="27"/>
      <c r="AC368" s="27"/>
      <c r="AD368" s="27"/>
      <c r="AE368" s="27"/>
      <c r="AF368" s="27"/>
      <c r="AG368" s="27"/>
      <c r="AH368" s="27">
        <f>IF(AND(V368=1,Control_Achizitii!$J368="DOSAR COMPLET",Control_Achizitii!$K368&lt;&gt;""),1,0)</f>
        <v>0</v>
      </c>
    </row>
    <row r="369" spans="1:34">
      <c r="A369" s="27"/>
      <c r="B369" s="27"/>
      <c r="C369" s="27"/>
      <c r="D369" s="27"/>
      <c r="E369" s="27"/>
      <c r="F369" s="27"/>
      <c r="G369" s="27"/>
      <c r="H369" s="27"/>
      <c r="I369" s="27"/>
      <c r="J369" s="27"/>
      <c r="K369" s="27"/>
      <c r="L369" s="27"/>
      <c r="M369" s="27"/>
      <c r="N369" s="27"/>
      <c r="O369" s="27"/>
      <c r="P369" s="27"/>
      <c r="Q369" s="27"/>
      <c r="R369" s="27"/>
      <c r="S369" s="27"/>
      <c r="T369" s="27">
        <f>IF(LEFT(Control_Achizitii!$E369,4)="Fact",1,0)</f>
        <v>0</v>
      </c>
      <c r="U369" s="27">
        <f>IF(Control_Achizitii!$C369="",0,IF(ISNUMBER(Control_Achizitii!$B369),0,1))</f>
        <v>0</v>
      </c>
      <c r="V369" s="27">
        <f>IF(Control_Achizitii!$C369="",0,IF($Z$2&lt;&gt;"OK",0,IF(AND(ISNUMBER(Control_Achizitii!$B369),Control_Achizitii!$B369&gt;=$E$5,Control_Achizitii!$B369&lt;$J$5+1,OR($O$5="Toate proiectele",Control_Achizitii!$Q369=$O$5)),1,0)))</f>
        <v>0</v>
      </c>
      <c r="W369" s="27">
        <f>IF(AND(V369=1,OR(Control_Achizitii!$J369&lt;&gt;"DOSAR COMPLET",Control_Achizitii!$K369&lt;&gt;"")),ROW(),1000000000)</f>
        <v>1000000000</v>
      </c>
      <c r="X369" s="27">
        <f>IF(AND(V369=1,LEFT(Control_Achizitii!$E369,4)="Fact",NOT(ISNUMBER(Control_Achizitii!$P369))),1,0)</f>
        <v>0</v>
      </c>
      <c r="Y369" s="27">
        <f>IF(V369=0,0,IF(Control_Achizitii!$J369="DOSAR COMPLET",1,IF(LEFT(Control_Achizitii!$J369,9)="INCOMPLET",2,3)))</f>
        <v>0</v>
      </c>
      <c r="Z369" s="27"/>
      <c r="AA369" s="27"/>
      <c r="AB369" s="27"/>
      <c r="AC369" s="27"/>
      <c r="AD369" s="27"/>
      <c r="AE369" s="27"/>
      <c r="AF369" s="27"/>
      <c r="AG369" s="27"/>
      <c r="AH369" s="27">
        <f>IF(AND(V369=1,Control_Achizitii!$J369="DOSAR COMPLET",Control_Achizitii!$K369&lt;&gt;""),1,0)</f>
        <v>0</v>
      </c>
    </row>
    <row r="370" spans="1:34">
      <c r="A370" s="27"/>
      <c r="B370" s="27"/>
      <c r="C370" s="27"/>
      <c r="D370" s="27"/>
      <c r="E370" s="27"/>
      <c r="F370" s="27"/>
      <c r="G370" s="27"/>
      <c r="H370" s="27"/>
      <c r="I370" s="27"/>
      <c r="J370" s="27"/>
      <c r="K370" s="27"/>
      <c r="L370" s="27"/>
      <c r="M370" s="27"/>
      <c r="N370" s="27"/>
      <c r="O370" s="27"/>
      <c r="P370" s="27"/>
      <c r="Q370" s="27"/>
      <c r="R370" s="27"/>
      <c r="S370" s="27"/>
      <c r="T370" s="27">
        <f>IF(LEFT(Control_Achizitii!$E370,4)="Fact",1,0)</f>
        <v>0</v>
      </c>
      <c r="U370" s="27">
        <f>IF(Control_Achizitii!$C370="",0,IF(ISNUMBER(Control_Achizitii!$B370),0,1))</f>
        <v>0</v>
      </c>
      <c r="V370" s="27">
        <f>IF(Control_Achizitii!$C370="",0,IF($Z$2&lt;&gt;"OK",0,IF(AND(ISNUMBER(Control_Achizitii!$B370),Control_Achizitii!$B370&gt;=$E$5,Control_Achizitii!$B370&lt;$J$5+1,OR($O$5="Toate proiectele",Control_Achizitii!$Q370=$O$5)),1,0)))</f>
        <v>0</v>
      </c>
      <c r="W370" s="27">
        <f>IF(AND(V370=1,OR(Control_Achizitii!$J370&lt;&gt;"DOSAR COMPLET",Control_Achizitii!$K370&lt;&gt;"")),ROW(),1000000000)</f>
        <v>1000000000</v>
      </c>
      <c r="X370" s="27">
        <f>IF(AND(V370=1,LEFT(Control_Achizitii!$E370,4)="Fact",NOT(ISNUMBER(Control_Achizitii!$P370))),1,0)</f>
        <v>0</v>
      </c>
      <c r="Y370" s="27">
        <f>IF(V370=0,0,IF(Control_Achizitii!$J370="DOSAR COMPLET",1,IF(LEFT(Control_Achizitii!$J370,9)="INCOMPLET",2,3)))</f>
        <v>0</v>
      </c>
      <c r="Z370" s="27"/>
      <c r="AA370" s="27"/>
      <c r="AB370" s="27"/>
      <c r="AC370" s="27"/>
      <c r="AD370" s="27"/>
      <c r="AE370" s="27"/>
      <c r="AF370" s="27"/>
      <c r="AG370" s="27"/>
      <c r="AH370" s="27">
        <f>IF(AND(V370=1,Control_Achizitii!$J370="DOSAR COMPLET",Control_Achizitii!$K370&lt;&gt;""),1,0)</f>
        <v>0</v>
      </c>
    </row>
    <row r="371" spans="1:34">
      <c r="A371" s="27"/>
      <c r="B371" s="27"/>
      <c r="C371" s="27"/>
      <c r="D371" s="27"/>
      <c r="E371" s="27"/>
      <c r="F371" s="27"/>
      <c r="G371" s="27"/>
      <c r="H371" s="27"/>
      <c r="I371" s="27"/>
      <c r="J371" s="27"/>
      <c r="K371" s="27"/>
      <c r="L371" s="27"/>
      <c r="M371" s="27"/>
      <c r="N371" s="27"/>
      <c r="O371" s="27"/>
      <c r="P371" s="27"/>
      <c r="Q371" s="27"/>
      <c r="R371" s="27"/>
      <c r="S371" s="27"/>
      <c r="T371" s="27">
        <f>IF(LEFT(Control_Achizitii!$E371,4)="Fact",1,0)</f>
        <v>0</v>
      </c>
      <c r="U371" s="27">
        <f>IF(Control_Achizitii!$C371="",0,IF(ISNUMBER(Control_Achizitii!$B371),0,1))</f>
        <v>0</v>
      </c>
      <c r="V371" s="27">
        <f>IF(Control_Achizitii!$C371="",0,IF($Z$2&lt;&gt;"OK",0,IF(AND(ISNUMBER(Control_Achizitii!$B371),Control_Achizitii!$B371&gt;=$E$5,Control_Achizitii!$B371&lt;$J$5+1,OR($O$5="Toate proiectele",Control_Achizitii!$Q371=$O$5)),1,0)))</f>
        <v>0</v>
      </c>
      <c r="W371" s="27">
        <f>IF(AND(V371=1,OR(Control_Achizitii!$J371&lt;&gt;"DOSAR COMPLET",Control_Achizitii!$K371&lt;&gt;"")),ROW(),1000000000)</f>
        <v>1000000000</v>
      </c>
      <c r="X371" s="27">
        <f>IF(AND(V371=1,LEFT(Control_Achizitii!$E371,4)="Fact",NOT(ISNUMBER(Control_Achizitii!$P371))),1,0)</f>
        <v>0</v>
      </c>
      <c r="Y371" s="27">
        <f>IF(V371=0,0,IF(Control_Achizitii!$J371="DOSAR COMPLET",1,IF(LEFT(Control_Achizitii!$J371,9)="INCOMPLET",2,3)))</f>
        <v>0</v>
      </c>
      <c r="Z371" s="27"/>
      <c r="AA371" s="27"/>
      <c r="AB371" s="27"/>
      <c r="AC371" s="27"/>
      <c r="AD371" s="27"/>
      <c r="AE371" s="27"/>
      <c r="AF371" s="27"/>
      <c r="AG371" s="27"/>
      <c r="AH371" s="27">
        <f>IF(AND(V371=1,Control_Achizitii!$J371="DOSAR COMPLET",Control_Achizitii!$K371&lt;&gt;""),1,0)</f>
        <v>0</v>
      </c>
    </row>
    <row r="372" spans="1:34">
      <c r="A372" s="27"/>
      <c r="B372" s="27"/>
      <c r="C372" s="27"/>
      <c r="D372" s="27"/>
      <c r="E372" s="27"/>
      <c r="F372" s="27"/>
      <c r="G372" s="27"/>
      <c r="H372" s="27"/>
      <c r="I372" s="27"/>
      <c r="J372" s="27"/>
      <c r="K372" s="27"/>
      <c r="L372" s="27"/>
      <c r="M372" s="27"/>
      <c r="N372" s="27"/>
      <c r="O372" s="27"/>
      <c r="P372" s="27"/>
      <c r="Q372" s="27"/>
      <c r="R372" s="27"/>
      <c r="S372" s="27"/>
      <c r="T372" s="27">
        <f>IF(LEFT(Control_Achizitii!$E372,4)="Fact",1,0)</f>
        <v>0</v>
      </c>
      <c r="U372" s="27">
        <f>IF(Control_Achizitii!$C372="",0,IF(ISNUMBER(Control_Achizitii!$B372),0,1))</f>
        <v>0</v>
      </c>
      <c r="V372" s="27">
        <f>IF(Control_Achizitii!$C372="",0,IF($Z$2&lt;&gt;"OK",0,IF(AND(ISNUMBER(Control_Achizitii!$B372),Control_Achizitii!$B372&gt;=$E$5,Control_Achizitii!$B372&lt;$J$5+1,OR($O$5="Toate proiectele",Control_Achizitii!$Q372=$O$5)),1,0)))</f>
        <v>0</v>
      </c>
      <c r="W372" s="27">
        <f>IF(AND(V372=1,OR(Control_Achizitii!$J372&lt;&gt;"DOSAR COMPLET",Control_Achizitii!$K372&lt;&gt;"")),ROW(),1000000000)</f>
        <v>1000000000</v>
      </c>
      <c r="X372" s="27">
        <f>IF(AND(V372=1,LEFT(Control_Achizitii!$E372,4)="Fact",NOT(ISNUMBER(Control_Achizitii!$P372))),1,0)</f>
        <v>0</v>
      </c>
      <c r="Y372" s="27">
        <f>IF(V372=0,0,IF(Control_Achizitii!$J372="DOSAR COMPLET",1,IF(LEFT(Control_Achizitii!$J372,9)="INCOMPLET",2,3)))</f>
        <v>0</v>
      </c>
      <c r="Z372" s="27"/>
      <c r="AA372" s="27"/>
      <c r="AB372" s="27"/>
      <c r="AC372" s="27"/>
      <c r="AD372" s="27"/>
      <c r="AE372" s="27"/>
      <c r="AF372" s="27"/>
      <c r="AG372" s="27"/>
      <c r="AH372" s="27">
        <f>IF(AND(V372=1,Control_Achizitii!$J372="DOSAR COMPLET",Control_Achizitii!$K372&lt;&gt;""),1,0)</f>
        <v>0</v>
      </c>
    </row>
    <row r="373" spans="1:34">
      <c r="A373" s="27"/>
      <c r="B373" s="27"/>
      <c r="C373" s="27"/>
      <c r="D373" s="27"/>
      <c r="E373" s="27"/>
      <c r="F373" s="27"/>
      <c r="G373" s="27"/>
      <c r="H373" s="27"/>
      <c r="I373" s="27"/>
      <c r="J373" s="27"/>
      <c r="K373" s="27"/>
      <c r="L373" s="27"/>
      <c r="M373" s="27"/>
      <c r="N373" s="27"/>
      <c r="O373" s="27"/>
      <c r="P373" s="27"/>
      <c r="Q373" s="27"/>
      <c r="R373" s="27"/>
      <c r="S373" s="27"/>
      <c r="T373" s="27">
        <f>IF(LEFT(Control_Achizitii!$E373,4)="Fact",1,0)</f>
        <v>0</v>
      </c>
      <c r="U373" s="27">
        <f>IF(Control_Achizitii!$C373="",0,IF(ISNUMBER(Control_Achizitii!$B373),0,1))</f>
        <v>0</v>
      </c>
      <c r="V373" s="27">
        <f>IF(Control_Achizitii!$C373="",0,IF($Z$2&lt;&gt;"OK",0,IF(AND(ISNUMBER(Control_Achizitii!$B373),Control_Achizitii!$B373&gt;=$E$5,Control_Achizitii!$B373&lt;$J$5+1,OR($O$5="Toate proiectele",Control_Achizitii!$Q373=$O$5)),1,0)))</f>
        <v>0</v>
      </c>
      <c r="W373" s="27">
        <f>IF(AND(V373=1,OR(Control_Achizitii!$J373&lt;&gt;"DOSAR COMPLET",Control_Achizitii!$K373&lt;&gt;"")),ROW(),1000000000)</f>
        <v>1000000000</v>
      </c>
      <c r="X373" s="27">
        <f>IF(AND(V373=1,LEFT(Control_Achizitii!$E373,4)="Fact",NOT(ISNUMBER(Control_Achizitii!$P373))),1,0)</f>
        <v>0</v>
      </c>
      <c r="Y373" s="27">
        <f>IF(V373=0,0,IF(Control_Achizitii!$J373="DOSAR COMPLET",1,IF(LEFT(Control_Achizitii!$J373,9)="INCOMPLET",2,3)))</f>
        <v>0</v>
      </c>
      <c r="Z373" s="27"/>
      <c r="AA373" s="27"/>
      <c r="AB373" s="27"/>
      <c r="AC373" s="27"/>
      <c r="AD373" s="27"/>
      <c r="AE373" s="27"/>
      <c r="AF373" s="27"/>
      <c r="AG373" s="27"/>
      <c r="AH373" s="27">
        <f>IF(AND(V373=1,Control_Achizitii!$J373="DOSAR COMPLET",Control_Achizitii!$K373&lt;&gt;""),1,0)</f>
        <v>0</v>
      </c>
    </row>
    <row r="374" spans="1:34">
      <c r="A374" s="27"/>
      <c r="B374" s="27"/>
      <c r="C374" s="27"/>
      <c r="D374" s="27"/>
      <c r="E374" s="27"/>
      <c r="F374" s="27"/>
      <c r="G374" s="27"/>
      <c r="H374" s="27"/>
      <c r="I374" s="27"/>
      <c r="J374" s="27"/>
      <c r="K374" s="27"/>
      <c r="L374" s="27"/>
      <c r="M374" s="27"/>
      <c r="N374" s="27"/>
      <c r="O374" s="27"/>
      <c r="P374" s="27"/>
      <c r="Q374" s="27"/>
      <c r="R374" s="27"/>
      <c r="S374" s="27"/>
      <c r="T374" s="27">
        <f>IF(LEFT(Control_Achizitii!$E374,4)="Fact",1,0)</f>
        <v>0</v>
      </c>
      <c r="U374" s="27">
        <f>IF(Control_Achizitii!$C374="",0,IF(ISNUMBER(Control_Achizitii!$B374),0,1))</f>
        <v>0</v>
      </c>
      <c r="V374" s="27">
        <f>IF(Control_Achizitii!$C374="",0,IF($Z$2&lt;&gt;"OK",0,IF(AND(ISNUMBER(Control_Achizitii!$B374),Control_Achizitii!$B374&gt;=$E$5,Control_Achizitii!$B374&lt;$J$5+1,OR($O$5="Toate proiectele",Control_Achizitii!$Q374=$O$5)),1,0)))</f>
        <v>0</v>
      </c>
      <c r="W374" s="27">
        <f>IF(AND(V374=1,OR(Control_Achizitii!$J374&lt;&gt;"DOSAR COMPLET",Control_Achizitii!$K374&lt;&gt;"")),ROW(),1000000000)</f>
        <v>1000000000</v>
      </c>
      <c r="X374" s="27">
        <f>IF(AND(V374=1,LEFT(Control_Achizitii!$E374,4)="Fact",NOT(ISNUMBER(Control_Achizitii!$P374))),1,0)</f>
        <v>0</v>
      </c>
      <c r="Y374" s="27">
        <f>IF(V374=0,0,IF(Control_Achizitii!$J374="DOSAR COMPLET",1,IF(LEFT(Control_Achizitii!$J374,9)="INCOMPLET",2,3)))</f>
        <v>0</v>
      </c>
      <c r="Z374" s="27"/>
      <c r="AA374" s="27"/>
      <c r="AB374" s="27"/>
      <c r="AC374" s="27"/>
      <c r="AD374" s="27"/>
      <c r="AE374" s="27"/>
      <c r="AF374" s="27"/>
      <c r="AG374" s="27"/>
      <c r="AH374" s="27">
        <f>IF(AND(V374=1,Control_Achizitii!$J374="DOSAR COMPLET",Control_Achizitii!$K374&lt;&gt;""),1,0)</f>
        <v>0</v>
      </c>
    </row>
    <row r="375" spans="1:34">
      <c r="A375" s="27"/>
      <c r="B375" s="27"/>
      <c r="C375" s="27"/>
      <c r="D375" s="27"/>
      <c r="E375" s="27"/>
      <c r="F375" s="27"/>
      <c r="G375" s="27"/>
      <c r="H375" s="27"/>
      <c r="I375" s="27"/>
      <c r="J375" s="27"/>
      <c r="K375" s="27"/>
      <c r="L375" s="27"/>
      <c r="M375" s="27"/>
      <c r="N375" s="27"/>
      <c r="O375" s="27"/>
      <c r="P375" s="27"/>
      <c r="Q375" s="27"/>
      <c r="R375" s="27"/>
      <c r="S375" s="27"/>
      <c r="T375" s="27">
        <f>IF(LEFT(Control_Achizitii!$E375,4)="Fact",1,0)</f>
        <v>0</v>
      </c>
      <c r="U375" s="27">
        <f>IF(Control_Achizitii!$C375="",0,IF(ISNUMBER(Control_Achizitii!$B375),0,1))</f>
        <v>0</v>
      </c>
      <c r="V375" s="27">
        <f>IF(Control_Achizitii!$C375="",0,IF($Z$2&lt;&gt;"OK",0,IF(AND(ISNUMBER(Control_Achizitii!$B375),Control_Achizitii!$B375&gt;=$E$5,Control_Achizitii!$B375&lt;$J$5+1,OR($O$5="Toate proiectele",Control_Achizitii!$Q375=$O$5)),1,0)))</f>
        <v>0</v>
      </c>
      <c r="W375" s="27">
        <f>IF(AND(V375=1,OR(Control_Achizitii!$J375&lt;&gt;"DOSAR COMPLET",Control_Achizitii!$K375&lt;&gt;"")),ROW(),1000000000)</f>
        <v>1000000000</v>
      </c>
      <c r="X375" s="27">
        <f>IF(AND(V375=1,LEFT(Control_Achizitii!$E375,4)="Fact",NOT(ISNUMBER(Control_Achizitii!$P375))),1,0)</f>
        <v>0</v>
      </c>
      <c r="Y375" s="27">
        <f>IF(V375=0,0,IF(Control_Achizitii!$J375="DOSAR COMPLET",1,IF(LEFT(Control_Achizitii!$J375,9)="INCOMPLET",2,3)))</f>
        <v>0</v>
      </c>
      <c r="Z375" s="27"/>
      <c r="AA375" s="27"/>
      <c r="AB375" s="27"/>
      <c r="AC375" s="27"/>
      <c r="AD375" s="27"/>
      <c r="AE375" s="27"/>
      <c r="AF375" s="27"/>
      <c r="AG375" s="27"/>
      <c r="AH375" s="27">
        <f>IF(AND(V375=1,Control_Achizitii!$J375="DOSAR COMPLET",Control_Achizitii!$K375&lt;&gt;""),1,0)</f>
        <v>0</v>
      </c>
    </row>
    <row r="376" spans="1:34">
      <c r="A376" s="27"/>
      <c r="B376" s="27"/>
      <c r="C376" s="27"/>
      <c r="D376" s="27"/>
      <c r="E376" s="27"/>
      <c r="F376" s="27"/>
      <c r="G376" s="27"/>
      <c r="H376" s="27"/>
      <c r="I376" s="27"/>
      <c r="J376" s="27"/>
      <c r="K376" s="27"/>
      <c r="L376" s="27"/>
      <c r="M376" s="27"/>
      <c r="N376" s="27"/>
      <c r="O376" s="27"/>
      <c r="P376" s="27"/>
      <c r="Q376" s="27"/>
      <c r="R376" s="27"/>
      <c r="S376" s="27"/>
      <c r="T376" s="27">
        <f>IF(LEFT(Control_Achizitii!$E376,4)="Fact",1,0)</f>
        <v>0</v>
      </c>
      <c r="U376" s="27">
        <f>IF(Control_Achizitii!$C376="",0,IF(ISNUMBER(Control_Achizitii!$B376),0,1))</f>
        <v>0</v>
      </c>
      <c r="V376" s="27">
        <f>IF(Control_Achizitii!$C376="",0,IF($Z$2&lt;&gt;"OK",0,IF(AND(ISNUMBER(Control_Achizitii!$B376),Control_Achizitii!$B376&gt;=$E$5,Control_Achizitii!$B376&lt;$J$5+1,OR($O$5="Toate proiectele",Control_Achizitii!$Q376=$O$5)),1,0)))</f>
        <v>0</v>
      </c>
      <c r="W376" s="27">
        <f>IF(AND(V376=1,OR(Control_Achizitii!$J376&lt;&gt;"DOSAR COMPLET",Control_Achizitii!$K376&lt;&gt;"")),ROW(),1000000000)</f>
        <v>1000000000</v>
      </c>
      <c r="X376" s="27">
        <f>IF(AND(V376=1,LEFT(Control_Achizitii!$E376,4)="Fact",NOT(ISNUMBER(Control_Achizitii!$P376))),1,0)</f>
        <v>0</v>
      </c>
      <c r="Y376" s="27">
        <f>IF(V376=0,0,IF(Control_Achizitii!$J376="DOSAR COMPLET",1,IF(LEFT(Control_Achizitii!$J376,9)="INCOMPLET",2,3)))</f>
        <v>0</v>
      </c>
      <c r="Z376" s="27"/>
      <c r="AA376" s="27"/>
      <c r="AB376" s="27"/>
      <c r="AC376" s="27"/>
      <c r="AD376" s="27"/>
      <c r="AE376" s="27"/>
      <c r="AF376" s="27"/>
      <c r="AG376" s="27"/>
      <c r="AH376" s="27">
        <f>IF(AND(V376=1,Control_Achizitii!$J376="DOSAR COMPLET",Control_Achizitii!$K376&lt;&gt;""),1,0)</f>
        <v>0</v>
      </c>
    </row>
    <row r="377" spans="1:34">
      <c r="A377" s="27"/>
      <c r="B377" s="27"/>
      <c r="C377" s="27"/>
      <c r="D377" s="27"/>
      <c r="E377" s="27"/>
      <c r="F377" s="27"/>
      <c r="G377" s="27"/>
      <c r="H377" s="27"/>
      <c r="I377" s="27"/>
      <c r="J377" s="27"/>
      <c r="K377" s="27"/>
      <c r="L377" s="27"/>
      <c r="M377" s="27"/>
      <c r="N377" s="27"/>
      <c r="O377" s="27"/>
      <c r="P377" s="27"/>
      <c r="Q377" s="27"/>
      <c r="R377" s="27"/>
      <c r="S377" s="27"/>
      <c r="T377" s="27">
        <f>IF(LEFT(Control_Achizitii!$E377,4)="Fact",1,0)</f>
        <v>0</v>
      </c>
      <c r="U377" s="27">
        <f>IF(Control_Achizitii!$C377="",0,IF(ISNUMBER(Control_Achizitii!$B377),0,1))</f>
        <v>0</v>
      </c>
      <c r="V377" s="27">
        <f>IF(Control_Achizitii!$C377="",0,IF($Z$2&lt;&gt;"OK",0,IF(AND(ISNUMBER(Control_Achizitii!$B377),Control_Achizitii!$B377&gt;=$E$5,Control_Achizitii!$B377&lt;$J$5+1,OR($O$5="Toate proiectele",Control_Achizitii!$Q377=$O$5)),1,0)))</f>
        <v>0</v>
      </c>
      <c r="W377" s="27">
        <f>IF(AND(V377=1,OR(Control_Achizitii!$J377&lt;&gt;"DOSAR COMPLET",Control_Achizitii!$K377&lt;&gt;"")),ROW(),1000000000)</f>
        <v>1000000000</v>
      </c>
      <c r="X377" s="27">
        <f>IF(AND(V377=1,LEFT(Control_Achizitii!$E377,4)="Fact",NOT(ISNUMBER(Control_Achizitii!$P377))),1,0)</f>
        <v>0</v>
      </c>
      <c r="Y377" s="27">
        <f>IF(V377=0,0,IF(Control_Achizitii!$J377="DOSAR COMPLET",1,IF(LEFT(Control_Achizitii!$J377,9)="INCOMPLET",2,3)))</f>
        <v>0</v>
      </c>
      <c r="Z377" s="27"/>
      <c r="AA377" s="27"/>
      <c r="AB377" s="27"/>
      <c r="AC377" s="27"/>
      <c r="AD377" s="27"/>
      <c r="AE377" s="27"/>
      <c r="AF377" s="27"/>
      <c r="AG377" s="27"/>
      <c r="AH377" s="27">
        <f>IF(AND(V377=1,Control_Achizitii!$J377="DOSAR COMPLET",Control_Achizitii!$K377&lt;&gt;""),1,0)</f>
        <v>0</v>
      </c>
    </row>
    <row r="378" spans="1:34">
      <c r="A378" s="27"/>
      <c r="B378" s="27"/>
      <c r="C378" s="27"/>
      <c r="D378" s="27"/>
      <c r="E378" s="27"/>
      <c r="F378" s="27"/>
      <c r="G378" s="27"/>
      <c r="H378" s="27"/>
      <c r="I378" s="27"/>
      <c r="J378" s="27"/>
      <c r="K378" s="27"/>
      <c r="L378" s="27"/>
      <c r="M378" s="27"/>
      <c r="N378" s="27"/>
      <c r="O378" s="27"/>
      <c r="P378" s="27"/>
      <c r="Q378" s="27"/>
      <c r="R378" s="27"/>
      <c r="S378" s="27"/>
      <c r="T378" s="27">
        <f>IF(LEFT(Control_Achizitii!$E378,4)="Fact",1,0)</f>
        <v>0</v>
      </c>
      <c r="U378" s="27">
        <f>IF(Control_Achizitii!$C378="",0,IF(ISNUMBER(Control_Achizitii!$B378),0,1))</f>
        <v>0</v>
      </c>
      <c r="V378" s="27">
        <f>IF(Control_Achizitii!$C378="",0,IF($Z$2&lt;&gt;"OK",0,IF(AND(ISNUMBER(Control_Achizitii!$B378),Control_Achizitii!$B378&gt;=$E$5,Control_Achizitii!$B378&lt;$J$5+1,OR($O$5="Toate proiectele",Control_Achizitii!$Q378=$O$5)),1,0)))</f>
        <v>0</v>
      </c>
      <c r="W378" s="27">
        <f>IF(AND(V378=1,OR(Control_Achizitii!$J378&lt;&gt;"DOSAR COMPLET",Control_Achizitii!$K378&lt;&gt;"")),ROW(),1000000000)</f>
        <v>1000000000</v>
      </c>
      <c r="X378" s="27">
        <f>IF(AND(V378=1,LEFT(Control_Achizitii!$E378,4)="Fact",NOT(ISNUMBER(Control_Achizitii!$P378))),1,0)</f>
        <v>0</v>
      </c>
      <c r="Y378" s="27">
        <f>IF(V378=0,0,IF(Control_Achizitii!$J378="DOSAR COMPLET",1,IF(LEFT(Control_Achizitii!$J378,9)="INCOMPLET",2,3)))</f>
        <v>0</v>
      </c>
      <c r="Z378" s="27"/>
      <c r="AA378" s="27"/>
      <c r="AB378" s="27"/>
      <c r="AC378" s="27"/>
      <c r="AD378" s="27"/>
      <c r="AE378" s="27"/>
      <c r="AF378" s="27"/>
      <c r="AG378" s="27"/>
      <c r="AH378" s="27">
        <f>IF(AND(V378=1,Control_Achizitii!$J378="DOSAR COMPLET",Control_Achizitii!$K378&lt;&gt;""),1,0)</f>
        <v>0</v>
      </c>
    </row>
    <row r="379" spans="1:34">
      <c r="A379" s="27"/>
      <c r="B379" s="27"/>
      <c r="C379" s="27"/>
      <c r="D379" s="27"/>
      <c r="E379" s="27"/>
      <c r="F379" s="27"/>
      <c r="G379" s="27"/>
      <c r="H379" s="27"/>
      <c r="I379" s="27"/>
      <c r="J379" s="27"/>
      <c r="K379" s="27"/>
      <c r="L379" s="27"/>
      <c r="M379" s="27"/>
      <c r="N379" s="27"/>
      <c r="O379" s="27"/>
      <c r="P379" s="27"/>
      <c r="Q379" s="27"/>
      <c r="R379" s="27"/>
      <c r="S379" s="27"/>
      <c r="T379" s="27">
        <f>IF(LEFT(Control_Achizitii!$E379,4)="Fact",1,0)</f>
        <v>0</v>
      </c>
      <c r="U379" s="27">
        <f>IF(Control_Achizitii!$C379="",0,IF(ISNUMBER(Control_Achizitii!$B379),0,1))</f>
        <v>0</v>
      </c>
      <c r="V379" s="27">
        <f>IF(Control_Achizitii!$C379="",0,IF($Z$2&lt;&gt;"OK",0,IF(AND(ISNUMBER(Control_Achizitii!$B379),Control_Achizitii!$B379&gt;=$E$5,Control_Achizitii!$B379&lt;$J$5+1,OR($O$5="Toate proiectele",Control_Achizitii!$Q379=$O$5)),1,0)))</f>
        <v>0</v>
      </c>
      <c r="W379" s="27">
        <f>IF(AND(V379=1,OR(Control_Achizitii!$J379&lt;&gt;"DOSAR COMPLET",Control_Achizitii!$K379&lt;&gt;"")),ROW(),1000000000)</f>
        <v>1000000000</v>
      </c>
      <c r="X379" s="27">
        <f>IF(AND(V379=1,LEFT(Control_Achizitii!$E379,4)="Fact",NOT(ISNUMBER(Control_Achizitii!$P379))),1,0)</f>
        <v>0</v>
      </c>
      <c r="Y379" s="27">
        <f>IF(V379=0,0,IF(Control_Achizitii!$J379="DOSAR COMPLET",1,IF(LEFT(Control_Achizitii!$J379,9)="INCOMPLET",2,3)))</f>
        <v>0</v>
      </c>
      <c r="Z379" s="27"/>
      <c r="AA379" s="27"/>
      <c r="AB379" s="27"/>
      <c r="AC379" s="27"/>
      <c r="AD379" s="27"/>
      <c r="AE379" s="27"/>
      <c r="AF379" s="27"/>
      <c r="AG379" s="27"/>
      <c r="AH379" s="27">
        <f>IF(AND(V379=1,Control_Achizitii!$J379="DOSAR COMPLET",Control_Achizitii!$K379&lt;&gt;""),1,0)</f>
        <v>0</v>
      </c>
    </row>
    <row r="380" spans="1:34">
      <c r="A380" s="27"/>
      <c r="B380" s="27"/>
      <c r="C380" s="27"/>
      <c r="D380" s="27"/>
      <c r="E380" s="27"/>
      <c r="F380" s="27"/>
      <c r="G380" s="27"/>
      <c r="H380" s="27"/>
      <c r="I380" s="27"/>
      <c r="J380" s="27"/>
      <c r="K380" s="27"/>
      <c r="L380" s="27"/>
      <c r="M380" s="27"/>
      <c r="N380" s="27"/>
      <c r="O380" s="27"/>
      <c r="P380" s="27"/>
      <c r="Q380" s="27"/>
      <c r="R380" s="27"/>
      <c r="S380" s="27"/>
      <c r="T380" s="27">
        <f>IF(LEFT(Control_Achizitii!$E380,4)="Fact",1,0)</f>
        <v>0</v>
      </c>
      <c r="U380" s="27">
        <f>IF(Control_Achizitii!$C380="",0,IF(ISNUMBER(Control_Achizitii!$B380),0,1))</f>
        <v>0</v>
      </c>
      <c r="V380" s="27">
        <f>IF(Control_Achizitii!$C380="",0,IF($Z$2&lt;&gt;"OK",0,IF(AND(ISNUMBER(Control_Achizitii!$B380),Control_Achizitii!$B380&gt;=$E$5,Control_Achizitii!$B380&lt;$J$5+1,OR($O$5="Toate proiectele",Control_Achizitii!$Q380=$O$5)),1,0)))</f>
        <v>0</v>
      </c>
      <c r="W380" s="27">
        <f>IF(AND(V380=1,OR(Control_Achizitii!$J380&lt;&gt;"DOSAR COMPLET",Control_Achizitii!$K380&lt;&gt;"")),ROW(),1000000000)</f>
        <v>1000000000</v>
      </c>
      <c r="X380" s="27">
        <f>IF(AND(V380=1,LEFT(Control_Achizitii!$E380,4)="Fact",NOT(ISNUMBER(Control_Achizitii!$P380))),1,0)</f>
        <v>0</v>
      </c>
      <c r="Y380" s="27">
        <f>IF(V380=0,0,IF(Control_Achizitii!$J380="DOSAR COMPLET",1,IF(LEFT(Control_Achizitii!$J380,9)="INCOMPLET",2,3)))</f>
        <v>0</v>
      </c>
      <c r="Z380" s="27"/>
      <c r="AA380" s="27"/>
      <c r="AB380" s="27"/>
      <c r="AC380" s="27"/>
      <c r="AD380" s="27"/>
      <c r="AE380" s="27"/>
      <c r="AF380" s="27"/>
      <c r="AG380" s="27"/>
      <c r="AH380" s="27">
        <f>IF(AND(V380=1,Control_Achizitii!$J380="DOSAR COMPLET",Control_Achizitii!$K380&lt;&gt;""),1,0)</f>
        <v>0</v>
      </c>
    </row>
    <row r="381" spans="1:34">
      <c r="A381" s="27"/>
      <c r="B381" s="27"/>
      <c r="C381" s="27"/>
      <c r="D381" s="27"/>
      <c r="E381" s="27"/>
      <c r="F381" s="27"/>
      <c r="G381" s="27"/>
      <c r="H381" s="27"/>
      <c r="I381" s="27"/>
      <c r="J381" s="27"/>
      <c r="K381" s="27"/>
      <c r="L381" s="27"/>
      <c r="M381" s="27"/>
      <c r="N381" s="27"/>
      <c r="O381" s="27"/>
      <c r="P381" s="27"/>
      <c r="Q381" s="27"/>
      <c r="R381" s="27"/>
      <c r="S381" s="27"/>
      <c r="T381" s="27">
        <f>IF(LEFT(Control_Achizitii!$E381,4)="Fact",1,0)</f>
        <v>0</v>
      </c>
      <c r="U381" s="27">
        <f>IF(Control_Achizitii!$C381="",0,IF(ISNUMBER(Control_Achizitii!$B381),0,1))</f>
        <v>0</v>
      </c>
      <c r="V381" s="27">
        <f>IF(Control_Achizitii!$C381="",0,IF($Z$2&lt;&gt;"OK",0,IF(AND(ISNUMBER(Control_Achizitii!$B381),Control_Achizitii!$B381&gt;=$E$5,Control_Achizitii!$B381&lt;$J$5+1,OR($O$5="Toate proiectele",Control_Achizitii!$Q381=$O$5)),1,0)))</f>
        <v>0</v>
      </c>
      <c r="W381" s="27">
        <f>IF(AND(V381=1,OR(Control_Achizitii!$J381&lt;&gt;"DOSAR COMPLET",Control_Achizitii!$K381&lt;&gt;"")),ROW(),1000000000)</f>
        <v>1000000000</v>
      </c>
      <c r="X381" s="27">
        <f>IF(AND(V381=1,LEFT(Control_Achizitii!$E381,4)="Fact",NOT(ISNUMBER(Control_Achizitii!$P381))),1,0)</f>
        <v>0</v>
      </c>
      <c r="Y381" s="27">
        <f>IF(V381=0,0,IF(Control_Achizitii!$J381="DOSAR COMPLET",1,IF(LEFT(Control_Achizitii!$J381,9)="INCOMPLET",2,3)))</f>
        <v>0</v>
      </c>
      <c r="Z381" s="27"/>
      <c r="AA381" s="27"/>
      <c r="AB381" s="27"/>
      <c r="AC381" s="27"/>
      <c r="AD381" s="27"/>
      <c r="AE381" s="27"/>
      <c r="AF381" s="27"/>
      <c r="AG381" s="27"/>
      <c r="AH381" s="27">
        <f>IF(AND(V381=1,Control_Achizitii!$J381="DOSAR COMPLET",Control_Achizitii!$K381&lt;&gt;""),1,0)</f>
        <v>0</v>
      </c>
    </row>
    <row r="382" spans="1:34">
      <c r="A382" s="27"/>
      <c r="B382" s="27"/>
      <c r="C382" s="27"/>
      <c r="D382" s="27"/>
      <c r="E382" s="27"/>
      <c r="F382" s="27"/>
      <c r="G382" s="27"/>
      <c r="H382" s="27"/>
      <c r="I382" s="27"/>
      <c r="J382" s="27"/>
      <c r="K382" s="27"/>
      <c r="L382" s="27"/>
      <c r="M382" s="27"/>
      <c r="N382" s="27"/>
      <c r="O382" s="27"/>
      <c r="P382" s="27"/>
      <c r="Q382" s="27"/>
      <c r="R382" s="27"/>
      <c r="S382" s="27"/>
      <c r="T382" s="27">
        <f>IF(LEFT(Control_Achizitii!$E382,4)="Fact",1,0)</f>
        <v>0</v>
      </c>
      <c r="U382" s="27">
        <f>IF(Control_Achizitii!$C382="",0,IF(ISNUMBER(Control_Achizitii!$B382),0,1))</f>
        <v>0</v>
      </c>
      <c r="V382" s="27">
        <f>IF(Control_Achizitii!$C382="",0,IF($Z$2&lt;&gt;"OK",0,IF(AND(ISNUMBER(Control_Achizitii!$B382),Control_Achizitii!$B382&gt;=$E$5,Control_Achizitii!$B382&lt;$J$5+1,OR($O$5="Toate proiectele",Control_Achizitii!$Q382=$O$5)),1,0)))</f>
        <v>0</v>
      </c>
      <c r="W382" s="27">
        <f>IF(AND(V382=1,OR(Control_Achizitii!$J382&lt;&gt;"DOSAR COMPLET",Control_Achizitii!$K382&lt;&gt;"")),ROW(),1000000000)</f>
        <v>1000000000</v>
      </c>
      <c r="X382" s="27">
        <f>IF(AND(V382=1,LEFT(Control_Achizitii!$E382,4)="Fact",NOT(ISNUMBER(Control_Achizitii!$P382))),1,0)</f>
        <v>0</v>
      </c>
      <c r="Y382" s="27">
        <f>IF(V382=0,0,IF(Control_Achizitii!$J382="DOSAR COMPLET",1,IF(LEFT(Control_Achizitii!$J382,9)="INCOMPLET",2,3)))</f>
        <v>0</v>
      </c>
      <c r="Z382" s="27"/>
      <c r="AA382" s="27"/>
      <c r="AB382" s="27"/>
      <c r="AC382" s="27"/>
      <c r="AD382" s="27"/>
      <c r="AE382" s="27"/>
      <c r="AF382" s="27"/>
      <c r="AG382" s="27"/>
      <c r="AH382" s="27">
        <f>IF(AND(V382=1,Control_Achizitii!$J382="DOSAR COMPLET",Control_Achizitii!$K382&lt;&gt;""),1,0)</f>
        <v>0</v>
      </c>
    </row>
    <row r="383" spans="1:34">
      <c r="A383" s="27"/>
      <c r="B383" s="27"/>
      <c r="C383" s="27"/>
      <c r="D383" s="27"/>
      <c r="E383" s="27"/>
      <c r="F383" s="27"/>
      <c r="G383" s="27"/>
      <c r="H383" s="27"/>
      <c r="I383" s="27"/>
      <c r="J383" s="27"/>
      <c r="K383" s="27"/>
      <c r="L383" s="27"/>
      <c r="M383" s="27"/>
      <c r="N383" s="27"/>
      <c r="O383" s="27"/>
      <c r="P383" s="27"/>
      <c r="Q383" s="27"/>
      <c r="R383" s="27"/>
      <c r="S383" s="27"/>
      <c r="T383" s="27">
        <f>IF(LEFT(Control_Achizitii!$E383,4)="Fact",1,0)</f>
        <v>0</v>
      </c>
      <c r="U383" s="27">
        <f>IF(Control_Achizitii!$C383="",0,IF(ISNUMBER(Control_Achizitii!$B383),0,1))</f>
        <v>0</v>
      </c>
      <c r="V383" s="27">
        <f>IF(Control_Achizitii!$C383="",0,IF($Z$2&lt;&gt;"OK",0,IF(AND(ISNUMBER(Control_Achizitii!$B383),Control_Achizitii!$B383&gt;=$E$5,Control_Achizitii!$B383&lt;$J$5+1,OR($O$5="Toate proiectele",Control_Achizitii!$Q383=$O$5)),1,0)))</f>
        <v>0</v>
      </c>
      <c r="W383" s="27">
        <f>IF(AND(V383=1,OR(Control_Achizitii!$J383&lt;&gt;"DOSAR COMPLET",Control_Achizitii!$K383&lt;&gt;"")),ROW(),1000000000)</f>
        <v>1000000000</v>
      </c>
      <c r="X383" s="27">
        <f>IF(AND(V383=1,LEFT(Control_Achizitii!$E383,4)="Fact",NOT(ISNUMBER(Control_Achizitii!$P383))),1,0)</f>
        <v>0</v>
      </c>
      <c r="Y383" s="27">
        <f>IF(V383=0,0,IF(Control_Achizitii!$J383="DOSAR COMPLET",1,IF(LEFT(Control_Achizitii!$J383,9)="INCOMPLET",2,3)))</f>
        <v>0</v>
      </c>
      <c r="Z383" s="27"/>
      <c r="AA383" s="27"/>
      <c r="AB383" s="27"/>
      <c r="AC383" s="27"/>
      <c r="AD383" s="27"/>
      <c r="AE383" s="27"/>
      <c r="AF383" s="27"/>
      <c r="AG383" s="27"/>
      <c r="AH383" s="27">
        <f>IF(AND(V383=1,Control_Achizitii!$J383="DOSAR COMPLET",Control_Achizitii!$K383&lt;&gt;""),1,0)</f>
        <v>0</v>
      </c>
    </row>
    <row r="384" spans="1:34">
      <c r="A384" s="27"/>
      <c r="B384" s="27"/>
      <c r="C384" s="27"/>
      <c r="D384" s="27"/>
      <c r="E384" s="27"/>
      <c r="F384" s="27"/>
      <c r="G384" s="27"/>
      <c r="H384" s="27"/>
      <c r="I384" s="27"/>
      <c r="J384" s="27"/>
      <c r="K384" s="27"/>
      <c r="L384" s="27"/>
      <c r="M384" s="27"/>
      <c r="N384" s="27"/>
      <c r="O384" s="27"/>
      <c r="P384" s="27"/>
      <c r="Q384" s="27"/>
      <c r="R384" s="27"/>
      <c r="S384" s="27"/>
      <c r="T384" s="27">
        <f>IF(LEFT(Control_Achizitii!$E384,4)="Fact",1,0)</f>
        <v>0</v>
      </c>
      <c r="U384" s="27">
        <f>IF(Control_Achizitii!$C384="",0,IF(ISNUMBER(Control_Achizitii!$B384),0,1))</f>
        <v>0</v>
      </c>
      <c r="V384" s="27">
        <f>IF(Control_Achizitii!$C384="",0,IF($Z$2&lt;&gt;"OK",0,IF(AND(ISNUMBER(Control_Achizitii!$B384),Control_Achizitii!$B384&gt;=$E$5,Control_Achizitii!$B384&lt;$J$5+1,OR($O$5="Toate proiectele",Control_Achizitii!$Q384=$O$5)),1,0)))</f>
        <v>0</v>
      </c>
      <c r="W384" s="27">
        <f>IF(AND(V384=1,OR(Control_Achizitii!$J384&lt;&gt;"DOSAR COMPLET",Control_Achizitii!$K384&lt;&gt;"")),ROW(),1000000000)</f>
        <v>1000000000</v>
      </c>
      <c r="X384" s="27">
        <f>IF(AND(V384=1,LEFT(Control_Achizitii!$E384,4)="Fact",NOT(ISNUMBER(Control_Achizitii!$P384))),1,0)</f>
        <v>0</v>
      </c>
      <c r="Y384" s="27">
        <f>IF(V384=0,0,IF(Control_Achizitii!$J384="DOSAR COMPLET",1,IF(LEFT(Control_Achizitii!$J384,9)="INCOMPLET",2,3)))</f>
        <v>0</v>
      </c>
      <c r="Z384" s="27"/>
      <c r="AA384" s="27"/>
      <c r="AB384" s="27"/>
      <c r="AC384" s="27"/>
      <c r="AD384" s="27"/>
      <c r="AE384" s="27"/>
      <c r="AF384" s="27"/>
      <c r="AG384" s="27"/>
      <c r="AH384" s="27">
        <f>IF(AND(V384=1,Control_Achizitii!$J384="DOSAR COMPLET",Control_Achizitii!$K384&lt;&gt;""),1,0)</f>
        <v>0</v>
      </c>
    </row>
    <row r="385" spans="1:34">
      <c r="A385" s="27"/>
      <c r="B385" s="27"/>
      <c r="C385" s="27"/>
      <c r="D385" s="27"/>
      <c r="E385" s="27"/>
      <c r="F385" s="27"/>
      <c r="G385" s="27"/>
      <c r="H385" s="27"/>
      <c r="I385" s="27"/>
      <c r="J385" s="27"/>
      <c r="K385" s="27"/>
      <c r="L385" s="27"/>
      <c r="M385" s="27"/>
      <c r="N385" s="27"/>
      <c r="O385" s="27"/>
      <c r="P385" s="27"/>
      <c r="Q385" s="27"/>
      <c r="R385" s="27"/>
      <c r="S385" s="27"/>
      <c r="T385" s="27">
        <f>IF(LEFT(Control_Achizitii!$E385,4)="Fact",1,0)</f>
        <v>0</v>
      </c>
      <c r="U385" s="27">
        <f>IF(Control_Achizitii!$C385="",0,IF(ISNUMBER(Control_Achizitii!$B385),0,1))</f>
        <v>0</v>
      </c>
      <c r="V385" s="27">
        <f>IF(Control_Achizitii!$C385="",0,IF($Z$2&lt;&gt;"OK",0,IF(AND(ISNUMBER(Control_Achizitii!$B385),Control_Achizitii!$B385&gt;=$E$5,Control_Achizitii!$B385&lt;$J$5+1,OR($O$5="Toate proiectele",Control_Achizitii!$Q385=$O$5)),1,0)))</f>
        <v>0</v>
      </c>
      <c r="W385" s="27">
        <f>IF(AND(V385=1,OR(Control_Achizitii!$J385&lt;&gt;"DOSAR COMPLET",Control_Achizitii!$K385&lt;&gt;"")),ROW(),1000000000)</f>
        <v>1000000000</v>
      </c>
      <c r="X385" s="27">
        <f>IF(AND(V385=1,LEFT(Control_Achizitii!$E385,4)="Fact",NOT(ISNUMBER(Control_Achizitii!$P385))),1,0)</f>
        <v>0</v>
      </c>
      <c r="Y385" s="27">
        <f>IF(V385=0,0,IF(Control_Achizitii!$J385="DOSAR COMPLET",1,IF(LEFT(Control_Achizitii!$J385,9)="INCOMPLET",2,3)))</f>
        <v>0</v>
      </c>
      <c r="Z385" s="27"/>
      <c r="AA385" s="27"/>
      <c r="AB385" s="27"/>
      <c r="AC385" s="27"/>
      <c r="AD385" s="27"/>
      <c r="AE385" s="27"/>
      <c r="AF385" s="27"/>
      <c r="AG385" s="27"/>
      <c r="AH385" s="27">
        <f>IF(AND(V385=1,Control_Achizitii!$J385="DOSAR COMPLET",Control_Achizitii!$K385&lt;&gt;""),1,0)</f>
        <v>0</v>
      </c>
    </row>
    <row r="386" spans="1:34">
      <c r="A386" s="27"/>
      <c r="B386" s="27"/>
      <c r="C386" s="27"/>
      <c r="D386" s="27"/>
      <c r="E386" s="27"/>
      <c r="F386" s="27"/>
      <c r="G386" s="27"/>
      <c r="H386" s="27"/>
      <c r="I386" s="27"/>
      <c r="J386" s="27"/>
      <c r="K386" s="27"/>
      <c r="L386" s="27"/>
      <c r="M386" s="27"/>
      <c r="N386" s="27"/>
      <c r="O386" s="27"/>
      <c r="P386" s="27"/>
      <c r="Q386" s="27"/>
      <c r="R386" s="27"/>
      <c r="S386" s="27"/>
      <c r="T386" s="27">
        <f>IF(LEFT(Control_Achizitii!$E386,4)="Fact",1,0)</f>
        <v>0</v>
      </c>
      <c r="U386" s="27">
        <f>IF(Control_Achizitii!$C386="",0,IF(ISNUMBER(Control_Achizitii!$B386),0,1))</f>
        <v>0</v>
      </c>
      <c r="V386" s="27">
        <f>IF(Control_Achizitii!$C386="",0,IF($Z$2&lt;&gt;"OK",0,IF(AND(ISNUMBER(Control_Achizitii!$B386),Control_Achizitii!$B386&gt;=$E$5,Control_Achizitii!$B386&lt;$J$5+1,OR($O$5="Toate proiectele",Control_Achizitii!$Q386=$O$5)),1,0)))</f>
        <v>0</v>
      </c>
      <c r="W386" s="27">
        <f>IF(AND(V386=1,OR(Control_Achizitii!$J386&lt;&gt;"DOSAR COMPLET",Control_Achizitii!$K386&lt;&gt;"")),ROW(),1000000000)</f>
        <v>1000000000</v>
      </c>
      <c r="X386" s="27">
        <f>IF(AND(V386=1,LEFT(Control_Achizitii!$E386,4)="Fact",NOT(ISNUMBER(Control_Achizitii!$P386))),1,0)</f>
        <v>0</v>
      </c>
      <c r="Y386" s="27">
        <f>IF(V386=0,0,IF(Control_Achizitii!$J386="DOSAR COMPLET",1,IF(LEFT(Control_Achizitii!$J386,9)="INCOMPLET",2,3)))</f>
        <v>0</v>
      </c>
      <c r="Z386" s="27"/>
      <c r="AA386" s="27"/>
      <c r="AB386" s="27"/>
      <c r="AC386" s="27"/>
      <c r="AD386" s="27"/>
      <c r="AE386" s="27"/>
      <c r="AF386" s="27"/>
      <c r="AG386" s="27"/>
      <c r="AH386" s="27">
        <f>IF(AND(V386=1,Control_Achizitii!$J386="DOSAR COMPLET",Control_Achizitii!$K386&lt;&gt;""),1,0)</f>
        <v>0</v>
      </c>
    </row>
    <row r="387" spans="1:34">
      <c r="A387" s="27"/>
      <c r="B387" s="27"/>
      <c r="C387" s="27"/>
      <c r="D387" s="27"/>
      <c r="E387" s="27"/>
      <c r="F387" s="27"/>
      <c r="G387" s="27"/>
      <c r="H387" s="27"/>
      <c r="I387" s="27"/>
      <c r="J387" s="27"/>
      <c r="K387" s="27"/>
      <c r="L387" s="27"/>
      <c r="M387" s="27"/>
      <c r="N387" s="27"/>
      <c r="O387" s="27"/>
      <c r="P387" s="27"/>
      <c r="Q387" s="27"/>
      <c r="R387" s="27"/>
      <c r="S387" s="27"/>
      <c r="T387" s="27">
        <f>IF(LEFT(Control_Achizitii!$E387,4)="Fact",1,0)</f>
        <v>0</v>
      </c>
      <c r="U387" s="27">
        <f>IF(Control_Achizitii!$C387="",0,IF(ISNUMBER(Control_Achizitii!$B387),0,1))</f>
        <v>0</v>
      </c>
      <c r="V387" s="27">
        <f>IF(Control_Achizitii!$C387="",0,IF($Z$2&lt;&gt;"OK",0,IF(AND(ISNUMBER(Control_Achizitii!$B387),Control_Achizitii!$B387&gt;=$E$5,Control_Achizitii!$B387&lt;$J$5+1,OR($O$5="Toate proiectele",Control_Achizitii!$Q387=$O$5)),1,0)))</f>
        <v>0</v>
      </c>
      <c r="W387" s="27">
        <f>IF(AND(V387=1,OR(Control_Achizitii!$J387&lt;&gt;"DOSAR COMPLET",Control_Achizitii!$K387&lt;&gt;"")),ROW(),1000000000)</f>
        <v>1000000000</v>
      </c>
      <c r="X387" s="27">
        <f>IF(AND(V387=1,LEFT(Control_Achizitii!$E387,4)="Fact",NOT(ISNUMBER(Control_Achizitii!$P387))),1,0)</f>
        <v>0</v>
      </c>
      <c r="Y387" s="27">
        <f>IF(V387=0,0,IF(Control_Achizitii!$J387="DOSAR COMPLET",1,IF(LEFT(Control_Achizitii!$J387,9)="INCOMPLET",2,3)))</f>
        <v>0</v>
      </c>
      <c r="Z387" s="27"/>
      <c r="AA387" s="27"/>
      <c r="AB387" s="27"/>
      <c r="AC387" s="27"/>
      <c r="AD387" s="27"/>
      <c r="AE387" s="27"/>
      <c r="AF387" s="27"/>
      <c r="AG387" s="27"/>
      <c r="AH387" s="27">
        <f>IF(AND(V387=1,Control_Achizitii!$J387="DOSAR COMPLET",Control_Achizitii!$K387&lt;&gt;""),1,0)</f>
        <v>0</v>
      </c>
    </row>
    <row r="388" spans="1:34">
      <c r="A388" s="27"/>
      <c r="B388" s="27"/>
      <c r="C388" s="27"/>
      <c r="D388" s="27"/>
      <c r="E388" s="27"/>
      <c r="F388" s="27"/>
      <c r="G388" s="27"/>
      <c r="H388" s="27"/>
      <c r="I388" s="27"/>
      <c r="J388" s="27"/>
      <c r="K388" s="27"/>
      <c r="L388" s="27"/>
      <c r="M388" s="27"/>
      <c r="N388" s="27"/>
      <c r="O388" s="27"/>
      <c r="P388" s="27"/>
      <c r="Q388" s="27"/>
      <c r="R388" s="27"/>
      <c r="S388" s="27"/>
      <c r="T388" s="27">
        <f>IF(LEFT(Control_Achizitii!$E388,4)="Fact",1,0)</f>
        <v>0</v>
      </c>
      <c r="U388" s="27">
        <f>IF(Control_Achizitii!$C388="",0,IF(ISNUMBER(Control_Achizitii!$B388),0,1))</f>
        <v>0</v>
      </c>
      <c r="V388" s="27">
        <f>IF(Control_Achizitii!$C388="",0,IF($Z$2&lt;&gt;"OK",0,IF(AND(ISNUMBER(Control_Achizitii!$B388),Control_Achizitii!$B388&gt;=$E$5,Control_Achizitii!$B388&lt;$J$5+1,OR($O$5="Toate proiectele",Control_Achizitii!$Q388=$O$5)),1,0)))</f>
        <v>0</v>
      </c>
      <c r="W388" s="27">
        <f>IF(AND(V388=1,OR(Control_Achizitii!$J388&lt;&gt;"DOSAR COMPLET",Control_Achizitii!$K388&lt;&gt;"")),ROW(),1000000000)</f>
        <v>1000000000</v>
      </c>
      <c r="X388" s="27">
        <f>IF(AND(V388=1,LEFT(Control_Achizitii!$E388,4)="Fact",NOT(ISNUMBER(Control_Achizitii!$P388))),1,0)</f>
        <v>0</v>
      </c>
      <c r="Y388" s="27">
        <f>IF(V388=0,0,IF(Control_Achizitii!$J388="DOSAR COMPLET",1,IF(LEFT(Control_Achizitii!$J388,9)="INCOMPLET",2,3)))</f>
        <v>0</v>
      </c>
      <c r="Z388" s="27"/>
      <c r="AA388" s="27"/>
      <c r="AB388" s="27"/>
      <c r="AC388" s="27"/>
      <c r="AD388" s="27"/>
      <c r="AE388" s="27"/>
      <c r="AF388" s="27"/>
      <c r="AG388" s="27"/>
      <c r="AH388" s="27">
        <f>IF(AND(V388=1,Control_Achizitii!$J388="DOSAR COMPLET",Control_Achizitii!$K388&lt;&gt;""),1,0)</f>
        <v>0</v>
      </c>
    </row>
    <row r="389" spans="1:34">
      <c r="A389" s="27"/>
      <c r="B389" s="27"/>
      <c r="C389" s="27"/>
      <c r="D389" s="27"/>
      <c r="E389" s="27"/>
      <c r="F389" s="27"/>
      <c r="G389" s="27"/>
      <c r="H389" s="27"/>
      <c r="I389" s="27"/>
      <c r="J389" s="27"/>
      <c r="K389" s="27"/>
      <c r="L389" s="27"/>
      <c r="M389" s="27"/>
      <c r="N389" s="27"/>
      <c r="O389" s="27"/>
      <c r="P389" s="27"/>
      <c r="Q389" s="27"/>
      <c r="R389" s="27"/>
      <c r="S389" s="27"/>
      <c r="T389" s="27">
        <f>IF(LEFT(Control_Achizitii!$E389,4)="Fact",1,0)</f>
        <v>0</v>
      </c>
      <c r="U389" s="27">
        <f>IF(Control_Achizitii!$C389="",0,IF(ISNUMBER(Control_Achizitii!$B389),0,1))</f>
        <v>0</v>
      </c>
      <c r="V389" s="27">
        <f>IF(Control_Achizitii!$C389="",0,IF($Z$2&lt;&gt;"OK",0,IF(AND(ISNUMBER(Control_Achizitii!$B389),Control_Achizitii!$B389&gt;=$E$5,Control_Achizitii!$B389&lt;$J$5+1,OR($O$5="Toate proiectele",Control_Achizitii!$Q389=$O$5)),1,0)))</f>
        <v>0</v>
      </c>
      <c r="W389" s="27">
        <f>IF(AND(V389=1,OR(Control_Achizitii!$J389&lt;&gt;"DOSAR COMPLET",Control_Achizitii!$K389&lt;&gt;"")),ROW(),1000000000)</f>
        <v>1000000000</v>
      </c>
      <c r="X389" s="27">
        <f>IF(AND(V389=1,LEFT(Control_Achizitii!$E389,4)="Fact",NOT(ISNUMBER(Control_Achizitii!$P389))),1,0)</f>
        <v>0</v>
      </c>
      <c r="Y389" s="27">
        <f>IF(V389=0,0,IF(Control_Achizitii!$J389="DOSAR COMPLET",1,IF(LEFT(Control_Achizitii!$J389,9)="INCOMPLET",2,3)))</f>
        <v>0</v>
      </c>
      <c r="Z389" s="27"/>
      <c r="AA389" s="27"/>
      <c r="AB389" s="27"/>
      <c r="AC389" s="27"/>
      <c r="AD389" s="27"/>
      <c r="AE389" s="27"/>
      <c r="AF389" s="27"/>
      <c r="AG389" s="27"/>
      <c r="AH389" s="27">
        <f>IF(AND(V389=1,Control_Achizitii!$J389="DOSAR COMPLET",Control_Achizitii!$K389&lt;&gt;""),1,0)</f>
        <v>0</v>
      </c>
    </row>
    <row r="390" spans="1:34">
      <c r="A390" s="27"/>
      <c r="B390" s="27"/>
      <c r="C390" s="27"/>
      <c r="D390" s="27"/>
      <c r="E390" s="27"/>
      <c r="F390" s="27"/>
      <c r="G390" s="27"/>
      <c r="H390" s="27"/>
      <c r="I390" s="27"/>
      <c r="J390" s="27"/>
      <c r="K390" s="27"/>
      <c r="L390" s="27"/>
      <c r="M390" s="27"/>
      <c r="N390" s="27"/>
      <c r="O390" s="27"/>
      <c r="P390" s="27"/>
      <c r="Q390" s="27"/>
      <c r="R390" s="27"/>
      <c r="S390" s="27"/>
      <c r="T390" s="27">
        <f>IF(LEFT(Control_Achizitii!$E390,4)="Fact",1,0)</f>
        <v>0</v>
      </c>
      <c r="U390" s="27">
        <f>IF(Control_Achizitii!$C390="",0,IF(ISNUMBER(Control_Achizitii!$B390),0,1))</f>
        <v>0</v>
      </c>
      <c r="V390" s="27">
        <f>IF(Control_Achizitii!$C390="",0,IF($Z$2&lt;&gt;"OK",0,IF(AND(ISNUMBER(Control_Achizitii!$B390),Control_Achizitii!$B390&gt;=$E$5,Control_Achizitii!$B390&lt;$J$5+1,OR($O$5="Toate proiectele",Control_Achizitii!$Q390=$O$5)),1,0)))</f>
        <v>0</v>
      </c>
      <c r="W390" s="27">
        <f>IF(AND(V390=1,OR(Control_Achizitii!$J390&lt;&gt;"DOSAR COMPLET",Control_Achizitii!$K390&lt;&gt;"")),ROW(),1000000000)</f>
        <v>1000000000</v>
      </c>
      <c r="X390" s="27">
        <f>IF(AND(V390=1,LEFT(Control_Achizitii!$E390,4)="Fact",NOT(ISNUMBER(Control_Achizitii!$P390))),1,0)</f>
        <v>0</v>
      </c>
      <c r="Y390" s="27">
        <f>IF(V390=0,0,IF(Control_Achizitii!$J390="DOSAR COMPLET",1,IF(LEFT(Control_Achizitii!$J390,9)="INCOMPLET",2,3)))</f>
        <v>0</v>
      </c>
      <c r="Z390" s="27"/>
      <c r="AA390" s="27"/>
      <c r="AB390" s="27"/>
      <c r="AC390" s="27"/>
      <c r="AD390" s="27"/>
      <c r="AE390" s="27"/>
      <c r="AF390" s="27"/>
      <c r="AG390" s="27"/>
      <c r="AH390" s="27">
        <f>IF(AND(V390=1,Control_Achizitii!$J390="DOSAR COMPLET",Control_Achizitii!$K390&lt;&gt;""),1,0)</f>
        <v>0</v>
      </c>
    </row>
    <row r="391" spans="1:34">
      <c r="A391" s="27"/>
      <c r="B391" s="27"/>
      <c r="C391" s="27"/>
      <c r="D391" s="27"/>
      <c r="E391" s="27"/>
      <c r="F391" s="27"/>
      <c r="G391" s="27"/>
      <c r="H391" s="27"/>
      <c r="I391" s="27"/>
      <c r="J391" s="27"/>
      <c r="K391" s="27"/>
      <c r="L391" s="27"/>
      <c r="M391" s="27"/>
      <c r="N391" s="27"/>
      <c r="O391" s="27"/>
      <c r="P391" s="27"/>
      <c r="Q391" s="27"/>
      <c r="R391" s="27"/>
      <c r="S391" s="27"/>
      <c r="T391" s="27">
        <f>IF(LEFT(Control_Achizitii!$E391,4)="Fact",1,0)</f>
        <v>0</v>
      </c>
      <c r="U391" s="27">
        <f>IF(Control_Achizitii!$C391="",0,IF(ISNUMBER(Control_Achizitii!$B391),0,1))</f>
        <v>0</v>
      </c>
      <c r="V391" s="27">
        <f>IF(Control_Achizitii!$C391="",0,IF($Z$2&lt;&gt;"OK",0,IF(AND(ISNUMBER(Control_Achizitii!$B391),Control_Achizitii!$B391&gt;=$E$5,Control_Achizitii!$B391&lt;$J$5+1,OR($O$5="Toate proiectele",Control_Achizitii!$Q391=$O$5)),1,0)))</f>
        <v>0</v>
      </c>
      <c r="W391" s="27">
        <f>IF(AND(V391=1,OR(Control_Achizitii!$J391&lt;&gt;"DOSAR COMPLET",Control_Achizitii!$K391&lt;&gt;"")),ROW(),1000000000)</f>
        <v>1000000000</v>
      </c>
      <c r="X391" s="27">
        <f>IF(AND(V391=1,LEFT(Control_Achizitii!$E391,4)="Fact",NOT(ISNUMBER(Control_Achizitii!$P391))),1,0)</f>
        <v>0</v>
      </c>
      <c r="Y391" s="27">
        <f>IF(V391=0,0,IF(Control_Achizitii!$J391="DOSAR COMPLET",1,IF(LEFT(Control_Achizitii!$J391,9)="INCOMPLET",2,3)))</f>
        <v>0</v>
      </c>
      <c r="Z391" s="27"/>
      <c r="AA391" s="27"/>
      <c r="AB391" s="27"/>
      <c r="AC391" s="27"/>
      <c r="AD391" s="27"/>
      <c r="AE391" s="27"/>
      <c r="AF391" s="27"/>
      <c r="AG391" s="27"/>
      <c r="AH391" s="27">
        <f>IF(AND(V391=1,Control_Achizitii!$J391="DOSAR COMPLET",Control_Achizitii!$K391&lt;&gt;""),1,0)</f>
        <v>0</v>
      </c>
    </row>
    <row r="392" spans="1:34">
      <c r="A392" s="27"/>
      <c r="B392" s="27"/>
      <c r="C392" s="27"/>
      <c r="D392" s="27"/>
      <c r="E392" s="27"/>
      <c r="F392" s="27"/>
      <c r="G392" s="27"/>
      <c r="H392" s="27"/>
      <c r="I392" s="27"/>
      <c r="J392" s="27"/>
      <c r="K392" s="27"/>
      <c r="L392" s="27"/>
      <c r="M392" s="27"/>
      <c r="N392" s="27"/>
      <c r="O392" s="27"/>
      <c r="P392" s="27"/>
      <c r="Q392" s="27"/>
      <c r="R392" s="27"/>
      <c r="S392" s="27"/>
      <c r="T392" s="27">
        <f>IF(LEFT(Control_Achizitii!$E392,4)="Fact",1,0)</f>
        <v>0</v>
      </c>
      <c r="U392" s="27">
        <f>IF(Control_Achizitii!$C392="",0,IF(ISNUMBER(Control_Achizitii!$B392),0,1))</f>
        <v>0</v>
      </c>
      <c r="V392" s="27">
        <f>IF(Control_Achizitii!$C392="",0,IF($Z$2&lt;&gt;"OK",0,IF(AND(ISNUMBER(Control_Achizitii!$B392),Control_Achizitii!$B392&gt;=$E$5,Control_Achizitii!$B392&lt;$J$5+1,OR($O$5="Toate proiectele",Control_Achizitii!$Q392=$O$5)),1,0)))</f>
        <v>0</v>
      </c>
      <c r="W392" s="27">
        <f>IF(AND(V392=1,OR(Control_Achizitii!$J392&lt;&gt;"DOSAR COMPLET",Control_Achizitii!$K392&lt;&gt;"")),ROW(),1000000000)</f>
        <v>1000000000</v>
      </c>
      <c r="X392" s="27">
        <f>IF(AND(V392=1,LEFT(Control_Achizitii!$E392,4)="Fact",NOT(ISNUMBER(Control_Achizitii!$P392))),1,0)</f>
        <v>0</v>
      </c>
      <c r="Y392" s="27">
        <f>IF(V392=0,0,IF(Control_Achizitii!$J392="DOSAR COMPLET",1,IF(LEFT(Control_Achizitii!$J392,9)="INCOMPLET",2,3)))</f>
        <v>0</v>
      </c>
      <c r="Z392" s="27"/>
      <c r="AA392" s="27"/>
      <c r="AB392" s="27"/>
      <c r="AC392" s="27"/>
      <c r="AD392" s="27"/>
      <c r="AE392" s="27"/>
      <c r="AF392" s="27"/>
      <c r="AG392" s="27"/>
      <c r="AH392" s="27">
        <f>IF(AND(V392=1,Control_Achizitii!$J392="DOSAR COMPLET",Control_Achizitii!$K392&lt;&gt;""),1,0)</f>
        <v>0</v>
      </c>
    </row>
    <row r="393" spans="1:34">
      <c r="A393" s="27"/>
      <c r="B393" s="27"/>
      <c r="C393" s="27"/>
      <c r="D393" s="27"/>
      <c r="E393" s="27"/>
      <c r="F393" s="27"/>
      <c r="G393" s="27"/>
      <c r="H393" s="27"/>
      <c r="I393" s="27"/>
      <c r="J393" s="27"/>
      <c r="K393" s="27"/>
      <c r="L393" s="27"/>
      <c r="M393" s="27"/>
      <c r="N393" s="27"/>
      <c r="O393" s="27"/>
      <c r="P393" s="27"/>
      <c r="Q393" s="27"/>
      <c r="R393" s="27"/>
      <c r="S393" s="27"/>
      <c r="T393" s="27">
        <f>IF(LEFT(Control_Achizitii!$E393,4)="Fact",1,0)</f>
        <v>0</v>
      </c>
      <c r="U393" s="27">
        <f>IF(Control_Achizitii!$C393="",0,IF(ISNUMBER(Control_Achizitii!$B393),0,1))</f>
        <v>0</v>
      </c>
      <c r="V393" s="27">
        <f>IF(Control_Achizitii!$C393="",0,IF($Z$2&lt;&gt;"OK",0,IF(AND(ISNUMBER(Control_Achizitii!$B393),Control_Achizitii!$B393&gt;=$E$5,Control_Achizitii!$B393&lt;$J$5+1,OR($O$5="Toate proiectele",Control_Achizitii!$Q393=$O$5)),1,0)))</f>
        <v>0</v>
      </c>
      <c r="W393" s="27">
        <f>IF(AND(V393=1,OR(Control_Achizitii!$J393&lt;&gt;"DOSAR COMPLET",Control_Achizitii!$K393&lt;&gt;"")),ROW(),1000000000)</f>
        <v>1000000000</v>
      </c>
      <c r="X393" s="27">
        <f>IF(AND(V393=1,LEFT(Control_Achizitii!$E393,4)="Fact",NOT(ISNUMBER(Control_Achizitii!$P393))),1,0)</f>
        <v>0</v>
      </c>
      <c r="Y393" s="27">
        <f>IF(V393=0,0,IF(Control_Achizitii!$J393="DOSAR COMPLET",1,IF(LEFT(Control_Achizitii!$J393,9)="INCOMPLET",2,3)))</f>
        <v>0</v>
      </c>
      <c r="Z393" s="27"/>
      <c r="AA393" s="27"/>
      <c r="AB393" s="27"/>
      <c r="AC393" s="27"/>
      <c r="AD393" s="27"/>
      <c r="AE393" s="27"/>
      <c r="AF393" s="27"/>
      <c r="AG393" s="27"/>
      <c r="AH393" s="27">
        <f>IF(AND(V393=1,Control_Achizitii!$J393="DOSAR COMPLET",Control_Achizitii!$K393&lt;&gt;""),1,0)</f>
        <v>0</v>
      </c>
    </row>
    <row r="394" spans="1:34">
      <c r="A394" s="27"/>
      <c r="B394" s="27"/>
      <c r="C394" s="27"/>
      <c r="D394" s="27"/>
      <c r="E394" s="27"/>
      <c r="F394" s="27"/>
      <c r="G394" s="27"/>
      <c r="H394" s="27"/>
      <c r="I394" s="27"/>
      <c r="J394" s="27"/>
      <c r="K394" s="27"/>
      <c r="L394" s="27"/>
      <c r="M394" s="27"/>
      <c r="N394" s="27"/>
      <c r="O394" s="27"/>
      <c r="P394" s="27"/>
      <c r="Q394" s="27"/>
      <c r="R394" s="27"/>
      <c r="S394" s="27"/>
      <c r="T394" s="27">
        <f>IF(LEFT(Control_Achizitii!$E394,4)="Fact",1,0)</f>
        <v>0</v>
      </c>
      <c r="U394" s="27">
        <f>IF(Control_Achizitii!$C394="",0,IF(ISNUMBER(Control_Achizitii!$B394),0,1))</f>
        <v>0</v>
      </c>
      <c r="V394" s="27">
        <f>IF(Control_Achizitii!$C394="",0,IF($Z$2&lt;&gt;"OK",0,IF(AND(ISNUMBER(Control_Achizitii!$B394),Control_Achizitii!$B394&gt;=$E$5,Control_Achizitii!$B394&lt;$J$5+1,OR($O$5="Toate proiectele",Control_Achizitii!$Q394=$O$5)),1,0)))</f>
        <v>0</v>
      </c>
      <c r="W394" s="27">
        <f>IF(AND(V394=1,OR(Control_Achizitii!$J394&lt;&gt;"DOSAR COMPLET",Control_Achizitii!$K394&lt;&gt;"")),ROW(),1000000000)</f>
        <v>1000000000</v>
      </c>
      <c r="X394" s="27">
        <f>IF(AND(V394=1,LEFT(Control_Achizitii!$E394,4)="Fact",NOT(ISNUMBER(Control_Achizitii!$P394))),1,0)</f>
        <v>0</v>
      </c>
      <c r="Y394" s="27">
        <f>IF(V394=0,0,IF(Control_Achizitii!$J394="DOSAR COMPLET",1,IF(LEFT(Control_Achizitii!$J394,9)="INCOMPLET",2,3)))</f>
        <v>0</v>
      </c>
      <c r="Z394" s="27"/>
      <c r="AA394" s="27"/>
      <c r="AB394" s="27"/>
      <c r="AC394" s="27"/>
      <c r="AD394" s="27"/>
      <c r="AE394" s="27"/>
      <c r="AF394" s="27"/>
      <c r="AG394" s="27"/>
      <c r="AH394" s="27">
        <f>IF(AND(V394=1,Control_Achizitii!$J394="DOSAR COMPLET",Control_Achizitii!$K394&lt;&gt;""),1,0)</f>
        <v>0</v>
      </c>
    </row>
    <row r="395" spans="1:34">
      <c r="A395" s="27"/>
      <c r="B395" s="27"/>
      <c r="C395" s="27"/>
      <c r="D395" s="27"/>
      <c r="E395" s="27"/>
      <c r="F395" s="27"/>
      <c r="G395" s="27"/>
      <c r="H395" s="27"/>
      <c r="I395" s="27"/>
      <c r="J395" s="27"/>
      <c r="K395" s="27"/>
      <c r="L395" s="27"/>
      <c r="M395" s="27"/>
      <c r="N395" s="27"/>
      <c r="O395" s="27"/>
      <c r="P395" s="27"/>
      <c r="Q395" s="27"/>
      <c r="R395" s="27"/>
      <c r="S395" s="27"/>
      <c r="T395" s="27">
        <f>IF(LEFT(Control_Achizitii!$E395,4)="Fact",1,0)</f>
        <v>0</v>
      </c>
      <c r="U395" s="27">
        <f>IF(Control_Achizitii!$C395="",0,IF(ISNUMBER(Control_Achizitii!$B395),0,1))</f>
        <v>0</v>
      </c>
      <c r="V395" s="27">
        <f>IF(Control_Achizitii!$C395="",0,IF($Z$2&lt;&gt;"OK",0,IF(AND(ISNUMBER(Control_Achizitii!$B395),Control_Achizitii!$B395&gt;=$E$5,Control_Achizitii!$B395&lt;$J$5+1,OR($O$5="Toate proiectele",Control_Achizitii!$Q395=$O$5)),1,0)))</f>
        <v>0</v>
      </c>
      <c r="W395" s="27">
        <f>IF(AND(V395=1,OR(Control_Achizitii!$J395&lt;&gt;"DOSAR COMPLET",Control_Achizitii!$K395&lt;&gt;"")),ROW(),1000000000)</f>
        <v>1000000000</v>
      </c>
      <c r="X395" s="27">
        <f>IF(AND(V395=1,LEFT(Control_Achizitii!$E395,4)="Fact",NOT(ISNUMBER(Control_Achizitii!$P395))),1,0)</f>
        <v>0</v>
      </c>
      <c r="Y395" s="27">
        <f>IF(V395=0,0,IF(Control_Achizitii!$J395="DOSAR COMPLET",1,IF(LEFT(Control_Achizitii!$J395,9)="INCOMPLET",2,3)))</f>
        <v>0</v>
      </c>
      <c r="Z395" s="27"/>
      <c r="AA395" s="27"/>
      <c r="AB395" s="27"/>
      <c r="AC395" s="27"/>
      <c r="AD395" s="27"/>
      <c r="AE395" s="27"/>
      <c r="AF395" s="27"/>
      <c r="AG395" s="27"/>
      <c r="AH395" s="27">
        <f>IF(AND(V395=1,Control_Achizitii!$J395="DOSAR COMPLET",Control_Achizitii!$K395&lt;&gt;""),1,0)</f>
        <v>0</v>
      </c>
    </row>
    <row r="396" spans="1:34">
      <c r="A396" s="27"/>
      <c r="B396" s="27"/>
      <c r="C396" s="27"/>
      <c r="D396" s="27"/>
      <c r="E396" s="27"/>
      <c r="F396" s="27"/>
      <c r="G396" s="27"/>
      <c r="H396" s="27"/>
      <c r="I396" s="27"/>
      <c r="J396" s="27"/>
      <c r="K396" s="27"/>
      <c r="L396" s="27"/>
      <c r="M396" s="27"/>
      <c r="N396" s="27"/>
      <c r="O396" s="27"/>
      <c r="P396" s="27"/>
      <c r="Q396" s="27"/>
      <c r="R396" s="27"/>
      <c r="S396" s="27"/>
      <c r="T396" s="27">
        <f>IF(LEFT(Control_Achizitii!$E396,4)="Fact",1,0)</f>
        <v>0</v>
      </c>
      <c r="U396" s="27">
        <f>IF(Control_Achizitii!$C396="",0,IF(ISNUMBER(Control_Achizitii!$B396),0,1))</f>
        <v>0</v>
      </c>
      <c r="V396" s="27">
        <f>IF(Control_Achizitii!$C396="",0,IF($Z$2&lt;&gt;"OK",0,IF(AND(ISNUMBER(Control_Achizitii!$B396),Control_Achizitii!$B396&gt;=$E$5,Control_Achizitii!$B396&lt;$J$5+1,OR($O$5="Toate proiectele",Control_Achizitii!$Q396=$O$5)),1,0)))</f>
        <v>0</v>
      </c>
      <c r="W396" s="27">
        <f>IF(AND(V396=1,OR(Control_Achizitii!$J396&lt;&gt;"DOSAR COMPLET",Control_Achizitii!$K396&lt;&gt;"")),ROW(),1000000000)</f>
        <v>1000000000</v>
      </c>
      <c r="X396" s="27">
        <f>IF(AND(V396=1,LEFT(Control_Achizitii!$E396,4)="Fact",NOT(ISNUMBER(Control_Achizitii!$P396))),1,0)</f>
        <v>0</v>
      </c>
      <c r="Y396" s="27">
        <f>IF(V396=0,0,IF(Control_Achizitii!$J396="DOSAR COMPLET",1,IF(LEFT(Control_Achizitii!$J396,9)="INCOMPLET",2,3)))</f>
        <v>0</v>
      </c>
      <c r="Z396" s="27"/>
      <c r="AA396" s="27"/>
      <c r="AB396" s="27"/>
      <c r="AC396" s="27"/>
      <c r="AD396" s="27"/>
      <c r="AE396" s="27"/>
      <c r="AF396" s="27"/>
      <c r="AG396" s="27"/>
      <c r="AH396" s="27">
        <f>IF(AND(V396=1,Control_Achizitii!$J396="DOSAR COMPLET",Control_Achizitii!$K396&lt;&gt;""),1,0)</f>
        <v>0</v>
      </c>
    </row>
    <row r="397" spans="1:34">
      <c r="A397" s="27"/>
      <c r="B397" s="27"/>
      <c r="C397" s="27"/>
      <c r="D397" s="27"/>
      <c r="E397" s="27"/>
      <c r="F397" s="27"/>
      <c r="G397" s="27"/>
      <c r="H397" s="27"/>
      <c r="I397" s="27"/>
      <c r="J397" s="27"/>
      <c r="K397" s="27"/>
      <c r="L397" s="27"/>
      <c r="M397" s="27"/>
      <c r="N397" s="27"/>
      <c r="O397" s="27"/>
      <c r="P397" s="27"/>
      <c r="Q397" s="27"/>
      <c r="R397" s="27"/>
      <c r="S397" s="27"/>
      <c r="T397" s="27">
        <f>IF(LEFT(Control_Achizitii!$E397,4)="Fact",1,0)</f>
        <v>0</v>
      </c>
      <c r="U397" s="27">
        <f>IF(Control_Achizitii!$C397="",0,IF(ISNUMBER(Control_Achizitii!$B397),0,1))</f>
        <v>0</v>
      </c>
      <c r="V397" s="27">
        <f>IF(Control_Achizitii!$C397="",0,IF($Z$2&lt;&gt;"OK",0,IF(AND(ISNUMBER(Control_Achizitii!$B397),Control_Achizitii!$B397&gt;=$E$5,Control_Achizitii!$B397&lt;$J$5+1,OR($O$5="Toate proiectele",Control_Achizitii!$Q397=$O$5)),1,0)))</f>
        <v>0</v>
      </c>
      <c r="W397" s="27">
        <f>IF(AND(V397=1,OR(Control_Achizitii!$J397&lt;&gt;"DOSAR COMPLET",Control_Achizitii!$K397&lt;&gt;"")),ROW(),1000000000)</f>
        <v>1000000000</v>
      </c>
      <c r="X397" s="27">
        <f>IF(AND(V397=1,LEFT(Control_Achizitii!$E397,4)="Fact",NOT(ISNUMBER(Control_Achizitii!$P397))),1,0)</f>
        <v>0</v>
      </c>
      <c r="Y397" s="27">
        <f>IF(V397=0,0,IF(Control_Achizitii!$J397="DOSAR COMPLET",1,IF(LEFT(Control_Achizitii!$J397,9)="INCOMPLET",2,3)))</f>
        <v>0</v>
      </c>
      <c r="Z397" s="27"/>
      <c r="AA397" s="27"/>
      <c r="AB397" s="27"/>
      <c r="AC397" s="27"/>
      <c r="AD397" s="27"/>
      <c r="AE397" s="27"/>
      <c r="AF397" s="27"/>
      <c r="AG397" s="27"/>
      <c r="AH397" s="27">
        <f>IF(AND(V397=1,Control_Achizitii!$J397="DOSAR COMPLET",Control_Achizitii!$K397&lt;&gt;""),1,0)</f>
        <v>0</v>
      </c>
    </row>
    <row r="398" spans="1:34">
      <c r="A398" s="27"/>
      <c r="B398" s="27"/>
      <c r="C398" s="27"/>
      <c r="D398" s="27"/>
      <c r="E398" s="27"/>
      <c r="F398" s="27"/>
      <c r="G398" s="27"/>
      <c r="H398" s="27"/>
      <c r="I398" s="27"/>
      <c r="J398" s="27"/>
      <c r="K398" s="27"/>
      <c r="L398" s="27"/>
      <c r="M398" s="27"/>
      <c r="N398" s="27"/>
      <c r="O398" s="27"/>
      <c r="P398" s="27"/>
      <c r="Q398" s="27"/>
      <c r="R398" s="27"/>
      <c r="S398" s="27"/>
      <c r="T398" s="27">
        <f>IF(LEFT(Control_Achizitii!$E398,4)="Fact",1,0)</f>
        <v>0</v>
      </c>
      <c r="U398" s="27">
        <f>IF(Control_Achizitii!$C398="",0,IF(ISNUMBER(Control_Achizitii!$B398),0,1))</f>
        <v>0</v>
      </c>
      <c r="V398" s="27">
        <f>IF(Control_Achizitii!$C398="",0,IF($Z$2&lt;&gt;"OK",0,IF(AND(ISNUMBER(Control_Achizitii!$B398),Control_Achizitii!$B398&gt;=$E$5,Control_Achizitii!$B398&lt;$J$5+1,OR($O$5="Toate proiectele",Control_Achizitii!$Q398=$O$5)),1,0)))</f>
        <v>0</v>
      </c>
      <c r="W398" s="27">
        <f>IF(AND(V398=1,OR(Control_Achizitii!$J398&lt;&gt;"DOSAR COMPLET",Control_Achizitii!$K398&lt;&gt;"")),ROW(),1000000000)</f>
        <v>1000000000</v>
      </c>
      <c r="X398" s="27">
        <f>IF(AND(V398=1,LEFT(Control_Achizitii!$E398,4)="Fact",NOT(ISNUMBER(Control_Achizitii!$P398))),1,0)</f>
        <v>0</v>
      </c>
      <c r="Y398" s="27">
        <f>IF(V398=0,0,IF(Control_Achizitii!$J398="DOSAR COMPLET",1,IF(LEFT(Control_Achizitii!$J398,9)="INCOMPLET",2,3)))</f>
        <v>0</v>
      </c>
      <c r="Z398" s="27"/>
      <c r="AA398" s="27"/>
      <c r="AB398" s="27"/>
      <c r="AC398" s="27"/>
      <c r="AD398" s="27"/>
      <c r="AE398" s="27"/>
      <c r="AF398" s="27"/>
      <c r="AG398" s="27"/>
      <c r="AH398" s="27">
        <f>IF(AND(V398=1,Control_Achizitii!$J398="DOSAR COMPLET",Control_Achizitii!$K398&lt;&gt;""),1,0)</f>
        <v>0</v>
      </c>
    </row>
    <row r="399" spans="1:34">
      <c r="A399" s="27"/>
      <c r="B399" s="27"/>
      <c r="C399" s="27"/>
      <c r="D399" s="27"/>
      <c r="E399" s="27"/>
      <c r="F399" s="27"/>
      <c r="G399" s="27"/>
      <c r="H399" s="27"/>
      <c r="I399" s="27"/>
      <c r="J399" s="27"/>
      <c r="K399" s="27"/>
      <c r="L399" s="27"/>
      <c r="M399" s="27"/>
      <c r="N399" s="27"/>
      <c r="O399" s="27"/>
      <c r="P399" s="27"/>
      <c r="Q399" s="27"/>
      <c r="R399" s="27"/>
      <c r="S399" s="27"/>
      <c r="T399" s="27">
        <f>IF(LEFT(Control_Achizitii!$E399,4)="Fact",1,0)</f>
        <v>0</v>
      </c>
      <c r="U399" s="27">
        <f>IF(Control_Achizitii!$C399="",0,IF(ISNUMBER(Control_Achizitii!$B399),0,1))</f>
        <v>0</v>
      </c>
      <c r="V399" s="27">
        <f>IF(Control_Achizitii!$C399="",0,IF($Z$2&lt;&gt;"OK",0,IF(AND(ISNUMBER(Control_Achizitii!$B399),Control_Achizitii!$B399&gt;=$E$5,Control_Achizitii!$B399&lt;$J$5+1,OR($O$5="Toate proiectele",Control_Achizitii!$Q399=$O$5)),1,0)))</f>
        <v>0</v>
      </c>
      <c r="W399" s="27">
        <f>IF(AND(V399=1,OR(Control_Achizitii!$J399&lt;&gt;"DOSAR COMPLET",Control_Achizitii!$K399&lt;&gt;"")),ROW(),1000000000)</f>
        <v>1000000000</v>
      </c>
      <c r="X399" s="27">
        <f>IF(AND(V399=1,LEFT(Control_Achizitii!$E399,4)="Fact",NOT(ISNUMBER(Control_Achizitii!$P399))),1,0)</f>
        <v>0</v>
      </c>
      <c r="Y399" s="27">
        <f>IF(V399=0,0,IF(Control_Achizitii!$J399="DOSAR COMPLET",1,IF(LEFT(Control_Achizitii!$J399,9)="INCOMPLET",2,3)))</f>
        <v>0</v>
      </c>
      <c r="Z399" s="27"/>
      <c r="AA399" s="27"/>
      <c r="AB399" s="27"/>
      <c r="AC399" s="27"/>
      <c r="AD399" s="27"/>
      <c r="AE399" s="27"/>
      <c r="AF399" s="27"/>
      <c r="AG399" s="27"/>
      <c r="AH399" s="27">
        <f>IF(AND(V399=1,Control_Achizitii!$J399="DOSAR COMPLET",Control_Achizitii!$K399&lt;&gt;""),1,0)</f>
        <v>0</v>
      </c>
    </row>
    <row r="400" spans="1:34">
      <c r="A400" s="27"/>
      <c r="B400" s="27"/>
      <c r="C400" s="27"/>
      <c r="D400" s="27"/>
      <c r="E400" s="27"/>
      <c r="F400" s="27"/>
      <c r="G400" s="27"/>
      <c r="H400" s="27"/>
      <c r="I400" s="27"/>
      <c r="J400" s="27"/>
      <c r="K400" s="27"/>
      <c r="L400" s="27"/>
      <c r="M400" s="27"/>
      <c r="N400" s="27"/>
      <c r="O400" s="27"/>
      <c r="P400" s="27"/>
      <c r="Q400" s="27"/>
      <c r="R400" s="27"/>
      <c r="S400" s="27"/>
      <c r="T400" s="27">
        <f>IF(LEFT(Control_Achizitii!$E400,4)="Fact",1,0)</f>
        <v>0</v>
      </c>
      <c r="U400" s="27">
        <f>IF(Control_Achizitii!$C400="",0,IF(ISNUMBER(Control_Achizitii!$B400),0,1))</f>
        <v>0</v>
      </c>
      <c r="V400" s="27">
        <f>IF(Control_Achizitii!$C400="",0,IF($Z$2&lt;&gt;"OK",0,IF(AND(ISNUMBER(Control_Achizitii!$B400),Control_Achizitii!$B400&gt;=$E$5,Control_Achizitii!$B400&lt;$J$5+1,OR($O$5="Toate proiectele",Control_Achizitii!$Q400=$O$5)),1,0)))</f>
        <v>0</v>
      </c>
      <c r="W400" s="27">
        <f>IF(AND(V400=1,OR(Control_Achizitii!$J400&lt;&gt;"DOSAR COMPLET",Control_Achizitii!$K400&lt;&gt;"")),ROW(),1000000000)</f>
        <v>1000000000</v>
      </c>
      <c r="X400" s="27">
        <f>IF(AND(V400=1,LEFT(Control_Achizitii!$E400,4)="Fact",NOT(ISNUMBER(Control_Achizitii!$P400))),1,0)</f>
        <v>0</v>
      </c>
      <c r="Y400" s="27">
        <f>IF(V400=0,0,IF(Control_Achizitii!$J400="DOSAR COMPLET",1,IF(LEFT(Control_Achizitii!$J400,9)="INCOMPLET",2,3)))</f>
        <v>0</v>
      </c>
      <c r="Z400" s="27"/>
      <c r="AA400" s="27"/>
      <c r="AB400" s="27"/>
      <c r="AC400" s="27"/>
      <c r="AD400" s="27"/>
      <c r="AE400" s="27"/>
      <c r="AF400" s="27"/>
      <c r="AG400" s="27"/>
      <c r="AH400" s="27">
        <f>IF(AND(V400=1,Control_Achizitii!$J400="DOSAR COMPLET",Control_Achizitii!$K400&lt;&gt;""),1,0)</f>
        <v>0</v>
      </c>
    </row>
    <row r="401" spans="1:34">
      <c r="A401" s="27"/>
      <c r="B401" s="27"/>
      <c r="C401" s="27"/>
      <c r="D401" s="27"/>
      <c r="E401" s="27"/>
      <c r="F401" s="27"/>
      <c r="G401" s="27"/>
      <c r="H401" s="27"/>
      <c r="I401" s="27"/>
      <c r="J401" s="27"/>
      <c r="K401" s="27"/>
      <c r="L401" s="27"/>
      <c r="M401" s="27"/>
      <c r="N401" s="27"/>
      <c r="O401" s="27"/>
      <c r="P401" s="27"/>
      <c r="Q401" s="27"/>
      <c r="R401" s="27"/>
      <c r="S401" s="27"/>
      <c r="T401" s="27">
        <f>IF(LEFT(Control_Achizitii!$E401,4)="Fact",1,0)</f>
        <v>0</v>
      </c>
      <c r="U401" s="27">
        <f>IF(Control_Achizitii!$C401="",0,IF(ISNUMBER(Control_Achizitii!$B401),0,1))</f>
        <v>0</v>
      </c>
      <c r="V401" s="27">
        <f>IF(Control_Achizitii!$C401="",0,IF($Z$2&lt;&gt;"OK",0,IF(AND(ISNUMBER(Control_Achizitii!$B401),Control_Achizitii!$B401&gt;=$E$5,Control_Achizitii!$B401&lt;$J$5+1,OR($O$5="Toate proiectele",Control_Achizitii!$Q401=$O$5)),1,0)))</f>
        <v>0</v>
      </c>
      <c r="W401" s="27">
        <f>IF(AND(V401=1,OR(Control_Achizitii!$J401&lt;&gt;"DOSAR COMPLET",Control_Achizitii!$K401&lt;&gt;"")),ROW(),1000000000)</f>
        <v>1000000000</v>
      </c>
      <c r="X401" s="27">
        <f>IF(AND(V401=1,LEFT(Control_Achizitii!$E401,4)="Fact",NOT(ISNUMBER(Control_Achizitii!$P401))),1,0)</f>
        <v>0</v>
      </c>
      <c r="Y401" s="27">
        <f>IF(V401=0,0,IF(Control_Achizitii!$J401="DOSAR COMPLET",1,IF(LEFT(Control_Achizitii!$J401,9)="INCOMPLET",2,3)))</f>
        <v>0</v>
      </c>
      <c r="Z401" s="27"/>
      <c r="AA401" s="27"/>
      <c r="AB401" s="27"/>
      <c r="AC401" s="27"/>
      <c r="AD401" s="27"/>
      <c r="AE401" s="27"/>
      <c r="AF401" s="27"/>
      <c r="AG401" s="27"/>
      <c r="AH401" s="27">
        <f>IF(AND(V401=1,Control_Achizitii!$J401="DOSAR COMPLET",Control_Achizitii!$K401&lt;&gt;""),1,0)</f>
        <v>0</v>
      </c>
    </row>
    <row r="402" spans="1:34">
      <c r="A402" s="27"/>
      <c r="B402" s="27"/>
      <c r="C402" s="27"/>
      <c r="D402" s="27"/>
      <c r="E402" s="27"/>
      <c r="F402" s="27"/>
      <c r="G402" s="27"/>
      <c r="H402" s="27"/>
      <c r="I402" s="27"/>
      <c r="J402" s="27"/>
      <c r="K402" s="27"/>
      <c r="L402" s="27"/>
      <c r="M402" s="27"/>
      <c r="N402" s="27"/>
      <c r="O402" s="27"/>
      <c r="P402" s="27"/>
      <c r="Q402" s="27"/>
      <c r="R402" s="27"/>
      <c r="S402" s="27"/>
      <c r="T402" s="27">
        <f>IF(LEFT(Control_Achizitii!$E402,4)="Fact",1,0)</f>
        <v>0</v>
      </c>
      <c r="U402" s="27">
        <f>IF(Control_Achizitii!$C402="",0,IF(ISNUMBER(Control_Achizitii!$B402),0,1))</f>
        <v>0</v>
      </c>
      <c r="V402" s="27">
        <f>IF(Control_Achizitii!$C402="",0,IF($Z$2&lt;&gt;"OK",0,IF(AND(ISNUMBER(Control_Achizitii!$B402),Control_Achizitii!$B402&gt;=$E$5,Control_Achizitii!$B402&lt;$J$5+1,OR($O$5="Toate proiectele",Control_Achizitii!$Q402=$O$5)),1,0)))</f>
        <v>0</v>
      </c>
      <c r="W402" s="27">
        <f>IF(AND(V402=1,OR(Control_Achizitii!$J402&lt;&gt;"DOSAR COMPLET",Control_Achizitii!$K402&lt;&gt;"")),ROW(),1000000000)</f>
        <v>1000000000</v>
      </c>
      <c r="X402" s="27">
        <f>IF(AND(V402=1,LEFT(Control_Achizitii!$E402,4)="Fact",NOT(ISNUMBER(Control_Achizitii!$P402))),1,0)</f>
        <v>0</v>
      </c>
      <c r="Y402" s="27">
        <f>IF(V402=0,0,IF(Control_Achizitii!$J402="DOSAR COMPLET",1,IF(LEFT(Control_Achizitii!$J402,9)="INCOMPLET",2,3)))</f>
        <v>0</v>
      </c>
      <c r="Z402" s="27"/>
      <c r="AA402" s="27"/>
      <c r="AB402" s="27"/>
      <c r="AC402" s="27"/>
      <c r="AD402" s="27"/>
      <c r="AE402" s="27"/>
      <c r="AF402" s="27"/>
      <c r="AG402" s="27"/>
      <c r="AH402" s="27">
        <f>IF(AND(V402=1,Control_Achizitii!$J402="DOSAR COMPLET",Control_Achizitii!$K402&lt;&gt;""),1,0)</f>
        <v>0</v>
      </c>
    </row>
    <row r="403" spans="1:34">
      <c r="A403" s="27"/>
      <c r="B403" s="27"/>
      <c r="C403" s="27"/>
      <c r="D403" s="27"/>
      <c r="E403" s="27"/>
      <c r="F403" s="27"/>
      <c r="G403" s="27"/>
      <c r="H403" s="27"/>
      <c r="I403" s="27"/>
      <c r="J403" s="27"/>
      <c r="K403" s="27"/>
      <c r="L403" s="27"/>
      <c r="M403" s="27"/>
      <c r="N403" s="27"/>
      <c r="O403" s="27"/>
      <c r="P403" s="27"/>
      <c r="Q403" s="27"/>
      <c r="R403" s="27"/>
      <c r="S403" s="27"/>
      <c r="T403" s="27">
        <f>IF(LEFT(Control_Achizitii!$E403,4)="Fact",1,0)</f>
        <v>0</v>
      </c>
      <c r="U403" s="27">
        <f>IF(Control_Achizitii!$C403="",0,IF(ISNUMBER(Control_Achizitii!$B403),0,1))</f>
        <v>0</v>
      </c>
      <c r="V403" s="27">
        <f>IF(Control_Achizitii!$C403="",0,IF($Z$2&lt;&gt;"OK",0,IF(AND(ISNUMBER(Control_Achizitii!$B403),Control_Achizitii!$B403&gt;=$E$5,Control_Achizitii!$B403&lt;$J$5+1,OR($O$5="Toate proiectele",Control_Achizitii!$Q403=$O$5)),1,0)))</f>
        <v>0</v>
      </c>
      <c r="W403" s="27">
        <f>IF(AND(V403=1,OR(Control_Achizitii!$J403&lt;&gt;"DOSAR COMPLET",Control_Achizitii!$K403&lt;&gt;"")),ROW(),1000000000)</f>
        <v>1000000000</v>
      </c>
      <c r="X403" s="27">
        <f>IF(AND(V403=1,LEFT(Control_Achizitii!$E403,4)="Fact",NOT(ISNUMBER(Control_Achizitii!$P403))),1,0)</f>
        <v>0</v>
      </c>
      <c r="Y403" s="27">
        <f>IF(V403=0,0,IF(Control_Achizitii!$J403="DOSAR COMPLET",1,IF(LEFT(Control_Achizitii!$J403,9)="INCOMPLET",2,3)))</f>
        <v>0</v>
      </c>
      <c r="Z403" s="27"/>
      <c r="AA403" s="27"/>
      <c r="AB403" s="27"/>
      <c r="AC403" s="27"/>
      <c r="AD403" s="27"/>
      <c r="AE403" s="27"/>
      <c r="AF403" s="27"/>
      <c r="AG403" s="27"/>
      <c r="AH403" s="27">
        <f>IF(AND(V403=1,Control_Achizitii!$J403="DOSAR COMPLET",Control_Achizitii!$K403&lt;&gt;""),1,0)</f>
        <v>0</v>
      </c>
    </row>
    <row r="404" spans="1:34">
      <c r="A404" s="27"/>
      <c r="B404" s="27"/>
      <c r="C404" s="27"/>
      <c r="D404" s="27"/>
      <c r="E404" s="27"/>
      <c r="F404" s="27"/>
      <c r="G404" s="27"/>
      <c r="H404" s="27"/>
      <c r="I404" s="27"/>
      <c r="J404" s="27"/>
      <c r="K404" s="27"/>
      <c r="L404" s="27"/>
      <c r="M404" s="27"/>
      <c r="N404" s="27"/>
      <c r="O404" s="27"/>
      <c r="P404" s="27"/>
      <c r="Q404" s="27"/>
      <c r="R404" s="27"/>
      <c r="S404" s="27"/>
      <c r="T404" s="27">
        <f>IF(LEFT(Control_Achizitii!$E404,4)="Fact",1,0)</f>
        <v>0</v>
      </c>
      <c r="U404" s="27">
        <f>IF(Control_Achizitii!$C404="",0,IF(ISNUMBER(Control_Achizitii!$B404),0,1))</f>
        <v>0</v>
      </c>
      <c r="V404" s="27">
        <f>IF(Control_Achizitii!$C404="",0,IF($Z$2&lt;&gt;"OK",0,IF(AND(ISNUMBER(Control_Achizitii!$B404),Control_Achizitii!$B404&gt;=$E$5,Control_Achizitii!$B404&lt;$J$5+1,OR($O$5="Toate proiectele",Control_Achizitii!$Q404=$O$5)),1,0)))</f>
        <v>0</v>
      </c>
      <c r="W404" s="27">
        <f>IF(AND(V404=1,OR(Control_Achizitii!$J404&lt;&gt;"DOSAR COMPLET",Control_Achizitii!$K404&lt;&gt;"")),ROW(),1000000000)</f>
        <v>1000000000</v>
      </c>
      <c r="X404" s="27">
        <f>IF(AND(V404=1,LEFT(Control_Achizitii!$E404,4)="Fact",NOT(ISNUMBER(Control_Achizitii!$P404))),1,0)</f>
        <v>0</v>
      </c>
      <c r="Y404" s="27">
        <f>IF(V404=0,0,IF(Control_Achizitii!$J404="DOSAR COMPLET",1,IF(LEFT(Control_Achizitii!$J404,9)="INCOMPLET",2,3)))</f>
        <v>0</v>
      </c>
      <c r="Z404" s="27"/>
      <c r="AA404" s="27"/>
      <c r="AB404" s="27"/>
      <c r="AC404" s="27"/>
      <c r="AD404" s="27"/>
      <c r="AE404" s="27"/>
      <c r="AF404" s="27"/>
      <c r="AG404" s="27"/>
      <c r="AH404" s="27">
        <f>IF(AND(V404=1,Control_Achizitii!$J404="DOSAR COMPLET",Control_Achizitii!$K404&lt;&gt;""),1,0)</f>
        <v>0</v>
      </c>
    </row>
    <row r="405" spans="1:34">
      <c r="A405" s="27"/>
      <c r="B405" s="27"/>
      <c r="C405" s="27"/>
      <c r="D405" s="27"/>
      <c r="E405" s="27"/>
      <c r="F405" s="27"/>
      <c r="G405" s="27"/>
      <c r="H405" s="27"/>
      <c r="I405" s="27"/>
      <c r="J405" s="27"/>
      <c r="K405" s="27"/>
      <c r="L405" s="27"/>
      <c r="M405" s="27"/>
      <c r="N405" s="27"/>
      <c r="O405" s="27"/>
      <c r="P405" s="27"/>
      <c r="Q405" s="27"/>
      <c r="R405" s="27"/>
      <c r="S405" s="27"/>
      <c r="T405" s="27">
        <f>IF(LEFT(Control_Achizitii!$E405,4)="Fact",1,0)</f>
        <v>0</v>
      </c>
      <c r="U405" s="27">
        <f>IF(Control_Achizitii!$C405="",0,IF(ISNUMBER(Control_Achizitii!$B405),0,1))</f>
        <v>0</v>
      </c>
      <c r="V405" s="27">
        <f>IF(Control_Achizitii!$C405="",0,IF($Z$2&lt;&gt;"OK",0,IF(AND(ISNUMBER(Control_Achizitii!$B405),Control_Achizitii!$B405&gt;=$E$5,Control_Achizitii!$B405&lt;$J$5+1,OR($O$5="Toate proiectele",Control_Achizitii!$Q405=$O$5)),1,0)))</f>
        <v>0</v>
      </c>
      <c r="W405" s="27">
        <f>IF(AND(V405=1,OR(Control_Achizitii!$J405&lt;&gt;"DOSAR COMPLET",Control_Achizitii!$K405&lt;&gt;"")),ROW(),1000000000)</f>
        <v>1000000000</v>
      </c>
      <c r="X405" s="27">
        <f>IF(AND(V405=1,LEFT(Control_Achizitii!$E405,4)="Fact",NOT(ISNUMBER(Control_Achizitii!$P405))),1,0)</f>
        <v>0</v>
      </c>
      <c r="Y405" s="27">
        <f>IF(V405=0,0,IF(Control_Achizitii!$J405="DOSAR COMPLET",1,IF(LEFT(Control_Achizitii!$J405,9)="INCOMPLET",2,3)))</f>
        <v>0</v>
      </c>
      <c r="Z405" s="27"/>
      <c r="AA405" s="27"/>
      <c r="AB405" s="27"/>
      <c r="AC405" s="27"/>
      <c r="AD405" s="27"/>
      <c r="AE405" s="27"/>
      <c r="AF405" s="27"/>
      <c r="AG405" s="27"/>
      <c r="AH405" s="27">
        <f>IF(AND(V405=1,Control_Achizitii!$J405="DOSAR COMPLET",Control_Achizitii!$K405&lt;&gt;""),1,0)</f>
        <v>0</v>
      </c>
    </row>
    <row r="406" spans="1:34">
      <c r="A406" s="27"/>
      <c r="B406" s="27"/>
      <c r="C406" s="27"/>
      <c r="D406" s="27"/>
      <c r="E406" s="27"/>
      <c r="F406" s="27"/>
      <c r="G406" s="27"/>
      <c r="H406" s="27"/>
      <c r="I406" s="27"/>
      <c r="J406" s="27"/>
      <c r="K406" s="27"/>
      <c r="L406" s="27"/>
      <c r="M406" s="27"/>
      <c r="N406" s="27"/>
      <c r="O406" s="27"/>
      <c r="P406" s="27"/>
      <c r="Q406" s="27"/>
      <c r="R406" s="27"/>
      <c r="S406" s="27"/>
      <c r="T406" s="27">
        <f>IF(LEFT(Control_Achizitii!$E406,4)="Fact",1,0)</f>
        <v>0</v>
      </c>
      <c r="U406" s="27">
        <f>IF(Control_Achizitii!$C406="",0,IF(ISNUMBER(Control_Achizitii!$B406),0,1))</f>
        <v>0</v>
      </c>
      <c r="V406" s="27">
        <f>IF(Control_Achizitii!$C406="",0,IF($Z$2&lt;&gt;"OK",0,IF(AND(ISNUMBER(Control_Achizitii!$B406),Control_Achizitii!$B406&gt;=$E$5,Control_Achizitii!$B406&lt;$J$5+1,OR($O$5="Toate proiectele",Control_Achizitii!$Q406=$O$5)),1,0)))</f>
        <v>0</v>
      </c>
      <c r="W406" s="27">
        <f>IF(AND(V406=1,OR(Control_Achizitii!$J406&lt;&gt;"DOSAR COMPLET",Control_Achizitii!$K406&lt;&gt;"")),ROW(),1000000000)</f>
        <v>1000000000</v>
      </c>
      <c r="X406" s="27">
        <f>IF(AND(V406=1,LEFT(Control_Achizitii!$E406,4)="Fact",NOT(ISNUMBER(Control_Achizitii!$P406))),1,0)</f>
        <v>0</v>
      </c>
      <c r="Y406" s="27">
        <f>IF(V406=0,0,IF(Control_Achizitii!$J406="DOSAR COMPLET",1,IF(LEFT(Control_Achizitii!$J406,9)="INCOMPLET",2,3)))</f>
        <v>0</v>
      </c>
      <c r="Z406" s="27"/>
      <c r="AA406" s="27"/>
      <c r="AB406" s="27"/>
      <c r="AC406" s="27"/>
      <c r="AD406" s="27"/>
      <c r="AE406" s="27"/>
      <c r="AF406" s="27"/>
      <c r="AG406" s="27"/>
      <c r="AH406" s="27">
        <f>IF(AND(V406=1,Control_Achizitii!$J406="DOSAR COMPLET",Control_Achizitii!$K406&lt;&gt;""),1,0)</f>
        <v>0</v>
      </c>
    </row>
    <row r="407" spans="1:34">
      <c r="A407" s="27"/>
      <c r="B407" s="27"/>
      <c r="C407" s="27"/>
      <c r="D407" s="27"/>
      <c r="E407" s="27"/>
      <c r="F407" s="27"/>
      <c r="G407" s="27"/>
      <c r="H407" s="27"/>
      <c r="I407" s="27"/>
      <c r="J407" s="27"/>
      <c r="K407" s="27"/>
      <c r="L407" s="27"/>
      <c r="M407" s="27"/>
      <c r="N407" s="27"/>
      <c r="O407" s="27"/>
      <c r="P407" s="27"/>
      <c r="Q407" s="27"/>
      <c r="R407" s="27"/>
      <c r="S407" s="27"/>
      <c r="T407" s="27">
        <f>IF(LEFT(Control_Achizitii!$E407,4)="Fact",1,0)</f>
        <v>0</v>
      </c>
      <c r="U407" s="27">
        <f>IF(Control_Achizitii!$C407="",0,IF(ISNUMBER(Control_Achizitii!$B407),0,1))</f>
        <v>0</v>
      </c>
      <c r="V407" s="27">
        <f>IF(Control_Achizitii!$C407="",0,IF($Z$2&lt;&gt;"OK",0,IF(AND(ISNUMBER(Control_Achizitii!$B407),Control_Achizitii!$B407&gt;=$E$5,Control_Achizitii!$B407&lt;$J$5+1,OR($O$5="Toate proiectele",Control_Achizitii!$Q407=$O$5)),1,0)))</f>
        <v>0</v>
      </c>
      <c r="W407" s="27">
        <f>IF(AND(V407=1,OR(Control_Achizitii!$J407&lt;&gt;"DOSAR COMPLET",Control_Achizitii!$K407&lt;&gt;"")),ROW(),1000000000)</f>
        <v>1000000000</v>
      </c>
      <c r="X407" s="27">
        <f>IF(AND(V407=1,LEFT(Control_Achizitii!$E407,4)="Fact",NOT(ISNUMBER(Control_Achizitii!$P407))),1,0)</f>
        <v>0</v>
      </c>
      <c r="Y407" s="27">
        <f>IF(V407=0,0,IF(Control_Achizitii!$J407="DOSAR COMPLET",1,IF(LEFT(Control_Achizitii!$J407,9)="INCOMPLET",2,3)))</f>
        <v>0</v>
      </c>
      <c r="Z407" s="27"/>
      <c r="AA407" s="27"/>
      <c r="AB407" s="27"/>
      <c r="AC407" s="27"/>
      <c r="AD407" s="27"/>
      <c r="AE407" s="27"/>
      <c r="AF407" s="27"/>
      <c r="AG407" s="27"/>
      <c r="AH407" s="27">
        <f>IF(AND(V407=1,Control_Achizitii!$J407="DOSAR COMPLET",Control_Achizitii!$K407&lt;&gt;""),1,0)</f>
        <v>0</v>
      </c>
    </row>
    <row r="408" spans="1:34">
      <c r="A408" s="27"/>
      <c r="B408" s="27"/>
      <c r="C408" s="27"/>
      <c r="D408" s="27"/>
      <c r="E408" s="27"/>
      <c r="F408" s="27"/>
      <c r="G408" s="27"/>
      <c r="H408" s="27"/>
      <c r="I408" s="27"/>
      <c r="J408" s="27"/>
      <c r="K408" s="27"/>
      <c r="L408" s="27"/>
      <c r="M408" s="27"/>
      <c r="N408" s="27"/>
      <c r="O408" s="27"/>
      <c r="P408" s="27"/>
      <c r="Q408" s="27"/>
      <c r="R408" s="27"/>
      <c r="S408" s="27"/>
      <c r="T408" s="27">
        <f>IF(LEFT(Control_Achizitii!$E408,4)="Fact",1,0)</f>
        <v>0</v>
      </c>
      <c r="U408" s="27">
        <f>IF(Control_Achizitii!$C408="",0,IF(ISNUMBER(Control_Achizitii!$B408),0,1))</f>
        <v>0</v>
      </c>
      <c r="V408" s="27">
        <f>IF(Control_Achizitii!$C408="",0,IF($Z$2&lt;&gt;"OK",0,IF(AND(ISNUMBER(Control_Achizitii!$B408),Control_Achizitii!$B408&gt;=$E$5,Control_Achizitii!$B408&lt;$J$5+1,OR($O$5="Toate proiectele",Control_Achizitii!$Q408=$O$5)),1,0)))</f>
        <v>0</v>
      </c>
      <c r="W408" s="27">
        <f>IF(AND(V408=1,OR(Control_Achizitii!$J408&lt;&gt;"DOSAR COMPLET",Control_Achizitii!$K408&lt;&gt;"")),ROW(),1000000000)</f>
        <v>1000000000</v>
      </c>
      <c r="X408" s="27">
        <f>IF(AND(V408=1,LEFT(Control_Achizitii!$E408,4)="Fact",NOT(ISNUMBER(Control_Achizitii!$P408))),1,0)</f>
        <v>0</v>
      </c>
      <c r="Y408" s="27">
        <f>IF(V408=0,0,IF(Control_Achizitii!$J408="DOSAR COMPLET",1,IF(LEFT(Control_Achizitii!$J408,9)="INCOMPLET",2,3)))</f>
        <v>0</v>
      </c>
      <c r="Z408" s="27"/>
      <c r="AA408" s="27"/>
      <c r="AB408" s="27"/>
      <c r="AC408" s="27"/>
      <c r="AD408" s="27"/>
      <c r="AE408" s="27"/>
      <c r="AF408" s="27"/>
      <c r="AG408" s="27"/>
      <c r="AH408" s="27">
        <f>IF(AND(V408=1,Control_Achizitii!$J408="DOSAR COMPLET",Control_Achizitii!$K408&lt;&gt;""),1,0)</f>
        <v>0</v>
      </c>
    </row>
    <row r="409" spans="1:34">
      <c r="A409" s="27"/>
      <c r="B409" s="27"/>
      <c r="C409" s="27"/>
      <c r="D409" s="27"/>
      <c r="E409" s="27"/>
      <c r="F409" s="27"/>
      <c r="G409" s="27"/>
      <c r="H409" s="27"/>
      <c r="I409" s="27"/>
      <c r="J409" s="27"/>
      <c r="K409" s="27"/>
      <c r="L409" s="27"/>
      <c r="M409" s="27"/>
      <c r="N409" s="27"/>
      <c r="O409" s="27"/>
      <c r="P409" s="27"/>
      <c r="Q409" s="27"/>
      <c r="R409" s="27"/>
      <c r="S409" s="27"/>
      <c r="T409" s="27">
        <f>IF(LEFT(Control_Achizitii!$E409,4)="Fact",1,0)</f>
        <v>0</v>
      </c>
      <c r="U409" s="27">
        <f>IF(Control_Achizitii!$C409="",0,IF(ISNUMBER(Control_Achizitii!$B409),0,1))</f>
        <v>0</v>
      </c>
      <c r="V409" s="27">
        <f>IF(Control_Achizitii!$C409="",0,IF($Z$2&lt;&gt;"OK",0,IF(AND(ISNUMBER(Control_Achizitii!$B409),Control_Achizitii!$B409&gt;=$E$5,Control_Achizitii!$B409&lt;$J$5+1,OR($O$5="Toate proiectele",Control_Achizitii!$Q409=$O$5)),1,0)))</f>
        <v>0</v>
      </c>
      <c r="W409" s="27">
        <f>IF(AND(V409=1,OR(Control_Achizitii!$J409&lt;&gt;"DOSAR COMPLET",Control_Achizitii!$K409&lt;&gt;"")),ROW(),1000000000)</f>
        <v>1000000000</v>
      </c>
      <c r="X409" s="27">
        <f>IF(AND(V409=1,LEFT(Control_Achizitii!$E409,4)="Fact",NOT(ISNUMBER(Control_Achizitii!$P409))),1,0)</f>
        <v>0</v>
      </c>
      <c r="Y409" s="27">
        <f>IF(V409=0,0,IF(Control_Achizitii!$J409="DOSAR COMPLET",1,IF(LEFT(Control_Achizitii!$J409,9)="INCOMPLET",2,3)))</f>
        <v>0</v>
      </c>
      <c r="Z409" s="27"/>
      <c r="AA409" s="27"/>
      <c r="AB409" s="27"/>
      <c r="AC409" s="27"/>
      <c r="AD409" s="27"/>
      <c r="AE409" s="27"/>
      <c r="AF409" s="27"/>
      <c r="AG409" s="27"/>
      <c r="AH409" s="27">
        <f>IF(AND(V409=1,Control_Achizitii!$J409="DOSAR COMPLET",Control_Achizitii!$K409&lt;&gt;""),1,0)</f>
        <v>0</v>
      </c>
    </row>
    <row r="410" spans="1:34">
      <c r="A410" s="27"/>
      <c r="B410" s="27"/>
      <c r="C410" s="27"/>
      <c r="D410" s="27"/>
      <c r="E410" s="27"/>
      <c r="F410" s="27"/>
      <c r="G410" s="27"/>
      <c r="H410" s="27"/>
      <c r="I410" s="27"/>
      <c r="J410" s="27"/>
      <c r="K410" s="27"/>
      <c r="L410" s="27"/>
      <c r="M410" s="27"/>
      <c r="N410" s="27"/>
      <c r="O410" s="27"/>
      <c r="P410" s="27"/>
      <c r="Q410" s="27"/>
      <c r="R410" s="27"/>
      <c r="S410" s="27"/>
      <c r="T410" s="27">
        <f>IF(LEFT(Control_Achizitii!$E410,4)="Fact",1,0)</f>
        <v>0</v>
      </c>
      <c r="U410" s="27">
        <f>IF(Control_Achizitii!$C410="",0,IF(ISNUMBER(Control_Achizitii!$B410),0,1))</f>
        <v>0</v>
      </c>
      <c r="V410" s="27">
        <f>IF(Control_Achizitii!$C410="",0,IF($Z$2&lt;&gt;"OK",0,IF(AND(ISNUMBER(Control_Achizitii!$B410),Control_Achizitii!$B410&gt;=$E$5,Control_Achizitii!$B410&lt;$J$5+1,OR($O$5="Toate proiectele",Control_Achizitii!$Q410=$O$5)),1,0)))</f>
        <v>0</v>
      </c>
      <c r="W410" s="27">
        <f>IF(AND(V410=1,OR(Control_Achizitii!$J410&lt;&gt;"DOSAR COMPLET",Control_Achizitii!$K410&lt;&gt;"")),ROW(),1000000000)</f>
        <v>1000000000</v>
      </c>
      <c r="X410" s="27">
        <f>IF(AND(V410=1,LEFT(Control_Achizitii!$E410,4)="Fact",NOT(ISNUMBER(Control_Achizitii!$P410))),1,0)</f>
        <v>0</v>
      </c>
      <c r="Y410" s="27">
        <f>IF(V410=0,0,IF(Control_Achizitii!$J410="DOSAR COMPLET",1,IF(LEFT(Control_Achizitii!$J410,9)="INCOMPLET",2,3)))</f>
        <v>0</v>
      </c>
      <c r="Z410" s="27"/>
      <c r="AA410" s="27"/>
      <c r="AB410" s="27"/>
      <c r="AC410" s="27"/>
      <c r="AD410" s="27"/>
      <c r="AE410" s="27"/>
      <c r="AF410" s="27"/>
      <c r="AG410" s="27"/>
      <c r="AH410" s="27">
        <f>IF(AND(V410=1,Control_Achizitii!$J410="DOSAR COMPLET",Control_Achizitii!$K410&lt;&gt;""),1,0)</f>
        <v>0</v>
      </c>
    </row>
    <row r="411" spans="1:34">
      <c r="A411" s="27"/>
      <c r="B411" s="27"/>
      <c r="C411" s="27"/>
      <c r="D411" s="27"/>
      <c r="E411" s="27"/>
      <c r="F411" s="27"/>
      <c r="G411" s="27"/>
      <c r="H411" s="27"/>
      <c r="I411" s="27"/>
      <c r="J411" s="27"/>
      <c r="K411" s="27"/>
      <c r="L411" s="27"/>
      <c r="M411" s="27"/>
      <c r="N411" s="27"/>
      <c r="O411" s="27"/>
      <c r="P411" s="27"/>
      <c r="Q411" s="27"/>
      <c r="R411" s="27"/>
      <c r="S411" s="27"/>
      <c r="T411" s="27">
        <f>IF(LEFT(Control_Achizitii!$E411,4)="Fact",1,0)</f>
        <v>0</v>
      </c>
      <c r="U411" s="27">
        <f>IF(Control_Achizitii!$C411="",0,IF(ISNUMBER(Control_Achizitii!$B411),0,1))</f>
        <v>0</v>
      </c>
      <c r="V411" s="27">
        <f>IF(Control_Achizitii!$C411="",0,IF($Z$2&lt;&gt;"OK",0,IF(AND(ISNUMBER(Control_Achizitii!$B411),Control_Achizitii!$B411&gt;=$E$5,Control_Achizitii!$B411&lt;$J$5+1,OR($O$5="Toate proiectele",Control_Achizitii!$Q411=$O$5)),1,0)))</f>
        <v>0</v>
      </c>
      <c r="W411" s="27">
        <f>IF(AND(V411=1,OR(Control_Achizitii!$J411&lt;&gt;"DOSAR COMPLET",Control_Achizitii!$K411&lt;&gt;"")),ROW(),1000000000)</f>
        <v>1000000000</v>
      </c>
      <c r="X411" s="27">
        <f>IF(AND(V411=1,LEFT(Control_Achizitii!$E411,4)="Fact",NOT(ISNUMBER(Control_Achizitii!$P411))),1,0)</f>
        <v>0</v>
      </c>
      <c r="Y411" s="27">
        <f>IF(V411=0,0,IF(Control_Achizitii!$J411="DOSAR COMPLET",1,IF(LEFT(Control_Achizitii!$J411,9)="INCOMPLET",2,3)))</f>
        <v>0</v>
      </c>
      <c r="Z411" s="27"/>
      <c r="AA411" s="27"/>
      <c r="AB411" s="27"/>
      <c r="AC411" s="27"/>
      <c r="AD411" s="27"/>
      <c r="AE411" s="27"/>
      <c r="AF411" s="27"/>
      <c r="AG411" s="27"/>
      <c r="AH411" s="27">
        <f>IF(AND(V411=1,Control_Achizitii!$J411="DOSAR COMPLET",Control_Achizitii!$K411&lt;&gt;""),1,0)</f>
        <v>0</v>
      </c>
    </row>
    <row r="412" spans="1:34">
      <c r="A412" s="27"/>
      <c r="B412" s="27"/>
      <c r="C412" s="27"/>
      <c r="D412" s="27"/>
      <c r="E412" s="27"/>
      <c r="F412" s="27"/>
      <c r="G412" s="27"/>
      <c r="H412" s="27"/>
      <c r="I412" s="27"/>
      <c r="J412" s="27"/>
      <c r="K412" s="27"/>
      <c r="L412" s="27"/>
      <c r="M412" s="27"/>
      <c r="N412" s="27"/>
      <c r="O412" s="27"/>
      <c r="P412" s="27"/>
      <c r="Q412" s="27"/>
      <c r="R412" s="27"/>
      <c r="S412" s="27"/>
      <c r="T412" s="27">
        <f>IF(LEFT(Control_Achizitii!$E412,4)="Fact",1,0)</f>
        <v>0</v>
      </c>
      <c r="U412" s="27">
        <f>IF(Control_Achizitii!$C412="",0,IF(ISNUMBER(Control_Achizitii!$B412),0,1))</f>
        <v>0</v>
      </c>
      <c r="V412" s="27">
        <f>IF(Control_Achizitii!$C412="",0,IF($Z$2&lt;&gt;"OK",0,IF(AND(ISNUMBER(Control_Achizitii!$B412),Control_Achizitii!$B412&gt;=$E$5,Control_Achizitii!$B412&lt;$J$5+1,OR($O$5="Toate proiectele",Control_Achizitii!$Q412=$O$5)),1,0)))</f>
        <v>0</v>
      </c>
      <c r="W412" s="27">
        <f>IF(AND(V412=1,OR(Control_Achizitii!$J412&lt;&gt;"DOSAR COMPLET",Control_Achizitii!$K412&lt;&gt;"")),ROW(),1000000000)</f>
        <v>1000000000</v>
      </c>
      <c r="X412" s="27">
        <f>IF(AND(V412=1,LEFT(Control_Achizitii!$E412,4)="Fact",NOT(ISNUMBER(Control_Achizitii!$P412))),1,0)</f>
        <v>0</v>
      </c>
      <c r="Y412" s="27">
        <f>IF(V412=0,0,IF(Control_Achizitii!$J412="DOSAR COMPLET",1,IF(LEFT(Control_Achizitii!$J412,9)="INCOMPLET",2,3)))</f>
        <v>0</v>
      </c>
      <c r="Z412" s="27"/>
      <c r="AA412" s="27"/>
      <c r="AB412" s="27"/>
      <c r="AC412" s="27"/>
      <c r="AD412" s="27"/>
      <c r="AE412" s="27"/>
      <c r="AF412" s="27"/>
      <c r="AG412" s="27"/>
      <c r="AH412" s="27">
        <f>IF(AND(V412=1,Control_Achizitii!$J412="DOSAR COMPLET",Control_Achizitii!$K412&lt;&gt;""),1,0)</f>
        <v>0</v>
      </c>
    </row>
    <row r="413" spans="1:34">
      <c r="A413" s="27"/>
      <c r="B413" s="27"/>
      <c r="C413" s="27"/>
      <c r="D413" s="27"/>
      <c r="E413" s="27"/>
      <c r="F413" s="27"/>
      <c r="G413" s="27"/>
      <c r="H413" s="27"/>
      <c r="I413" s="27"/>
      <c r="J413" s="27"/>
      <c r="K413" s="27"/>
      <c r="L413" s="27"/>
      <c r="M413" s="27"/>
      <c r="N413" s="27"/>
      <c r="O413" s="27"/>
      <c r="P413" s="27"/>
      <c r="Q413" s="27"/>
      <c r="R413" s="27"/>
      <c r="S413" s="27"/>
      <c r="T413" s="27">
        <f>IF(LEFT(Control_Achizitii!$E413,4)="Fact",1,0)</f>
        <v>0</v>
      </c>
      <c r="U413" s="27">
        <f>IF(Control_Achizitii!$C413="",0,IF(ISNUMBER(Control_Achizitii!$B413),0,1))</f>
        <v>0</v>
      </c>
      <c r="V413" s="27">
        <f>IF(Control_Achizitii!$C413="",0,IF($Z$2&lt;&gt;"OK",0,IF(AND(ISNUMBER(Control_Achizitii!$B413),Control_Achizitii!$B413&gt;=$E$5,Control_Achizitii!$B413&lt;$J$5+1,OR($O$5="Toate proiectele",Control_Achizitii!$Q413=$O$5)),1,0)))</f>
        <v>0</v>
      </c>
      <c r="W413" s="27">
        <f>IF(AND(V413=1,OR(Control_Achizitii!$J413&lt;&gt;"DOSAR COMPLET",Control_Achizitii!$K413&lt;&gt;"")),ROW(),1000000000)</f>
        <v>1000000000</v>
      </c>
      <c r="X413" s="27">
        <f>IF(AND(V413=1,LEFT(Control_Achizitii!$E413,4)="Fact",NOT(ISNUMBER(Control_Achizitii!$P413))),1,0)</f>
        <v>0</v>
      </c>
      <c r="Y413" s="27">
        <f>IF(V413=0,0,IF(Control_Achizitii!$J413="DOSAR COMPLET",1,IF(LEFT(Control_Achizitii!$J413,9)="INCOMPLET",2,3)))</f>
        <v>0</v>
      </c>
      <c r="Z413" s="27"/>
      <c r="AA413" s="27"/>
      <c r="AB413" s="27"/>
      <c r="AC413" s="27"/>
      <c r="AD413" s="27"/>
      <c r="AE413" s="27"/>
      <c r="AF413" s="27"/>
      <c r="AG413" s="27"/>
      <c r="AH413" s="27">
        <f>IF(AND(V413=1,Control_Achizitii!$J413="DOSAR COMPLET",Control_Achizitii!$K413&lt;&gt;""),1,0)</f>
        <v>0</v>
      </c>
    </row>
    <row r="414" spans="1:34">
      <c r="A414" s="27"/>
      <c r="B414" s="27"/>
      <c r="C414" s="27"/>
      <c r="D414" s="27"/>
      <c r="E414" s="27"/>
      <c r="F414" s="27"/>
      <c r="G414" s="27"/>
      <c r="H414" s="27"/>
      <c r="I414" s="27"/>
      <c r="J414" s="27"/>
      <c r="K414" s="27"/>
      <c r="L414" s="27"/>
      <c r="M414" s="27"/>
      <c r="N414" s="27"/>
      <c r="O414" s="27"/>
      <c r="P414" s="27"/>
      <c r="Q414" s="27"/>
      <c r="R414" s="27"/>
      <c r="S414" s="27"/>
      <c r="T414" s="27">
        <f>IF(LEFT(Control_Achizitii!$E414,4)="Fact",1,0)</f>
        <v>0</v>
      </c>
      <c r="U414" s="27">
        <f>IF(Control_Achizitii!$C414="",0,IF(ISNUMBER(Control_Achizitii!$B414),0,1))</f>
        <v>0</v>
      </c>
      <c r="V414" s="27">
        <f>IF(Control_Achizitii!$C414="",0,IF($Z$2&lt;&gt;"OK",0,IF(AND(ISNUMBER(Control_Achizitii!$B414),Control_Achizitii!$B414&gt;=$E$5,Control_Achizitii!$B414&lt;$J$5+1,OR($O$5="Toate proiectele",Control_Achizitii!$Q414=$O$5)),1,0)))</f>
        <v>0</v>
      </c>
      <c r="W414" s="27">
        <f>IF(AND(V414=1,OR(Control_Achizitii!$J414&lt;&gt;"DOSAR COMPLET",Control_Achizitii!$K414&lt;&gt;"")),ROW(),1000000000)</f>
        <v>1000000000</v>
      </c>
      <c r="X414" s="27">
        <f>IF(AND(V414=1,LEFT(Control_Achizitii!$E414,4)="Fact",NOT(ISNUMBER(Control_Achizitii!$P414))),1,0)</f>
        <v>0</v>
      </c>
      <c r="Y414" s="27">
        <f>IF(V414=0,0,IF(Control_Achizitii!$J414="DOSAR COMPLET",1,IF(LEFT(Control_Achizitii!$J414,9)="INCOMPLET",2,3)))</f>
        <v>0</v>
      </c>
      <c r="Z414" s="27"/>
      <c r="AA414" s="27"/>
      <c r="AB414" s="27"/>
      <c r="AC414" s="27"/>
      <c r="AD414" s="27"/>
      <c r="AE414" s="27"/>
      <c r="AF414" s="27"/>
      <c r="AG414" s="27"/>
      <c r="AH414" s="27">
        <f>IF(AND(V414=1,Control_Achizitii!$J414="DOSAR COMPLET",Control_Achizitii!$K414&lt;&gt;""),1,0)</f>
        <v>0</v>
      </c>
    </row>
    <row r="415" spans="1:34">
      <c r="A415" s="27"/>
      <c r="B415" s="27"/>
      <c r="C415" s="27"/>
      <c r="D415" s="27"/>
      <c r="E415" s="27"/>
      <c r="F415" s="27"/>
      <c r="G415" s="27"/>
      <c r="H415" s="27"/>
      <c r="I415" s="27"/>
      <c r="J415" s="27"/>
      <c r="K415" s="27"/>
      <c r="L415" s="27"/>
      <c r="M415" s="27"/>
      <c r="N415" s="27"/>
      <c r="O415" s="27"/>
      <c r="P415" s="27"/>
      <c r="Q415" s="27"/>
      <c r="R415" s="27"/>
      <c r="S415" s="27"/>
      <c r="T415" s="27">
        <f>IF(LEFT(Control_Achizitii!$E415,4)="Fact",1,0)</f>
        <v>0</v>
      </c>
      <c r="U415" s="27">
        <f>IF(Control_Achizitii!$C415="",0,IF(ISNUMBER(Control_Achizitii!$B415),0,1))</f>
        <v>0</v>
      </c>
      <c r="V415" s="27">
        <f>IF(Control_Achizitii!$C415="",0,IF($Z$2&lt;&gt;"OK",0,IF(AND(ISNUMBER(Control_Achizitii!$B415),Control_Achizitii!$B415&gt;=$E$5,Control_Achizitii!$B415&lt;$J$5+1,OR($O$5="Toate proiectele",Control_Achizitii!$Q415=$O$5)),1,0)))</f>
        <v>0</v>
      </c>
      <c r="W415" s="27">
        <f>IF(AND(V415=1,OR(Control_Achizitii!$J415&lt;&gt;"DOSAR COMPLET",Control_Achizitii!$K415&lt;&gt;"")),ROW(),1000000000)</f>
        <v>1000000000</v>
      </c>
      <c r="X415" s="27">
        <f>IF(AND(V415=1,LEFT(Control_Achizitii!$E415,4)="Fact",NOT(ISNUMBER(Control_Achizitii!$P415))),1,0)</f>
        <v>0</v>
      </c>
      <c r="Y415" s="27">
        <f>IF(V415=0,0,IF(Control_Achizitii!$J415="DOSAR COMPLET",1,IF(LEFT(Control_Achizitii!$J415,9)="INCOMPLET",2,3)))</f>
        <v>0</v>
      </c>
      <c r="Z415" s="27"/>
      <c r="AA415" s="27"/>
      <c r="AB415" s="27"/>
      <c r="AC415" s="27"/>
      <c r="AD415" s="27"/>
      <c r="AE415" s="27"/>
      <c r="AF415" s="27"/>
      <c r="AG415" s="27"/>
      <c r="AH415" s="27">
        <f>IF(AND(V415=1,Control_Achizitii!$J415="DOSAR COMPLET",Control_Achizitii!$K415&lt;&gt;""),1,0)</f>
        <v>0</v>
      </c>
    </row>
    <row r="416" spans="1:34">
      <c r="A416" s="27"/>
      <c r="B416" s="27"/>
      <c r="C416" s="27"/>
      <c r="D416" s="27"/>
      <c r="E416" s="27"/>
      <c r="F416" s="27"/>
      <c r="G416" s="27"/>
      <c r="H416" s="27"/>
      <c r="I416" s="27"/>
      <c r="J416" s="27"/>
      <c r="K416" s="27"/>
      <c r="L416" s="27"/>
      <c r="M416" s="27"/>
      <c r="N416" s="27"/>
      <c r="O416" s="27"/>
      <c r="P416" s="27"/>
      <c r="Q416" s="27"/>
      <c r="R416" s="27"/>
      <c r="S416" s="27"/>
      <c r="T416" s="27">
        <f>IF(LEFT(Control_Achizitii!$E416,4)="Fact",1,0)</f>
        <v>0</v>
      </c>
      <c r="U416" s="27">
        <f>IF(Control_Achizitii!$C416="",0,IF(ISNUMBER(Control_Achizitii!$B416),0,1))</f>
        <v>0</v>
      </c>
      <c r="V416" s="27">
        <f>IF(Control_Achizitii!$C416="",0,IF($Z$2&lt;&gt;"OK",0,IF(AND(ISNUMBER(Control_Achizitii!$B416),Control_Achizitii!$B416&gt;=$E$5,Control_Achizitii!$B416&lt;$J$5+1,OR($O$5="Toate proiectele",Control_Achizitii!$Q416=$O$5)),1,0)))</f>
        <v>0</v>
      </c>
      <c r="W416" s="27">
        <f>IF(AND(V416=1,OR(Control_Achizitii!$J416&lt;&gt;"DOSAR COMPLET",Control_Achizitii!$K416&lt;&gt;"")),ROW(),1000000000)</f>
        <v>1000000000</v>
      </c>
      <c r="X416" s="27">
        <f>IF(AND(V416=1,LEFT(Control_Achizitii!$E416,4)="Fact",NOT(ISNUMBER(Control_Achizitii!$P416))),1,0)</f>
        <v>0</v>
      </c>
      <c r="Y416" s="27">
        <f>IF(V416=0,0,IF(Control_Achizitii!$J416="DOSAR COMPLET",1,IF(LEFT(Control_Achizitii!$J416,9)="INCOMPLET",2,3)))</f>
        <v>0</v>
      </c>
      <c r="Z416" s="27"/>
      <c r="AA416" s="27"/>
      <c r="AB416" s="27"/>
      <c r="AC416" s="27"/>
      <c r="AD416" s="27"/>
      <c r="AE416" s="27"/>
      <c r="AF416" s="27"/>
      <c r="AG416" s="27"/>
      <c r="AH416" s="27">
        <f>IF(AND(V416=1,Control_Achizitii!$J416="DOSAR COMPLET",Control_Achizitii!$K416&lt;&gt;""),1,0)</f>
        <v>0</v>
      </c>
    </row>
    <row r="417" spans="1:34">
      <c r="A417" s="27"/>
      <c r="B417" s="27"/>
      <c r="C417" s="27"/>
      <c r="D417" s="27"/>
      <c r="E417" s="27"/>
      <c r="F417" s="27"/>
      <c r="G417" s="27"/>
      <c r="H417" s="27"/>
      <c r="I417" s="27"/>
      <c r="J417" s="27"/>
      <c r="K417" s="27"/>
      <c r="L417" s="27"/>
      <c r="M417" s="27"/>
      <c r="N417" s="27"/>
      <c r="O417" s="27"/>
      <c r="P417" s="27"/>
      <c r="Q417" s="27"/>
      <c r="R417" s="27"/>
      <c r="S417" s="27"/>
      <c r="T417" s="27">
        <f>IF(LEFT(Control_Achizitii!$E417,4)="Fact",1,0)</f>
        <v>0</v>
      </c>
      <c r="U417" s="27">
        <f>IF(Control_Achizitii!$C417="",0,IF(ISNUMBER(Control_Achizitii!$B417),0,1))</f>
        <v>0</v>
      </c>
      <c r="V417" s="27">
        <f>IF(Control_Achizitii!$C417="",0,IF($Z$2&lt;&gt;"OK",0,IF(AND(ISNUMBER(Control_Achizitii!$B417),Control_Achizitii!$B417&gt;=$E$5,Control_Achizitii!$B417&lt;$J$5+1,OR($O$5="Toate proiectele",Control_Achizitii!$Q417=$O$5)),1,0)))</f>
        <v>0</v>
      </c>
      <c r="W417" s="27">
        <f>IF(AND(V417=1,OR(Control_Achizitii!$J417&lt;&gt;"DOSAR COMPLET",Control_Achizitii!$K417&lt;&gt;"")),ROW(),1000000000)</f>
        <v>1000000000</v>
      </c>
      <c r="X417" s="27">
        <f>IF(AND(V417=1,LEFT(Control_Achizitii!$E417,4)="Fact",NOT(ISNUMBER(Control_Achizitii!$P417))),1,0)</f>
        <v>0</v>
      </c>
      <c r="Y417" s="27">
        <f>IF(V417=0,0,IF(Control_Achizitii!$J417="DOSAR COMPLET",1,IF(LEFT(Control_Achizitii!$J417,9)="INCOMPLET",2,3)))</f>
        <v>0</v>
      </c>
      <c r="Z417" s="27"/>
      <c r="AA417" s="27"/>
      <c r="AB417" s="27"/>
      <c r="AC417" s="27"/>
      <c r="AD417" s="27"/>
      <c r="AE417" s="27"/>
      <c r="AF417" s="27"/>
      <c r="AG417" s="27"/>
      <c r="AH417" s="27">
        <f>IF(AND(V417=1,Control_Achizitii!$J417="DOSAR COMPLET",Control_Achizitii!$K417&lt;&gt;""),1,0)</f>
        <v>0</v>
      </c>
    </row>
    <row r="418" spans="1:34">
      <c r="A418" s="27"/>
      <c r="B418" s="27"/>
      <c r="C418" s="27"/>
      <c r="D418" s="27"/>
      <c r="E418" s="27"/>
      <c r="F418" s="27"/>
      <c r="G418" s="27"/>
      <c r="H418" s="27"/>
      <c r="I418" s="27"/>
      <c r="J418" s="27"/>
      <c r="K418" s="27"/>
      <c r="L418" s="27"/>
      <c r="M418" s="27"/>
      <c r="N418" s="27"/>
      <c r="O418" s="27"/>
      <c r="P418" s="27"/>
      <c r="Q418" s="27"/>
      <c r="R418" s="27"/>
      <c r="S418" s="27"/>
      <c r="T418" s="27">
        <f>IF(LEFT(Control_Achizitii!$E418,4)="Fact",1,0)</f>
        <v>0</v>
      </c>
      <c r="U418" s="27">
        <f>IF(Control_Achizitii!$C418="",0,IF(ISNUMBER(Control_Achizitii!$B418),0,1))</f>
        <v>0</v>
      </c>
      <c r="V418" s="27">
        <f>IF(Control_Achizitii!$C418="",0,IF($Z$2&lt;&gt;"OK",0,IF(AND(ISNUMBER(Control_Achizitii!$B418),Control_Achizitii!$B418&gt;=$E$5,Control_Achizitii!$B418&lt;$J$5+1,OR($O$5="Toate proiectele",Control_Achizitii!$Q418=$O$5)),1,0)))</f>
        <v>0</v>
      </c>
      <c r="W418" s="27">
        <f>IF(AND(V418=1,OR(Control_Achizitii!$J418&lt;&gt;"DOSAR COMPLET",Control_Achizitii!$K418&lt;&gt;"")),ROW(),1000000000)</f>
        <v>1000000000</v>
      </c>
      <c r="X418" s="27">
        <f>IF(AND(V418=1,LEFT(Control_Achizitii!$E418,4)="Fact",NOT(ISNUMBER(Control_Achizitii!$P418))),1,0)</f>
        <v>0</v>
      </c>
      <c r="Y418" s="27">
        <f>IF(V418=0,0,IF(Control_Achizitii!$J418="DOSAR COMPLET",1,IF(LEFT(Control_Achizitii!$J418,9)="INCOMPLET",2,3)))</f>
        <v>0</v>
      </c>
      <c r="Z418" s="27"/>
      <c r="AA418" s="27"/>
      <c r="AB418" s="27"/>
      <c r="AC418" s="27"/>
      <c r="AD418" s="27"/>
      <c r="AE418" s="27"/>
      <c r="AF418" s="27"/>
      <c r="AG418" s="27"/>
      <c r="AH418" s="27">
        <f>IF(AND(V418=1,Control_Achizitii!$J418="DOSAR COMPLET",Control_Achizitii!$K418&lt;&gt;""),1,0)</f>
        <v>0</v>
      </c>
    </row>
    <row r="419" spans="1:34">
      <c r="A419" s="27"/>
      <c r="B419" s="27"/>
      <c r="C419" s="27"/>
      <c r="D419" s="27"/>
      <c r="E419" s="27"/>
      <c r="F419" s="27"/>
      <c r="G419" s="27"/>
      <c r="H419" s="27"/>
      <c r="I419" s="27"/>
      <c r="J419" s="27"/>
      <c r="K419" s="27"/>
      <c r="L419" s="27"/>
      <c r="M419" s="27"/>
      <c r="N419" s="27"/>
      <c r="O419" s="27"/>
      <c r="P419" s="27"/>
      <c r="Q419" s="27"/>
      <c r="R419" s="27"/>
      <c r="S419" s="27"/>
      <c r="T419" s="27">
        <f>IF(LEFT(Control_Achizitii!$E419,4)="Fact",1,0)</f>
        <v>0</v>
      </c>
      <c r="U419" s="27">
        <f>IF(Control_Achizitii!$C419="",0,IF(ISNUMBER(Control_Achizitii!$B419),0,1))</f>
        <v>0</v>
      </c>
      <c r="V419" s="27">
        <f>IF(Control_Achizitii!$C419="",0,IF($Z$2&lt;&gt;"OK",0,IF(AND(ISNUMBER(Control_Achizitii!$B419),Control_Achizitii!$B419&gt;=$E$5,Control_Achizitii!$B419&lt;$J$5+1,OR($O$5="Toate proiectele",Control_Achizitii!$Q419=$O$5)),1,0)))</f>
        <v>0</v>
      </c>
      <c r="W419" s="27">
        <f>IF(AND(V419=1,OR(Control_Achizitii!$J419&lt;&gt;"DOSAR COMPLET",Control_Achizitii!$K419&lt;&gt;"")),ROW(),1000000000)</f>
        <v>1000000000</v>
      </c>
      <c r="X419" s="27">
        <f>IF(AND(V419=1,LEFT(Control_Achizitii!$E419,4)="Fact",NOT(ISNUMBER(Control_Achizitii!$P419))),1,0)</f>
        <v>0</v>
      </c>
      <c r="Y419" s="27">
        <f>IF(V419=0,0,IF(Control_Achizitii!$J419="DOSAR COMPLET",1,IF(LEFT(Control_Achizitii!$J419,9)="INCOMPLET",2,3)))</f>
        <v>0</v>
      </c>
      <c r="Z419" s="27"/>
      <c r="AA419" s="27"/>
      <c r="AB419" s="27"/>
      <c r="AC419" s="27"/>
      <c r="AD419" s="27"/>
      <c r="AE419" s="27"/>
      <c r="AF419" s="27"/>
      <c r="AG419" s="27"/>
      <c r="AH419" s="27">
        <f>IF(AND(V419=1,Control_Achizitii!$J419="DOSAR COMPLET",Control_Achizitii!$K419&lt;&gt;""),1,0)</f>
        <v>0</v>
      </c>
    </row>
    <row r="420" spans="1:34">
      <c r="A420" s="27"/>
      <c r="B420" s="27"/>
      <c r="C420" s="27"/>
      <c r="D420" s="27"/>
      <c r="E420" s="27"/>
      <c r="F420" s="27"/>
      <c r="G420" s="27"/>
      <c r="H420" s="27"/>
      <c r="I420" s="27"/>
      <c r="J420" s="27"/>
      <c r="K420" s="27"/>
      <c r="L420" s="27"/>
      <c r="M420" s="27"/>
      <c r="N420" s="27"/>
      <c r="O420" s="27"/>
      <c r="P420" s="27"/>
      <c r="Q420" s="27"/>
      <c r="R420" s="27"/>
      <c r="S420" s="27"/>
      <c r="T420" s="27">
        <f>IF(LEFT(Control_Achizitii!$E420,4)="Fact",1,0)</f>
        <v>0</v>
      </c>
      <c r="U420" s="27">
        <f>IF(Control_Achizitii!$C420="",0,IF(ISNUMBER(Control_Achizitii!$B420),0,1))</f>
        <v>0</v>
      </c>
      <c r="V420" s="27">
        <f>IF(Control_Achizitii!$C420="",0,IF($Z$2&lt;&gt;"OK",0,IF(AND(ISNUMBER(Control_Achizitii!$B420),Control_Achizitii!$B420&gt;=$E$5,Control_Achizitii!$B420&lt;$J$5+1,OR($O$5="Toate proiectele",Control_Achizitii!$Q420=$O$5)),1,0)))</f>
        <v>0</v>
      </c>
      <c r="W420" s="27">
        <f>IF(AND(V420=1,OR(Control_Achizitii!$J420&lt;&gt;"DOSAR COMPLET",Control_Achizitii!$K420&lt;&gt;"")),ROW(),1000000000)</f>
        <v>1000000000</v>
      </c>
      <c r="X420" s="27">
        <f>IF(AND(V420=1,LEFT(Control_Achizitii!$E420,4)="Fact",NOT(ISNUMBER(Control_Achizitii!$P420))),1,0)</f>
        <v>0</v>
      </c>
      <c r="Y420" s="27">
        <f>IF(V420=0,0,IF(Control_Achizitii!$J420="DOSAR COMPLET",1,IF(LEFT(Control_Achizitii!$J420,9)="INCOMPLET",2,3)))</f>
        <v>0</v>
      </c>
      <c r="Z420" s="27"/>
      <c r="AA420" s="27"/>
      <c r="AB420" s="27"/>
      <c r="AC420" s="27"/>
      <c r="AD420" s="27"/>
      <c r="AE420" s="27"/>
      <c r="AF420" s="27"/>
      <c r="AG420" s="27"/>
      <c r="AH420" s="27">
        <f>IF(AND(V420=1,Control_Achizitii!$J420="DOSAR COMPLET",Control_Achizitii!$K420&lt;&gt;""),1,0)</f>
        <v>0</v>
      </c>
    </row>
    <row r="421" spans="1:34">
      <c r="A421" s="27"/>
      <c r="B421" s="27"/>
      <c r="C421" s="27"/>
      <c r="D421" s="27"/>
      <c r="E421" s="27"/>
      <c r="F421" s="27"/>
      <c r="G421" s="27"/>
      <c r="H421" s="27"/>
      <c r="I421" s="27"/>
      <c r="J421" s="27"/>
      <c r="K421" s="27"/>
      <c r="L421" s="27"/>
      <c r="M421" s="27"/>
      <c r="N421" s="27"/>
      <c r="O421" s="27"/>
      <c r="P421" s="27"/>
      <c r="Q421" s="27"/>
      <c r="R421" s="27"/>
      <c r="S421" s="27"/>
      <c r="T421" s="27">
        <f>IF(LEFT(Control_Achizitii!$E421,4)="Fact",1,0)</f>
        <v>0</v>
      </c>
      <c r="U421" s="27">
        <f>IF(Control_Achizitii!$C421="",0,IF(ISNUMBER(Control_Achizitii!$B421),0,1))</f>
        <v>0</v>
      </c>
      <c r="V421" s="27">
        <f>IF(Control_Achizitii!$C421="",0,IF($Z$2&lt;&gt;"OK",0,IF(AND(ISNUMBER(Control_Achizitii!$B421),Control_Achizitii!$B421&gt;=$E$5,Control_Achizitii!$B421&lt;$J$5+1,OR($O$5="Toate proiectele",Control_Achizitii!$Q421=$O$5)),1,0)))</f>
        <v>0</v>
      </c>
      <c r="W421" s="27">
        <f>IF(AND(V421=1,OR(Control_Achizitii!$J421&lt;&gt;"DOSAR COMPLET",Control_Achizitii!$K421&lt;&gt;"")),ROW(),1000000000)</f>
        <v>1000000000</v>
      </c>
      <c r="X421" s="27">
        <f>IF(AND(V421=1,LEFT(Control_Achizitii!$E421,4)="Fact",NOT(ISNUMBER(Control_Achizitii!$P421))),1,0)</f>
        <v>0</v>
      </c>
      <c r="Y421" s="27">
        <f>IF(V421=0,0,IF(Control_Achizitii!$J421="DOSAR COMPLET",1,IF(LEFT(Control_Achizitii!$J421,9)="INCOMPLET",2,3)))</f>
        <v>0</v>
      </c>
      <c r="Z421" s="27"/>
      <c r="AA421" s="27"/>
      <c r="AB421" s="27"/>
      <c r="AC421" s="27"/>
      <c r="AD421" s="27"/>
      <c r="AE421" s="27"/>
      <c r="AF421" s="27"/>
      <c r="AG421" s="27"/>
      <c r="AH421" s="27">
        <f>IF(AND(V421=1,Control_Achizitii!$J421="DOSAR COMPLET",Control_Achizitii!$K421&lt;&gt;""),1,0)</f>
        <v>0</v>
      </c>
    </row>
    <row r="422" spans="1:34">
      <c r="A422" s="27"/>
      <c r="B422" s="27"/>
      <c r="C422" s="27"/>
      <c r="D422" s="27"/>
      <c r="E422" s="27"/>
      <c r="F422" s="27"/>
      <c r="G422" s="27"/>
      <c r="H422" s="27"/>
      <c r="I422" s="27"/>
      <c r="J422" s="27"/>
      <c r="K422" s="27"/>
      <c r="L422" s="27"/>
      <c r="M422" s="27"/>
      <c r="N422" s="27"/>
      <c r="O422" s="27"/>
      <c r="P422" s="27"/>
      <c r="Q422" s="27"/>
      <c r="R422" s="27"/>
      <c r="S422" s="27"/>
      <c r="T422" s="27">
        <f>IF(LEFT(Control_Achizitii!$E422,4)="Fact",1,0)</f>
        <v>0</v>
      </c>
      <c r="U422" s="27">
        <f>IF(Control_Achizitii!$C422="",0,IF(ISNUMBER(Control_Achizitii!$B422),0,1))</f>
        <v>0</v>
      </c>
      <c r="V422" s="27">
        <f>IF(Control_Achizitii!$C422="",0,IF($Z$2&lt;&gt;"OK",0,IF(AND(ISNUMBER(Control_Achizitii!$B422),Control_Achizitii!$B422&gt;=$E$5,Control_Achizitii!$B422&lt;$J$5+1,OR($O$5="Toate proiectele",Control_Achizitii!$Q422=$O$5)),1,0)))</f>
        <v>0</v>
      </c>
      <c r="W422" s="27">
        <f>IF(AND(V422=1,OR(Control_Achizitii!$J422&lt;&gt;"DOSAR COMPLET",Control_Achizitii!$K422&lt;&gt;"")),ROW(),1000000000)</f>
        <v>1000000000</v>
      </c>
      <c r="X422" s="27">
        <f>IF(AND(V422=1,LEFT(Control_Achizitii!$E422,4)="Fact",NOT(ISNUMBER(Control_Achizitii!$P422))),1,0)</f>
        <v>0</v>
      </c>
      <c r="Y422" s="27">
        <f>IF(V422=0,0,IF(Control_Achizitii!$J422="DOSAR COMPLET",1,IF(LEFT(Control_Achizitii!$J422,9)="INCOMPLET",2,3)))</f>
        <v>0</v>
      </c>
      <c r="Z422" s="27"/>
      <c r="AA422" s="27"/>
      <c r="AB422" s="27"/>
      <c r="AC422" s="27"/>
      <c r="AD422" s="27"/>
      <c r="AE422" s="27"/>
      <c r="AF422" s="27"/>
      <c r="AG422" s="27"/>
      <c r="AH422" s="27">
        <f>IF(AND(V422=1,Control_Achizitii!$J422="DOSAR COMPLET",Control_Achizitii!$K422&lt;&gt;""),1,0)</f>
        <v>0</v>
      </c>
    </row>
    <row r="423" spans="1:34">
      <c r="A423" s="27"/>
      <c r="B423" s="27"/>
      <c r="C423" s="27"/>
      <c r="D423" s="27"/>
      <c r="E423" s="27"/>
      <c r="F423" s="27"/>
      <c r="G423" s="27"/>
      <c r="H423" s="27"/>
      <c r="I423" s="27"/>
      <c r="J423" s="27"/>
      <c r="K423" s="27"/>
      <c r="L423" s="27"/>
      <c r="M423" s="27"/>
      <c r="N423" s="27"/>
      <c r="O423" s="27"/>
      <c r="P423" s="27"/>
      <c r="Q423" s="27"/>
      <c r="R423" s="27"/>
      <c r="S423" s="27"/>
      <c r="T423" s="27">
        <f>IF(LEFT(Control_Achizitii!$E423,4)="Fact",1,0)</f>
        <v>0</v>
      </c>
      <c r="U423" s="27">
        <f>IF(Control_Achizitii!$C423="",0,IF(ISNUMBER(Control_Achizitii!$B423),0,1))</f>
        <v>0</v>
      </c>
      <c r="V423" s="27">
        <f>IF(Control_Achizitii!$C423="",0,IF($Z$2&lt;&gt;"OK",0,IF(AND(ISNUMBER(Control_Achizitii!$B423),Control_Achizitii!$B423&gt;=$E$5,Control_Achizitii!$B423&lt;$J$5+1,OR($O$5="Toate proiectele",Control_Achizitii!$Q423=$O$5)),1,0)))</f>
        <v>0</v>
      </c>
      <c r="W423" s="27">
        <f>IF(AND(V423=1,OR(Control_Achizitii!$J423&lt;&gt;"DOSAR COMPLET",Control_Achizitii!$K423&lt;&gt;"")),ROW(),1000000000)</f>
        <v>1000000000</v>
      </c>
      <c r="X423" s="27">
        <f>IF(AND(V423=1,LEFT(Control_Achizitii!$E423,4)="Fact",NOT(ISNUMBER(Control_Achizitii!$P423))),1,0)</f>
        <v>0</v>
      </c>
      <c r="Y423" s="27">
        <f>IF(V423=0,0,IF(Control_Achizitii!$J423="DOSAR COMPLET",1,IF(LEFT(Control_Achizitii!$J423,9)="INCOMPLET",2,3)))</f>
        <v>0</v>
      </c>
      <c r="Z423" s="27"/>
      <c r="AA423" s="27"/>
      <c r="AB423" s="27"/>
      <c r="AC423" s="27"/>
      <c r="AD423" s="27"/>
      <c r="AE423" s="27"/>
      <c r="AF423" s="27"/>
      <c r="AG423" s="27"/>
      <c r="AH423" s="27">
        <f>IF(AND(V423=1,Control_Achizitii!$J423="DOSAR COMPLET",Control_Achizitii!$K423&lt;&gt;""),1,0)</f>
        <v>0</v>
      </c>
    </row>
    <row r="424" spans="1:34">
      <c r="A424" s="27"/>
      <c r="B424" s="27"/>
      <c r="C424" s="27"/>
      <c r="D424" s="27"/>
      <c r="E424" s="27"/>
      <c r="F424" s="27"/>
      <c r="G424" s="27"/>
      <c r="H424" s="27"/>
      <c r="I424" s="27"/>
      <c r="J424" s="27"/>
      <c r="K424" s="27"/>
      <c r="L424" s="27"/>
      <c r="M424" s="27"/>
      <c r="N424" s="27"/>
      <c r="O424" s="27"/>
      <c r="P424" s="27"/>
      <c r="Q424" s="27"/>
      <c r="R424" s="27"/>
      <c r="S424" s="27"/>
      <c r="T424" s="27">
        <f>IF(LEFT(Control_Achizitii!$E424,4)="Fact",1,0)</f>
        <v>0</v>
      </c>
      <c r="U424" s="27">
        <f>IF(Control_Achizitii!$C424="",0,IF(ISNUMBER(Control_Achizitii!$B424),0,1))</f>
        <v>0</v>
      </c>
      <c r="V424" s="27">
        <f>IF(Control_Achizitii!$C424="",0,IF($Z$2&lt;&gt;"OK",0,IF(AND(ISNUMBER(Control_Achizitii!$B424),Control_Achizitii!$B424&gt;=$E$5,Control_Achizitii!$B424&lt;$J$5+1,OR($O$5="Toate proiectele",Control_Achizitii!$Q424=$O$5)),1,0)))</f>
        <v>0</v>
      </c>
      <c r="W424" s="27">
        <f>IF(AND(V424=1,OR(Control_Achizitii!$J424&lt;&gt;"DOSAR COMPLET",Control_Achizitii!$K424&lt;&gt;"")),ROW(),1000000000)</f>
        <v>1000000000</v>
      </c>
      <c r="X424" s="27">
        <f>IF(AND(V424=1,LEFT(Control_Achizitii!$E424,4)="Fact",NOT(ISNUMBER(Control_Achizitii!$P424))),1,0)</f>
        <v>0</v>
      </c>
      <c r="Y424" s="27">
        <f>IF(V424=0,0,IF(Control_Achizitii!$J424="DOSAR COMPLET",1,IF(LEFT(Control_Achizitii!$J424,9)="INCOMPLET",2,3)))</f>
        <v>0</v>
      </c>
      <c r="Z424" s="27"/>
      <c r="AA424" s="27"/>
      <c r="AB424" s="27"/>
      <c r="AC424" s="27"/>
      <c r="AD424" s="27"/>
      <c r="AE424" s="27"/>
      <c r="AF424" s="27"/>
      <c r="AG424" s="27"/>
      <c r="AH424" s="27">
        <f>IF(AND(V424=1,Control_Achizitii!$J424="DOSAR COMPLET",Control_Achizitii!$K424&lt;&gt;""),1,0)</f>
        <v>0</v>
      </c>
    </row>
    <row r="425" spans="1:34">
      <c r="A425" s="27"/>
      <c r="B425" s="27"/>
      <c r="C425" s="27"/>
      <c r="D425" s="27"/>
      <c r="E425" s="27"/>
      <c r="F425" s="27"/>
      <c r="G425" s="27"/>
      <c r="H425" s="27"/>
      <c r="I425" s="27"/>
      <c r="J425" s="27"/>
      <c r="K425" s="27"/>
      <c r="L425" s="27"/>
      <c r="M425" s="27"/>
      <c r="N425" s="27"/>
      <c r="O425" s="27"/>
      <c r="P425" s="27"/>
      <c r="Q425" s="27"/>
      <c r="R425" s="27"/>
      <c r="S425" s="27"/>
      <c r="T425" s="27">
        <f>IF(LEFT(Control_Achizitii!$E425,4)="Fact",1,0)</f>
        <v>0</v>
      </c>
      <c r="U425" s="27">
        <f>IF(Control_Achizitii!$C425="",0,IF(ISNUMBER(Control_Achizitii!$B425),0,1))</f>
        <v>0</v>
      </c>
      <c r="V425" s="27">
        <f>IF(Control_Achizitii!$C425="",0,IF($Z$2&lt;&gt;"OK",0,IF(AND(ISNUMBER(Control_Achizitii!$B425),Control_Achizitii!$B425&gt;=$E$5,Control_Achizitii!$B425&lt;$J$5+1,OR($O$5="Toate proiectele",Control_Achizitii!$Q425=$O$5)),1,0)))</f>
        <v>0</v>
      </c>
      <c r="W425" s="27">
        <f>IF(AND(V425=1,OR(Control_Achizitii!$J425&lt;&gt;"DOSAR COMPLET",Control_Achizitii!$K425&lt;&gt;"")),ROW(),1000000000)</f>
        <v>1000000000</v>
      </c>
      <c r="X425" s="27">
        <f>IF(AND(V425=1,LEFT(Control_Achizitii!$E425,4)="Fact",NOT(ISNUMBER(Control_Achizitii!$P425))),1,0)</f>
        <v>0</v>
      </c>
      <c r="Y425" s="27">
        <f>IF(V425=0,0,IF(Control_Achizitii!$J425="DOSAR COMPLET",1,IF(LEFT(Control_Achizitii!$J425,9)="INCOMPLET",2,3)))</f>
        <v>0</v>
      </c>
      <c r="Z425" s="27"/>
      <c r="AA425" s="27"/>
      <c r="AB425" s="27"/>
      <c r="AC425" s="27"/>
      <c r="AD425" s="27"/>
      <c r="AE425" s="27"/>
      <c r="AF425" s="27"/>
      <c r="AG425" s="27"/>
      <c r="AH425" s="27">
        <f>IF(AND(V425=1,Control_Achizitii!$J425="DOSAR COMPLET",Control_Achizitii!$K425&lt;&gt;""),1,0)</f>
        <v>0</v>
      </c>
    </row>
    <row r="426" spans="1:34">
      <c r="A426" s="27"/>
      <c r="B426" s="27"/>
      <c r="C426" s="27"/>
      <c r="D426" s="27"/>
      <c r="E426" s="27"/>
      <c r="F426" s="27"/>
      <c r="G426" s="27"/>
      <c r="H426" s="27"/>
      <c r="I426" s="27"/>
      <c r="J426" s="27"/>
      <c r="K426" s="27"/>
      <c r="L426" s="27"/>
      <c r="M426" s="27"/>
      <c r="N426" s="27"/>
      <c r="O426" s="27"/>
      <c r="P426" s="27"/>
      <c r="Q426" s="27"/>
      <c r="R426" s="27"/>
      <c r="S426" s="27"/>
      <c r="T426" s="27">
        <f>IF(LEFT(Control_Achizitii!$E426,4)="Fact",1,0)</f>
        <v>0</v>
      </c>
      <c r="U426" s="27">
        <f>IF(Control_Achizitii!$C426="",0,IF(ISNUMBER(Control_Achizitii!$B426),0,1))</f>
        <v>0</v>
      </c>
      <c r="V426" s="27">
        <f>IF(Control_Achizitii!$C426="",0,IF($Z$2&lt;&gt;"OK",0,IF(AND(ISNUMBER(Control_Achizitii!$B426),Control_Achizitii!$B426&gt;=$E$5,Control_Achizitii!$B426&lt;$J$5+1,OR($O$5="Toate proiectele",Control_Achizitii!$Q426=$O$5)),1,0)))</f>
        <v>0</v>
      </c>
      <c r="W426" s="27">
        <f>IF(AND(V426=1,OR(Control_Achizitii!$J426&lt;&gt;"DOSAR COMPLET",Control_Achizitii!$K426&lt;&gt;"")),ROW(),1000000000)</f>
        <v>1000000000</v>
      </c>
      <c r="X426" s="27">
        <f>IF(AND(V426=1,LEFT(Control_Achizitii!$E426,4)="Fact",NOT(ISNUMBER(Control_Achizitii!$P426))),1,0)</f>
        <v>0</v>
      </c>
      <c r="Y426" s="27">
        <f>IF(V426=0,0,IF(Control_Achizitii!$J426="DOSAR COMPLET",1,IF(LEFT(Control_Achizitii!$J426,9)="INCOMPLET",2,3)))</f>
        <v>0</v>
      </c>
      <c r="Z426" s="27"/>
      <c r="AA426" s="27"/>
      <c r="AB426" s="27"/>
      <c r="AC426" s="27"/>
      <c r="AD426" s="27"/>
      <c r="AE426" s="27"/>
      <c r="AF426" s="27"/>
      <c r="AG426" s="27"/>
      <c r="AH426" s="27">
        <f>IF(AND(V426=1,Control_Achizitii!$J426="DOSAR COMPLET",Control_Achizitii!$K426&lt;&gt;""),1,0)</f>
        <v>0</v>
      </c>
    </row>
    <row r="427" spans="1:34">
      <c r="A427" s="27"/>
      <c r="B427" s="27"/>
      <c r="C427" s="27"/>
      <c r="D427" s="27"/>
      <c r="E427" s="27"/>
      <c r="F427" s="27"/>
      <c r="G427" s="27"/>
      <c r="H427" s="27"/>
      <c r="I427" s="27"/>
      <c r="J427" s="27"/>
      <c r="K427" s="27"/>
      <c r="L427" s="27"/>
      <c r="M427" s="27"/>
      <c r="N427" s="27"/>
      <c r="O427" s="27"/>
      <c r="P427" s="27"/>
      <c r="Q427" s="27"/>
      <c r="R427" s="27"/>
      <c r="S427" s="27"/>
      <c r="T427" s="27">
        <f>IF(LEFT(Control_Achizitii!$E427,4)="Fact",1,0)</f>
        <v>0</v>
      </c>
      <c r="U427" s="27">
        <f>IF(Control_Achizitii!$C427="",0,IF(ISNUMBER(Control_Achizitii!$B427),0,1))</f>
        <v>0</v>
      </c>
      <c r="V427" s="27">
        <f>IF(Control_Achizitii!$C427="",0,IF($Z$2&lt;&gt;"OK",0,IF(AND(ISNUMBER(Control_Achizitii!$B427),Control_Achizitii!$B427&gt;=$E$5,Control_Achizitii!$B427&lt;$J$5+1,OR($O$5="Toate proiectele",Control_Achizitii!$Q427=$O$5)),1,0)))</f>
        <v>0</v>
      </c>
      <c r="W427" s="27">
        <f>IF(AND(V427=1,OR(Control_Achizitii!$J427&lt;&gt;"DOSAR COMPLET",Control_Achizitii!$K427&lt;&gt;"")),ROW(),1000000000)</f>
        <v>1000000000</v>
      </c>
      <c r="X427" s="27">
        <f>IF(AND(V427=1,LEFT(Control_Achizitii!$E427,4)="Fact",NOT(ISNUMBER(Control_Achizitii!$P427))),1,0)</f>
        <v>0</v>
      </c>
      <c r="Y427" s="27">
        <f>IF(V427=0,0,IF(Control_Achizitii!$J427="DOSAR COMPLET",1,IF(LEFT(Control_Achizitii!$J427,9)="INCOMPLET",2,3)))</f>
        <v>0</v>
      </c>
      <c r="Z427" s="27"/>
      <c r="AA427" s="27"/>
      <c r="AB427" s="27"/>
      <c r="AC427" s="27"/>
      <c r="AD427" s="27"/>
      <c r="AE427" s="27"/>
      <c r="AF427" s="27"/>
      <c r="AG427" s="27"/>
      <c r="AH427" s="27">
        <f>IF(AND(V427=1,Control_Achizitii!$J427="DOSAR COMPLET",Control_Achizitii!$K427&lt;&gt;""),1,0)</f>
        <v>0</v>
      </c>
    </row>
    <row r="428" spans="1:34">
      <c r="A428" s="27"/>
      <c r="B428" s="27"/>
      <c r="C428" s="27"/>
      <c r="D428" s="27"/>
      <c r="E428" s="27"/>
      <c r="F428" s="27"/>
      <c r="G428" s="27"/>
      <c r="H428" s="27"/>
      <c r="I428" s="27"/>
      <c r="J428" s="27"/>
      <c r="K428" s="27"/>
      <c r="L428" s="27"/>
      <c r="M428" s="27"/>
      <c r="N428" s="27"/>
      <c r="O428" s="27"/>
      <c r="P428" s="27"/>
      <c r="Q428" s="27"/>
      <c r="R428" s="27"/>
      <c r="S428" s="27"/>
      <c r="T428" s="27">
        <f>IF(LEFT(Control_Achizitii!$E428,4)="Fact",1,0)</f>
        <v>0</v>
      </c>
      <c r="U428" s="27">
        <f>IF(Control_Achizitii!$C428="",0,IF(ISNUMBER(Control_Achizitii!$B428),0,1))</f>
        <v>0</v>
      </c>
      <c r="V428" s="27">
        <f>IF(Control_Achizitii!$C428="",0,IF($Z$2&lt;&gt;"OK",0,IF(AND(ISNUMBER(Control_Achizitii!$B428),Control_Achizitii!$B428&gt;=$E$5,Control_Achizitii!$B428&lt;$J$5+1,OR($O$5="Toate proiectele",Control_Achizitii!$Q428=$O$5)),1,0)))</f>
        <v>0</v>
      </c>
      <c r="W428" s="27">
        <f>IF(AND(V428=1,OR(Control_Achizitii!$J428&lt;&gt;"DOSAR COMPLET",Control_Achizitii!$K428&lt;&gt;"")),ROW(),1000000000)</f>
        <v>1000000000</v>
      </c>
      <c r="X428" s="27">
        <f>IF(AND(V428=1,LEFT(Control_Achizitii!$E428,4)="Fact",NOT(ISNUMBER(Control_Achizitii!$P428))),1,0)</f>
        <v>0</v>
      </c>
      <c r="Y428" s="27">
        <f>IF(V428=0,0,IF(Control_Achizitii!$J428="DOSAR COMPLET",1,IF(LEFT(Control_Achizitii!$J428,9)="INCOMPLET",2,3)))</f>
        <v>0</v>
      </c>
      <c r="Z428" s="27"/>
      <c r="AA428" s="27"/>
      <c r="AB428" s="27"/>
      <c r="AC428" s="27"/>
      <c r="AD428" s="27"/>
      <c r="AE428" s="27"/>
      <c r="AF428" s="27"/>
      <c r="AG428" s="27"/>
      <c r="AH428" s="27">
        <f>IF(AND(V428=1,Control_Achizitii!$J428="DOSAR COMPLET",Control_Achizitii!$K428&lt;&gt;""),1,0)</f>
        <v>0</v>
      </c>
    </row>
    <row r="429" spans="1:34">
      <c r="A429" s="27"/>
      <c r="B429" s="27"/>
      <c r="C429" s="27"/>
      <c r="D429" s="27"/>
      <c r="E429" s="27"/>
      <c r="F429" s="27"/>
      <c r="G429" s="27"/>
      <c r="H429" s="27"/>
      <c r="I429" s="27"/>
      <c r="J429" s="27"/>
      <c r="K429" s="27"/>
      <c r="L429" s="27"/>
      <c r="M429" s="27"/>
      <c r="N429" s="27"/>
      <c r="O429" s="27"/>
      <c r="P429" s="27"/>
      <c r="Q429" s="27"/>
      <c r="R429" s="27"/>
      <c r="S429" s="27"/>
      <c r="T429" s="27">
        <f>IF(LEFT(Control_Achizitii!$E429,4)="Fact",1,0)</f>
        <v>0</v>
      </c>
      <c r="U429" s="27">
        <f>IF(Control_Achizitii!$C429="",0,IF(ISNUMBER(Control_Achizitii!$B429),0,1))</f>
        <v>0</v>
      </c>
      <c r="V429" s="27">
        <f>IF(Control_Achizitii!$C429="",0,IF($Z$2&lt;&gt;"OK",0,IF(AND(ISNUMBER(Control_Achizitii!$B429),Control_Achizitii!$B429&gt;=$E$5,Control_Achizitii!$B429&lt;$J$5+1,OR($O$5="Toate proiectele",Control_Achizitii!$Q429=$O$5)),1,0)))</f>
        <v>0</v>
      </c>
      <c r="W429" s="27">
        <f>IF(AND(V429=1,OR(Control_Achizitii!$J429&lt;&gt;"DOSAR COMPLET",Control_Achizitii!$K429&lt;&gt;"")),ROW(),1000000000)</f>
        <v>1000000000</v>
      </c>
      <c r="X429" s="27">
        <f>IF(AND(V429=1,LEFT(Control_Achizitii!$E429,4)="Fact",NOT(ISNUMBER(Control_Achizitii!$P429))),1,0)</f>
        <v>0</v>
      </c>
      <c r="Y429" s="27">
        <f>IF(V429=0,0,IF(Control_Achizitii!$J429="DOSAR COMPLET",1,IF(LEFT(Control_Achizitii!$J429,9)="INCOMPLET",2,3)))</f>
        <v>0</v>
      </c>
      <c r="Z429" s="27"/>
      <c r="AA429" s="27"/>
      <c r="AB429" s="27"/>
      <c r="AC429" s="27"/>
      <c r="AD429" s="27"/>
      <c r="AE429" s="27"/>
      <c r="AF429" s="27"/>
      <c r="AG429" s="27"/>
      <c r="AH429" s="27">
        <f>IF(AND(V429=1,Control_Achizitii!$J429="DOSAR COMPLET",Control_Achizitii!$K429&lt;&gt;""),1,0)</f>
        <v>0</v>
      </c>
    </row>
    <row r="430" spans="1:34">
      <c r="A430" s="27"/>
      <c r="B430" s="27"/>
      <c r="C430" s="27"/>
      <c r="D430" s="27"/>
      <c r="E430" s="27"/>
      <c r="F430" s="27"/>
      <c r="G430" s="27"/>
      <c r="H430" s="27"/>
      <c r="I430" s="27"/>
      <c r="J430" s="27"/>
      <c r="K430" s="27"/>
      <c r="L430" s="27"/>
      <c r="M430" s="27"/>
      <c r="N430" s="27"/>
      <c r="O430" s="27"/>
      <c r="P430" s="27"/>
      <c r="Q430" s="27"/>
      <c r="R430" s="27"/>
      <c r="S430" s="27"/>
      <c r="T430" s="27">
        <f>IF(LEFT(Control_Achizitii!$E430,4)="Fact",1,0)</f>
        <v>0</v>
      </c>
      <c r="U430" s="27">
        <f>IF(Control_Achizitii!$C430="",0,IF(ISNUMBER(Control_Achizitii!$B430),0,1))</f>
        <v>0</v>
      </c>
      <c r="V430" s="27">
        <f>IF(Control_Achizitii!$C430="",0,IF($Z$2&lt;&gt;"OK",0,IF(AND(ISNUMBER(Control_Achizitii!$B430),Control_Achizitii!$B430&gt;=$E$5,Control_Achizitii!$B430&lt;$J$5+1,OR($O$5="Toate proiectele",Control_Achizitii!$Q430=$O$5)),1,0)))</f>
        <v>0</v>
      </c>
      <c r="W430" s="27">
        <f>IF(AND(V430=1,OR(Control_Achizitii!$J430&lt;&gt;"DOSAR COMPLET",Control_Achizitii!$K430&lt;&gt;"")),ROW(),1000000000)</f>
        <v>1000000000</v>
      </c>
      <c r="X430" s="27">
        <f>IF(AND(V430=1,LEFT(Control_Achizitii!$E430,4)="Fact",NOT(ISNUMBER(Control_Achizitii!$P430))),1,0)</f>
        <v>0</v>
      </c>
      <c r="Y430" s="27">
        <f>IF(V430=0,0,IF(Control_Achizitii!$J430="DOSAR COMPLET",1,IF(LEFT(Control_Achizitii!$J430,9)="INCOMPLET",2,3)))</f>
        <v>0</v>
      </c>
      <c r="Z430" s="27"/>
      <c r="AA430" s="27"/>
      <c r="AB430" s="27"/>
      <c r="AC430" s="27"/>
      <c r="AD430" s="27"/>
      <c r="AE430" s="27"/>
      <c r="AF430" s="27"/>
      <c r="AG430" s="27"/>
      <c r="AH430" s="27">
        <f>IF(AND(V430=1,Control_Achizitii!$J430="DOSAR COMPLET",Control_Achizitii!$K430&lt;&gt;""),1,0)</f>
        <v>0</v>
      </c>
    </row>
    <row r="431" spans="1:34">
      <c r="A431" s="27"/>
      <c r="B431" s="27"/>
      <c r="C431" s="27"/>
      <c r="D431" s="27"/>
      <c r="E431" s="27"/>
      <c r="F431" s="27"/>
      <c r="G431" s="27"/>
      <c r="H431" s="27"/>
      <c r="I431" s="27"/>
      <c r="J431" s="27"/>
      <c r="K431" s="27"/>
      <c r="L431" s="27"/>
      <c r="M431" s="27"/>
      <c r="N431" s="27"/>
      <c r="O431" s="27"/>
      <c r="P431" s="27"/>
      <c r="Q431" s="27"/>
      <c r="R431" s="27"/>
      <c r="S431" s="27"/>
      <c r="T431" s="27">
        <f>IF(LEFT(Control_Achizitii!$E431,4)="Fact",1,0)</f>
        <v>0</v>
      </c>
      <c r="U431" s="27">
        <f>IF(Control_Achizitii!$C431="",0,IF(ISNUMBER(Control_Achizitii!$B431),0,1))</f>
        <v>0</v>
      </c>
      <c r="V431" s="27">
        <f>IF(Control_Achizitii!$C431="",0,IF($Z$2&lt;&gt;"OK",0,IF(AND(ISNUMBER(Control_Achizitii!$B431),Control_Achizitii!$B431&gt;=$E$5,Control_Achizitii!$B431&lt;$J$5+1,OR($O$5="Toate proiectele",Control_Achizitii!$Q431=$O$5)),1,0)))</f>
        <v>0</v>
      </c>
      <c r="W431" s="27">
        <f>IF(AND(V431=1,OR(Control_Achizitii!$J431&lt;&gt;"DOSAR COMPLET",Control_Achizitii!$K431&lt;&gt;"")),ROW(),1000000000)</f>
        <v>1000000000</v>
      </c>
      <c r="X431" s="27">
        <f>IF(AND(V431=1,LEFT(Control_Achizitii!$E431,4)="Fact",NOT(ISNUMBER(Control_Achizitii!$P431))),1,0)</f>
        <v>0</v>
      </c>
      <c r="Y431" s="27">
        <f>IF(V431=0,0,IF(Control_Achizitii!$J431="DOSAR COMPLET",1,IF(LEFT(Control_Achizitii!$J431,9)="INCOMPLET",2,3)))</f>
        <v>0</v>
      </c>
      <c r="Z431" s="27"/>
      <c r="AA431" s="27"/>
      <c r="AB431" s="27"/>
      <c r="AC431" s="27"/>
      <c r="AD431" s="27"/>
      <c r="AE431" s="27"/>
      <c r="AF431" s="27"/>
      <c r="AG431" s="27"/>
      <c r="AH431" s="27">
        <f>IF(AND(V431=1,Control_Achizitii!$J431="DOSAR COMPLET",Control_Achizitii!$K431&lt;&gt;""),1,0)</f>
        <v>0</v>
      </c>
    </row>
    <row r="432" spans="1:34">
      <c r="A432" s="27"/>
      <c r="B432" s="27"/>
      <c r="C432" s="27"/>
      <c r="D432" s="27"/>
      <c r="E432" s="27"/>
      <c r="F432" s="27"/>
      <c r="G432" s="27"/>
      <c r="H432" s="27"/>
      <c r="I432" s="27"/>
      <c r="J432" s="27"/>
      <c r="K432" s="27"/>
      <c r="L432" s="27"/>
      <c r="M432" s="27"/>
      <c r="N432" s="27"/>
      <c r="O432" s="27"/>
      <c r="P432" s="27"/>
      <c r="Q432" s="27"/>
      <c r="R432" s="27"/>
      <c r="S432" s="27"/>
      <c r="T432" s="27">
        <f>IF(LEFT(Control_Achizitii!$E432,4)="Fact",1,0)</f>
        <v>0</v>
      </c>
      <c r="U432" s="27">
        <f>IF(Control_Achizitii!$C432="",0,IF(ISNUMBER(Control_Achizitii!$B432),0,1))</f>
        <v>0</v>
      </c>
      <c r="V432" s="27">
        <f>IF(Control_Achizitii!$C432="",0,IF($Z$2&lt;&gt;"OK",0,IF(AND(ISNUMBER(Control_Achizitii!$B432),Control_Achizitii!$B432&gt;=$E$5,Control_Achizitii!$B432&lt;$J$5+1,OR($O$5="Toate proiectele",Control_Achizitii!$Q432=$O$5)),1,0)))</f>
        <v>0</v>
      </c>
      <c r="W432" s="27">
        <f>IF(AND(V432=1,OR(Control_Achizitii!$J432&lt;&gt;"DOSAR COMPLET",Control_Achizitii!$K432&lt;&gt;"")),ROW(),1000000000)</f>
        <v>1000000000</v>
      </c>
      <c r="X432" s="27">
        <f>IF(AND(V432=1,LEFT(Control_Achizitii!$E432,4)="Fact",NOT(ISNUMBER(Control_Achizitii!$P432))),1,0)</f>
        <v>0</v>
      </c>
      <c r="Y432" s="27">
        <f>IF(V432=0,0,IF(Control_Achizitii!$J432="DOSAR COMPLET",1,IF(LEFT(Control_Achizitii!$J432,9)="INCOMPLET",2,3)))</f>
        <v>0</v>
      </c>
      <c r="Z432" s="27"/>
      <c r="AA432" s="27"/>
      <c r="AB432" s="27"/>
      <c r="AC432" s="27"/>
      <c r="AD432" s="27"/>
      <c r="AE432" s="27"/>
      <c r="AF432" s="27"/>
      <c r="AG432" s="27"/>
      <c r="AH432" s="27">
        <f>IF(AND(V432=1,Control_Achizitii!$J432="DOSAR COMPLET",Control_Achizitii!$K432&lt;&gt;""),1,0)</f>
        <v>0</v>
      </c>
    </row>
    <row r="433" spans="1:34">
      <c r="A433" s="27"/>
      <c r="B433" s="27"/>
      <c r="C433" s="27"/>
      <c r="D433" s="27"/>
      <c r="E433" s="27"/>
      <c r="F433" s="27"/>
      <c r="G433" s="27"/>
      <c r="H433" s="27"/>
      <c r="I433" s="27"/>
      <c r="J433" s="27"/>
      <c r="K433" s="27"/>
      <c r="L433" s="27"/>
      <c r="M433" s="27"/>
      <c r="N433" s="27"/>
      <c r="O433" s="27"/>
      <c r="P433" s="27"/>
      <c r="Q433" s="27"/>
      <c r="R433" s="27"/>
      <c r="S433" s="27"/>
      <c r="T433" s="27">
        <f>IF(LEFT(Control_Achizitii!$E433,4)="Fact",1,0)</f>
        <v>0</v>
      </c>
      <c r="U433" s="27">
        <f>IF(Control_Achizitii!$C433="",0,IF(ISNUMBER(Control_Achizitii!$B433),0,1))</f>
        <v>0</v>
      </c>
      <c r="V433" s="27">
        <f>IF(Control_Achizitii!$C433="",0,IF($Z$2&lt;&gt;"OK",0,IF(AND(ISNUMBER(Control_Achizitii!$B433),Control_Achizitii!$B433&gt;=$E$5,Control_Achizitii!$B433&lt;$J$5+1,OR($O$5="Toate proiectele",Control_Achizitii!$Q433=$O$5)),1,0)))</f>
        <v>0</v>
      </c>
      <c r="W433" s="27">
        <f>IF(AND(V433=1,OR(Control_Achizitii!$J433&lt;&gt;"DOSAR COMPLET",Control_Achizitii!$K433&lt;&gt;"")),ROW(),1000000000)</f>
        <v>1000000000</v>
      </c>
      <c r="X433" s="27">
        <f>IF(AND(V433=1,LEFT(Control_Achizitii!$E433,4)="Fact",NOT(ISNUMBER(Control_Achizitii!$P433))),1,0)</f>
        <v>0</v>
      </c>
      <c r="Y433" s="27">
        <f>IF(V433=0,0,IF(Control_Achizitii!$J433="DOSAR COMPLET",1,IF(LEFT(Control_Achizitii!$J433,9)="INCOMPLET",2,3)))</f>
        <v>0</v>
      </c>
      <c r="Z433" s="27"/>
      <c r="AA433" s="27"/>
      <c r="AB433" s="27"/>
      <c r="AC433" s="27"/>
      <c r="AD433" s="27"/>
      <c r="AE433" s="27"/>
      <c r="AF433" s="27"/>
      <c r="AG433" s="27"/>
      <c r="AH433" s="27">
        <f>IF(AND(V433=1,Control_Achizitii!$J433="DOSAR COMPLET",Control_Achizitii!$K433&lt;&gt;""),1,0)</f>
        <v>0</v>
      </c>
    </row>
    <row r="434" spans="1:34">
      <c r="A434" s="27"/>
      <c r="B434" s="27"/>
      <c r="C434" s="27"/>
      <c r="D434" s="27"/>
      <c r="E434" s="27"/>
      <c r="F434" s="27"/>
      <c r="G434" s="27"/>
      <c r="H434" s="27"/>
      <c r="I434" s="27"/>
      <c r="J434" s="27"/>
      <c r="K434" s="27"/>
      <c r="L434" s="27"/>
      <c r="M434" s="27"/>
      <c r="N434" s="27"/>
      <c r="O434" s="27"/>
      <c r="P434" s="27"/>
      <c r="Q434" s="27"/>
      <c r="R434" s="27"/>
      <c r="S434" s="27"/>
      <c r="T434" s="27">
        <f>IF(LEFT(Control_Achizitii!$E434,4)="Fact",1,0)</f>
        <v>0</v>
      </c>
      <c r="U434" s="27">
        <f>IF(Control_Achizitii!$C434="",0,IF(ISNUMBER(Control_Achizitii!$B434),0,1))</f>
        <v>0</v>
      </c>
      <c r="V434" s="27">
        <f>IF(Control_Achizitii!$C434="",0,IF($Z$2&lt;&gt;"OK",0,IF(AND(ISNUMBER(Control_Achizitii!$B434),Control_Achizitii!$B434&gt;=$E$5,Control_Achizitii!$B434&lt;$J$5+1,OR($O$5="Toate proiectele",Control_Achizitii!$Q434=$O$5)),1,0)))</f>
        <v>0</v>
      </c>
      <c r="W434" s="27">
        <f>IF(AND(V434=1,OR(Control_Achizitii!$J434&lt;&gt;"DOSAR COMPLET",Control_Achizitii!$K434&lt;&gt;"")),ROW(),1000000000)</f>
        <v>1000000000</v>
      </c>
      <c r="X434" s="27">
        <f>IF(AND(V434=1,LEFT(Control_Achizitii!$E434,4)="Fact",NOT(ISNUMBER(Control_Achizitii!$P434))),1,0)</f>
        <v>0</v>
      </c>
      <c r="Y434" s="27">
        <f>IF(V434=0,0,IF(Control_Achizitii!$J434="DOSAR COMPLET",1,IF(LEFT(Control_Achizitii!$J434,9)="INCOMPLET",2,3)))</f>
        <v>0</v>
      </c>
      <c r="Z434" s="27"/>
      <c r="AA434" s="27"/>
      <c r="AB434" s="27"/>
      <c r="AC434" s="27"/>
      <c r="AD434" s="27"/>
      <c r="AE434" s="27"/>
      <c r="AF434" s="27"/>
      <c r="AG434" s="27"/>
      <c r="AH434" s="27">
        <f>IF(AND(V434=1,Control_Achizitii!$J434="DOSAR COMPLET",Control_Achizitii!$K434&lt;&gt;""),1,0)</f>
        <v>0</v>
      </c>
    </row>
    <row r="435" spans="1:34">
      <c r="A435" s="27"/>
      <c r="B435" s="27"/>
      <c r="C435" s="27"/>
      <c r="D435" s="27"/>
      <c r="E435" s="27"/>
      <c r="F435" s="27"/>
      <c r="G435" s="27"/>
      <c r="H435" s="27"/>
      <c r="I435" s="27"/>
      <c r="J435" s="27"/>
      <c r="K435" s="27"/>
      <c r="L435" s="27"/>
      <c r="M435" s="27"/>
      <c r="N435" s="27"/>
      <c r="O435" s="27"/>
      <c r="P435" s="27"/>
      <c r="Q435" s="27"/>
      <c r="R435" s="27"/>
      <c r="S435" s="27"/>
      <c r="T435" s="27">
        <f>IF(LEFT(Control_Achizitii!$E435,4)="Fact",1,0)</f>
        <v>0</v>
      </c>
      <c r="U435" s="27">
        <f>IF(Control_Achizitii!$C435="",0,IF(ISNUMBER(Control_Achizitii!$B435),0,1))</f>
        <v>0</v>
      </c>
      <c r="V435" s="27">
        <f>IF(Control_Achizitii!$C435="",0,IF($Z$2&lt;&gt;"OK",0,IF(AND(ISNUMBER(Control_Achizitii!$B435),Control_Achizitii!$B435&gt;=$E$5,Control_Achizitii!$B435&lt;$J$5+1,OR($O$5="Toate proiectele",Control_Achizitii!$Q435=$O$5)),1,0)))</f>
        <v>0</v>
      </c>
      <c r="W435" s="27">
        <f>IF(AND(V435=1,OR(Control_Achizitii!$J435&lt;&gt;"DOSAR COMPLET",Control_Achizitii!$K435&lt;&gt;"")),ROW(),1000000000)</f>
        <v>1000000000</v>
      </c>
      <c r="X435" s="27">
        <f>IF(AND(V435=1,LEFT(Control_Achizitii!$E435,4)="Fact",NOT(ISNUMBER(Control_Achizitii!$P435))),1,0)</f>
        <v>0</v>
      </c>
      <c r="Y435" s="27">
        <f>IF(V435=0,0,IF(Control_Achizitii!$J435="DOSAR COMPLET",1,IF(LEFT(Control_Achizitii!$J435,9)="INCOMPLET",2,3)))</f>
        <v>0</v>
      </c>
      <c r="Z435" s="27"/>
      <c r="AA435" s="27"/>
      <c r="AB435" s="27"/>
      <c r="AC435" s="27"/>
      <c r="AD435" s="27"/>
      <c r="AE435" s="27"/>
      <c r="AF435" s="27"/>
      <c r="AG435" s="27"/>
      <c r="AH435" s="27">
        <f>IF(AND(V435=1,Control_Achizitii!$J435="DOSAR COMPLET",Control_Achizitii!$K435&lt;&gt;""),1,0)</f>
        <v>0</v>
      </c>
    </row>
    <row r="436" spans="1:34">
      <c r="A436" s="27"/>
      <c r="B436" s="27"/>
      <c r="C436" s="27"/>
      <c r="D436" s="27"/>
      <c r="E436" s="27"/>
      <c r="F436" s="27"/>
      <c r="G436" s="27"/>
      <c r="H436" s="27"/>
      <c r="I436" s="27"/>
      <c r="J436" s="27"/>
      <c r="K436" s="27"/>
      <c r="L436" s="27"/>
      <c r="M436" s="27"/>
      <c r="N436" s="27"/>
      <c r="O436" s="27"/>
      <c r="P436" s="27"/>
      <c r="Q436" s="27"/>
      <c r="R436" s="27"/>
      <c r="S436" s="27"/>
      <c r="T436" s="27">
        <f>IF(LEFT(Control_Achizitii!$E436,4)="Fact",1,0)</f>
        <v>0</v>
      </c>
      <c r="U436" s="27">
        <f>IF(Control_Achizitii!$C436="",0,IF(ISNUMBER(Control_Achizitii!$B436),0,1))</f>
        <v>0</v>
      </c>
      <c r="V436" s="27">
        <f>IF(Control_Achizitii!$C436="",0,IF($Z$2&lt;&gt;"OK",0,IF(AND(ISNUMBER(Control_Achizitii!$B436),Control_Achizitii!$B436&gt;=$E$5,Control_Achizitii!$B436&lt;$J$5+1,OR($O$5="Toate proiectele",Control_Achizitii!$Q436=$O$5)),1,0)))</f>
        <v>0</v>
      </c>
      <c r="W436" s="27">
        <f>IF(AND(V436=1,OR(Control_Achizitii!$J436&lt;&gt;"DOSAR COMPLET",Control_Achizitii!$K436&lt;&gt;"")),ROW(),1000000000)</f>
        <v>1000000000</v>
      </c>
      <c r="X436" s="27">
        <f>IF(AND(V436=1,LEFT(Control_Achizitii!$E436,4)="Fact",NOT(ISNUMBER(Control_Achizitii!$P436))),1,0)</f>
        <v>0</v>
      </c>
      <c r="Y436" s="27">
        <f>IF(V436=0,0,IF(Control_Achizitii!$J436="DOSAR COMPLET",1,IF(LEFT(Control_Achizitii!$J436,9)="INCOMPLET",2,3)))</f>
        <v>0</v>
      </c>
      <c r="Z436" s="27"/>
      <c r="AA436" s="27"/>
      <c r="AB436" s="27"/>
      <c r="AC436" s="27"/>
      <c r="AD436" s="27"/>
      <c r="AE436" s="27"/>
      <c r="AF436" s="27"/>
      <c r="AG436" s="27"/>
      <c r="AH436" s="27">
        <f>IF(AND(V436=1,Control_Achizitii!$J436="DOSAR COMPLET",Control_Achizitii!$K436&lt;&gt;""),1,0)</f>
        <v>0</v>
      </c>
    </row>
    <row r="437" spans="1:34">
      <c r="A437" s="27"/>
      <c r="B437" s="27"/>
      <c r="C437" s="27"/>
      <c r="D437" s="27"/>
      <c r="E437" s="27"/>
      <c r="F437" s="27"/>
      <c r="G437" s="27"/>
      <c r="H437" s="27"/>
      <c r="I437" s="27"/>
      <c r="J437" s="27"/>
      <c r="K437" s="27"/>
      <c r="L437" s="27"/>
      <c r="M437" s="27"/>
      <c r="N437" s="27"/>
      <c r="O437" s="27"/>
      <c r="P437" s="27"/>
      <c r="Q437" s="27"/>
      <c r="R437" s="27"/>
      <c r="S437" s="27"/>
      <c r="T437" s="27">
        <f>IF(LEFT(Control_Achizitii!$E437,4)="Fact",1,0)</f>
        <v>0</v>
      </c>
      <c r="U437" s="27">
        <f>IF(Control_Achizitii!$C437="",0,IF(ISNUMBER(Control_Achizitii!$B437),0,1))</f>
        <v>0</v>
      </c>
      <c r="V437" s="27">
        <f>IF(Control_Achizitii!$C437="",0,IF($Z$2&lt;&gt;"OK",0,IF(AND(ISNUMBER(Control_Achizitii!$B437),Control_Achizitii!$B437&gt;=$E$5,Control_Achizitii!$B437&lt;$J$5+1,OR($O$5="Toate proiectele",Control_Achizitii!$Q437=$O$5)),1,0)))</f>
        <v>0</v>
      </c>
      <c r="W437" s="27">
        <f>IF(AND(V437=1,OR(Control_Achizitii!$J437&lt;&gt;"DOSAR COMPLET",Control_Achizitii!$K437&lt;&gt;"")),ROW(),1000000000)</f>
        <v>1000000000</v>
      </c>
      <c r="X437" s="27">
        <f>IF(AND(V437=1,LEFT(Control_Achizitii!$E437,4)="Fact",NOT(ISNUMBER(Control_Achizitii!$P437))),1,0)</f>
        <v>0</v>
      </c>
      <c r="Y437" s="27">
        <f>IF(V437=0,0,IF(Control_Achizitii!$J437="DOSAR COMPLET",1,IF(LEFT(Control_Achizitii!$J437,9)="INCOMPLET",2,3)))</f>
        <v>0</v>
      </c>
      <c r="Z437" s="27"/>
      <c r="AA437" s="27"/>
      <c r="AB437" s="27"/>
      <c r="AC437" s="27"/>
      <c r="AD437" s="27"/>
      <c r="AE437" s="27"/>
      <c r="AF437" s="27"/>
      <c r="AG437" s="27"/>
      <c r="AH437" s="27">
        <f>IF(AND(V437=1,Control_Achizitii!$J437="DOSAR COMPLET",Control_Achizitii!$K437&lt;&gt;""),1,0)</f>
        <v>0</v>
      </c>
    </row>
    <row r="438" spans="1:34">
      <c r="A438" s="27"/>
      <c r="B438" s="27"/>
      <c r="C438" s="27"/>
      <c r="D438" s="27"/>
      <c r="E438" s="27"/>
      <c r="F438" s="27"/>
      <c r="G438" s="27"/>
      <c r="H438" s="27"/>
      <c r="I438" s="27"/>
      <c r="J438" s="27"/>
      <c r="K438" s="27"/>
      <c r="L438" s="27"/>
      <c r="M438" s="27"/>
      <c r="N438" s="27"/>
      <c r="O438" s="27"/>
      <c r="P438" s="27"/>
      <c r="Q438" s="27"/>
      <c r="R438" s="27"/>
      <c r="S438" s="27"/>
      <c r="T438" s="27">
        <f>IF(LEFT(Control_Achizitii!$E438,4)="Fact",1,0)</f>
        <v>0</v>
      </c>
      <c r="U438" s="27">
        <f>IF(Control_Achizitii!$C438="",0,IF(ISNUMBER(Control_Achizitii!$B438),0,1))</f>
        <v>0</v>
      </c>
      <c r="V438" s="27">
        <f>IF(Control_Achizitii!$C438="",0,IF($Z$2&lt;&gt;"OK",0,IF(AND(ISNUMBER(Control_Achizitii!$B438),Control_Achizitii!$B438&gt;=$E$5,Control_Achizitii!$B438&lt;$J$5+1,OR($O$5="Toate proiectele",Control_Achizitii!$Q438=$O$5)),1,0)))</f>
        <v>0</v>
      </c>
      <c r="W438" s="27">
        <f>IF(AND(V438=1,OR(Control_Achizitii!$J438&lt;&gt;"DOSAR COMPLET",Control_Achizitii!$K438&lt;&gt;"")),ROW(),1000000000)</f>
        <v>1000000000</v>
      </c>
      <c r="X438" s="27">
        <f>IF(AND(V438=1,LEFT(Control_Achizitii!$E438,4)="Fact",NOT(ISNUMBER(Control_Achizitii!$P438))),1,0)</f>
        <v>0</v>
      </c>
      <c r="Y438" s="27">
        <f>IF(V438=0,0,IF(Control_Achizitii!$J438="DOSAR COMPLET",1,IF(LEFT(Control_Achizitii!$J438,9)="INCOMPLET",2,3)))</f>
        <v>0</v>
      </c>
      <c r="Z438" s="27"/>
      <c r="AA438" s="27"/>
      <c r="AB438" s="27"/>
      <c r="AC438" s="27"/>
      <c r="AD438" s="27"/>
      <c r="AE438" s="27"/>
      <c r="AF438" s="27"/>
      <c r="AG438" s="27"/>
      <c r="AH438" s="27">
        <f>IF(AND(V438=1,Control_Achizitii!$J438="DOSAR COMPLET",Control_Achizitii!$K438&lt;&gt;""),1,0)</f>
        <v>0</v>
      </c>
    </row>
    <row r="439" spans="1:34">
      <c r="A439" s="27"/>
      <c r="B439" s="27"/>
      <c r="C439" s="27"/>
      <c r="D439" s="27"/>
      <c r="E439" s="27"/>
      <c r="F439" s="27"/>
      <c r="G439" s="27"/>
      <c r="H439" s="27"/>
      <c r="I439" s="27"/>
      <c r="J439" s="27"/>
      <c r="K439" s="27"/>
      <c r="L439" s="27"/>
      <c r="M439" s="27"/>
      <c r="N439" s="27"/>
      <c r="O439" s="27"/>
      <c r="P439" s="27"/>
      <c r="Q439" s="27"/>
      <c r="R439" s="27"/>
      <c r="S439" s="27"/>
      <c r="T439" s="27">
        <f>IF(LEFT(Control_Achizitii!$E439,4)="Fact",1,0)</f>
        <v>0</v>
      </c>
      <c r="U439" s="27">
        <f>IF(Control_Achizitii!$C439="",0,IF(ISNUMBER(Control_Achizitii!$B439),0,1))</f>
        <v>0</v>
      </c>
      <c r="V439" s="27">
        <f>IF(Control_Achizitii!$C439="",0,IF($Z$2&lt;&gt;"OK",0,IF(AND(ISNUMBER(Control_Achizitii!$B439),Control_Achizitii!$B439&gt;=$E$5,Control_Achizitii!$B439&lt;$J$5+1,OR($O$5="Toate proiectele",Control_Achizitii!$Q439=$O$5)),1,0)))</f>
        <v>0</v>
      </c>
      <c r="W439" s="27">
        <f>IF(AND(V439=1,OR(Control_Achizitii!$J439&lt;&gt;"DOSAR COMPLET",Control_Achizitii!$K439&lt;&gt;"")),ROW(),1000000000)</f>
        <v>1000000000</v>
      </c>
      <c r="X439" s="27">
        <f>IF(AND(V439=1,LEFT(Control_Achizitii!$E439,4)="Fact",NOT(ISNUMBER(Control_Achizitii!$P439))),1,0)</f>
        <v>0</v>
      </c>
      <c r="Y439" s="27">
        <f>IF(V439=0,0,IF(Control_Achizitii!$J439="DOSAR COMPLET",1,IF(LEFT(Control_Achizitii!$J439,9)="INCOMPLET",2,3)))</f>
        <v>0</v>
      </c>
      <c r="Z439" s="27"/>
      <c r="AA439" s="27"/>
      <c r="AB439" s="27"/>
      <c r="AC439" s="27"/>
      <c r="AD439" s="27"/>
      <c r="AE439" s="27"/>
      <c r="AF439" s="27"/>
      <c r="AG439" s="27"/>
      <c r="AH439" s="27">
        <f>IF(AND(V439=1,Control_Achizitii!$J439="DOSAR COMPLET",Control_Achizitii!$K439&lt;&gt;""),1,0)</f>
        <v>0</v>
      </c>
    </row>
    <row r="440" spans="1:34">
      <c r="A440" s="27"/>
      <c r="B440" s="27"/>
      <c r="C440" s="27"/>
      <c r="D440" s="27"/>
      <c r="E440" s="27"/>
      <c r="F440" s="27"/>
      <c r="G440" s="27"/>
      <c r="H440" s="27"/>
      <c r="I440" s="27"/>
      <c r="J440" s="27"/>
      <c r="K440" s="27"/>
      <c r="L440" s="27"/>
      <c r="M440" s="27"/>
      <c r="N440" s="27"/>
      <c r="O440" s="27"/>
      <c r="P440" s="27"/>
      <c r="Q440" s="27"/>
      <c r="R440" s="27"/>
      <c r="S440" s="27"/>
      <c r="T440" s="27">
        <f>IF(LEFT(Control_Achizitii!$E440,4)="Fact",1,0)</f>
        <v>0</v>
      </c>
      <c r="U440" s="27">
        <f>IF(Control_Achizitii!$C440="",0,IF(ISNUMBER(Control_Achizitii!$B440),0,1))</f>
        <v>0</v>
      </c>
      <c r="V440" s="27">
        <f>IF(Control_Achizitii!$C440="",0,IF($Z$2&lt;&gt;"OK",0,IF(AND(ISNUMBER(Control_Achizitii!$B440),Control_Achizitii!$B440&gt;=$E$5,Control_Achizitii!$B440&lt;$J$5+1,OR($O$5="Toate proiectele",Control_Achizitii!$Q440=$O$5)),1,0)))</f>
        <v>0</v>
      </c>
      <c r="W440" s="27">
        <f>IF(AND(V440=1,OR(Control_Achizitii!$J440&lt;&gt;"DOSAR COMPLET",Control_Achizitii!$K440&lt;&gt;"")),ROW(),1000000000)</f>
        <v>1000000000</v>
      </c>
      <c r="X440" s="27">
        <f>IF(AND(V440=1,LEFT(Control_Achizitii!$E440,4)="Fact",NOT(ISNUMBER(Control_Achizitii!$P440))),1,0)</f>
        <v>0</v>
      </c>
      <c r="Y440" s="27">
        <f>IF(V440=0,0,IF(Control_Achizitii!$J440="DOSAR COMPLET",1,IF(LEFT(Control_Achizitii!$J440,9)="INCOMPLET",2,3)))</f>
        <v>0</v>
      </c>
      <c r="Z440" s="27"/>
      <c r="AA440" s="27"/>
      <c r="AB440" s="27"/>
      <c r="AC440" s="27"/>
      <c r="AD440" s="27"/>
      <c r="AE440" s="27"/>
      <c r="AF440" s="27"/>
      <c r="AG440" s="27"/>
      <c r="AH440" s="27">
        <f>IF(AND(V440=1,Control_Achizitii!$J440="DOSAR COMPLET",Control_Achizitii!$K440&lt;&gt;""),1,0)</f>
        <v>0</v>
      </c>
    </row>
    <row r="441" spans="1:34">
      <c r="A441" s="27"/>
      <c r="B441" s="27"/>
      <c r="C441" s="27"/>
      <c r="D441" s="27"/>
      <c r="E441" s="27"/>
      <c r="F441" s="27"/>
      <c r="G441" s="27"/>
      <c r="H441" s="27"/>
      <c r="I441" s="27"/>
      <c r="J441" s="27"/>
      <c r="K441" s="27"/>
      <c r="L441" s="27"/>
      <c r="M441" s="27"/>
      <c r="N441" s="27"/>
      <c r="O441" s="27"/>
      <c r="P441" s="27"/>
      <c r="Q441" s="27"/>
      <c r="R441" s="27"/>
      <c r="S441" s="27"/>
      <c r="T441" s="27">
        <f>IF(LEFT(Control_Achizitii!$E441,4)="Fact",1,0)</f>
        <v>0</v>
      </c>
      <c r="U441" s="27">
        <f>IF(Control_Achizitii!$C441="",0,IF(ISNUMBER(Control_Achizitii!$B441),0,1))</f>
        <v>0</v>
      </c>
      <c r="V441" s="27">
        <f>IF(Control_Achizitii!$C441="",0,IF($Z$2&lt;&gt;"OK",0,IF(AND(ISNUMBER(Control_Achizitii!$B441),Control_Achizitii!$B441&gt;=$E$5,Control_Achizitii!$B441&lt;$J$5+1,OR($O$5="Toate proiectele",Control_Achizitii!$Q441=$O$5)),1,0)))</f>
        <v>0</v>
      </c>
      <c r="W441" s="27">
        <f>IF(AND(V441=1,OR(Control_Achizitii!$J441&lt;&gt;"DOSAR COMPLET",Control_Achizitii!$K441&lt;&gt;"")),ROW(),1000000000)</f>
        <v>1000000000</v>
      </c>
      <c r="X441" s="27">
        <f>IF(AND(V441=1,LEFT(Control_Achizitii!$E441,4)="Fact",NOT(ISNUMBER(Control_Achizitii!$P441))),1,0)</f>
        <v>0</v>
      </c>
      <c r="Y441" s="27">
        <f>IF(V441=0,0,IF(Control_Achizitii!$J441="DOSAR COMPLET",1,IF(LEFT(Control_Achizitii!$J441,9)="INCOMPLET",2,3)))</f>
        <v>0</v>
      </c>
      <c r="Z441" s="27"/>
      <c r="AA441" s="27"/>
      <c r="AB441" s="27"/>
      <c r="AC441" s="27"/>
      <c r="AD441" s="27"/>
      <c r="AE441" s="27"/>
      <c r="AF441" s="27"/>
      <c r="AG441" s="27"/>
      <c r="AH441" s="27">
        <f>IF(AND(V441=1,Control_Achizitii!$J441="DOSAR COMPLET",Control_Achizitii!$K441&lt;&gt;""),1,0)</f>
        <v>0</v>
      </c>
    </row>
    <row r="442" spans="1:34">
      <c r="A442" s="27"/>
      <c r="B442" s="27"/>
      <c r="C442" s="27"/>
      <c r="D442" s="27"/>
      <c r="E442" s="27"/>
      <c r="F442" s="27"/>
      <c r="G442" s="27"/>
      <c r="H442" s="27"/>
      <c r="I442" s="27"/>
      <c r="J442" s="27"/>
      <c r="K442" s="27"/>
      <c r="L442" s="27"/>
      <c r="M442" s="27"/>
      <c r="N442" s="27"/>
      <c r="O442" s="27"/>
      <c r="P442" s="27"/>
      <c r="Q442" s="27"/>
      <c r="R442" s="27"/>
      <c r="S442" s="27"/>
      <c r="T442" s="27">
        <f>IF(LEFT(Control_Achizitii!$E442,4)="Fact",1,0)</f>
        <v>0</v>
      </c>
      <c r="U442" s="27">
        <f>IF(Control_Achizitii!$C442="",0,IF(ISNUMBER(Control_Achizitii!$B442),0,1))</f>
        <v>0</v>
      </c>
      <c r="V442" s="27">
        <f>IF(Control_Achizitii!$C442="",0,IF($Z$2&lt;&gt;"OK",0,IF(AND(ISNUMBER(Control_Achizitii!$B442),Control_Achizitii!$B442&gt;=$E$5,Control_Achizitii!$B442&lt;$J$5+1,OR($O$5="Toate proiectele",Control_Achizitii!$Q442=$O$5)),1,0)))</f>
        <v>0</v>
      </c>
      <c r="W442" s="27">
        <f>IF(AND(V442=1,OR(Control_Achizitii!$J442&lt;&gt;"DOSAR COMPLET",Control_Achizitii!$K442&lt;&gt;"")),ROW(),1000000000)</f>
        <v>1000000000</v>
      </c>
      <c r="X442" s="27">
        <f>IF(AND(V442=1,LEFT(Control_Achizitii!$E442,4)="Fact",NOT(ISNUMBER(Control_Achizitii!$P442))),1,0)</f>
        <v>0</v>
      </c>
      <c r="Y442" s="27">
        <f>IF(V442=0,0,IF(Control_Achizitii!$J442="DOSAR COMPLET",1,IF(LEFT(Control_Achizitii!$J442,9)="INCOMPLET",2,3)))</f>
        <v>0</v>
      </c>
      <c r="Z442" s="27"/>
      <c r="AA442" s="27"/>
      <c r="AB442" s="27"/>
      <c r="AC442" s="27"/>
      <c r="AD442" s="27"/>
      <c r="AE442" s="27"/>
      <c r="AF442" s="27"/>
      <c r="AG442" s="27"/>
      <c r="AH442" s="27">
        <f>IF(AND(V442=1,Control_Achizitii!$J442="DOSAR COMPLET",Control_Achizitii!$K442&lt;&gt;""),1,0)</f>
        <v>0</v>
      </c>
    </row>
    <row r="443" spans="1:34">
      <c r="A443" s="27"/>
      <c r="B443" s="27"/>
      <c r="C443" s="27"/>
      <c r="D443" s="27"/>
      <c r="E443" s="27"/>
      <c r="F443" s="27"/>
      <c r="G443" s="27"/>
      <c r="H443" s="27"/>
      <c r="I443" s="27"/>
      <c r="J443" s="27"/>
      <c r="K443" s="27"/>
      <c r="L443" s="27"/>
      <c r="M443" s="27"/>
      <c r="N443" s="27"/>
      <c r="O443" s="27"/>
      <c r="P443" s="27"/>
      <c r="Q443" s="27"/>
      <c r="R443" s="27"/>
      <c r="S443" s="27"/>
      <c r="T443" s="27">
        <f>IF(LEFT(Control_Achizitii!$E443,4)="Fact",1,0)</f>
        <v>0</v>
      </c>
      <c r="U443" s="27">
        <f>IF(Control_Achizitii!$C443="",0,IF(ISNUMBER(Control_Achizitii!$B443),0,1))</f>
        <v>0</v>
      </c>
      <c r="V443" s="27">
        <f>IF(Control_Achizitii!$C443="",0,IF($Z$2&lt;&gt;"OK",0,IF(AND(ISNUMBER(Control_Achizitii!$B443),Control_Achizitii!$B443&gt;=$E$5,Control_Achizitii!$B443&lt;$J$5+1,OR($O$5="Toate proiectele",Control_Achizitii!$Q443=$O$5)),1,0)))</f>
        <v>0</v>
      </c>
      <c r="W443" s="27">
        <f>IF(AND(V443=1,OR(Control_Achizitii!$J443&lt;&gt;"DOSAR COMPLET",Control_Achizitii!$K443&lt;&gt;"")),ROW(),1000000000)</f>
        <v>1000000000</v>
      </c>
      <c r="X443" s="27">
        <f>IF(AND(V443=1,LEFT(Control_Achizitii!$E443,4)="Fact",NOT(ISNUMBER(Control_Achizitii!$P443))),1,0)</f>
        <v>0</v>
      </c>
      <c r="Y443" s="27">
        <f>IF(V443=0,0,IF(Control_Achizitii!$J443="DOSAR COMPLET",1,IF(LEFT(Control_Achizitii!$J443,9)="INCOMPLET",2,3)))</f>
        <v>0</v>
      </c>
      <c r="Z443" s="27"/>
      <c r="AA443" s="27"/>
      <c r="AB443" s="27"/>
      <c r="AC443" s="27"/>
      <c r="AD443" s="27"/>
      <c r="AE443" s="27"/>
      <c r="AF443" s="27"/>
      <c r="AG443" s="27"/>
      <c r="AH443" s="27">
        <f>IF(AND(V443=1,Control_Achizitii!$J443="DOSAR COMPLET",Control_Achizitii!$K443&lt;&gt;""),1,0)</f>
        <v>0</v>
      </c>
    </row>
    <row r="444" spans="1:34">
      <c r="A444" s="27"/>
      <c r="B444" s="27"/>
      <c r="C444" s="27"/>
      <c r="D444" s="27"/>
      <c r="E444" s="27"/>
      <c r="F444" s="27"/>
      <c r="G444" s="27"/>
      <c r="H444" s="27"/>
      <c r="I444" s="27"/>
      <c r="J444" s="27"/>
      <c r="K444" s="27"/>
      <c r="L444" s="27"/>
      <c r="M444" s="27"/>
      <c r="N444" s="27"/>
      <c r="O444" s="27"/>
      <c r="P444" s="27"/>
      <c r="Q444" s="27"/>
      <c r="R444" s="27"/>
      <c r="S444" s="27"/>
      <c r="T444" s="27">
        <f>IF(LEFT(Control_Achizitii!$E444,4)="Fact",1,0)</f>
        <v>0</v>
      </c>
      <c r="U444" s="27">
        <f>IF(Control_Achizitii!$C444="",0,IF(ISNUMBER(Control_Achizitii!$B444),0,1))</f>
        <v>0</v>
      </c>
      <c r="V444" s="27">
        <f>IF(Control_Achizitii!$C444="",0,IF($Z$2&lt;&gt;"OK",0,IF(AND(ISNUMBER(Control_Achizitii!$B444),Control_Achizitii!$B444&gt;=$E$5,Control_Achizitii!$B444&lt;$J$5+1,OR($O$5="Toate proiectele",Control_Achizitii!$Q444=$O$5)),1,0)))</f>
        <v>0</v>
      </c>
      <c r="W444" s="27">
        <f>IF(AND(V444=1,OR(Control_Achizitii!$J444&lt;&gt;"DOSAR COMPLET",Control_Achizitii!$K444&lt;&gt;"")),ROW(),1000000000)</f>
        <v>1000000000</v>
      </c>
      <c r="X444" s="27">
        <f>IF(AND(V444=1,LEFT(Control_Achizitii!$E444,4)="Fact",NOT(ISNUMBER(Control_Achizitii!$P444))),1,0)</f>
        <v>0</v>
      </c>
      <c r="Y444" s="27">
        <f>IF(V444=0,0,IF(Control_Achizitii!$J444="DOSAR COMPLET",1,IF(LEFT(Control_Achizitii!$J444,9)="INCOMPLET",2,3)))</f>
        <v>0</v>
      </c>
      <c r="Z444" s="27"/>
      <c r="AA444" s="27"/>
      <c r="AB444" s="27"/>
      <c r="AC444" s="27"/>
      <c r="AD444" s="27"/>
      <c r="AE444" s="27"/>
      <c r="AF444" s="27"/>
      <c r="AG444" s="27"/>
      <c r="AH444" s="27">
        <f>IF(AND(V444=1,Control_Achizitii!$J444="DOSAR COMPLET",Control_Achizitii!$K444&lt;&gt;""),1,0)</f>
        <v>0</v>
      </c>
    </row>
    <row r="445" spans="1:34">
      <c r="A445" s="27"/>
      <c r="B445" s="27"/>
      <c r="C445" s="27"/>
      <c r="D445" s="27"/>
      <c r="E445" s="27"/>
      <c r="F445" s="27"/>
      <c r="G445" s="27"/>
      <c r="H445" s="27"/>
      <c r="I445" s="27"/>
      <c r="J445" s="27"/>
      <c r="K445" s="27"/>
      <c r="L445" s="27"/>
      <c r="M445" s="27"/>
      <c r="N445" s="27"/>
      <c r="O445" s="27"/>
      <c r="P445" s="27"/>
      <c r="Q445" s="27"/>
      <c r="R445" s="27"/>
      <c r="S445" s="27"/>
      <c r="T445" s="27">
        <f>IF(LEFT(Control_Achizitii!$E445,4)="Fact",1,0)</f>
        <v>0</v>
      </c>
      <c r="U445" s="27">
        <f>IF(Control_Achizitii!$C445="",0,IF(ISNUMBER(Control_Achizitii!$B445),0,1))</f>
        <v>0</v>
      </c>
      <c r="V445" s="27">
        <f>IF(Control_Achizitii!$C445="",0,IF($Z$2&lt;&gt;"OK",0,IF(AND(ISNUMBER(Control_Achizitii!$B445),Control_Achizitii!$B445&gt;=$E$5,Control_Achizitii!$B445&lt;$J$5+1,OR($O$5="Toate proiectele",Control_Achizitii!$Q445=$O$5)),1,0)))</f>
        <v>0</v>
      </c>
      <c r="W445" s="27">
        <f>IF(AND(V445=1,OR(Control_Achizitii!$J445&lt;&gt;"DOSAR COMPLET",Control_Achizitii!$K445&lt;&gt;"")),ROW(),1000000000)</f>
        <v>1000000000</v>
      </c>
      <c r="X445" s="27">
        <f>IF(AND(V445=1,LEFT(Control_Achizitii!$E445,4)="Fact",NOT(ISNUMBER(Control_Achizitii!$P445))),1,0)</f>
        <v>0</v>
      </c>
      <c r="Y445" s="27">
        <f>IF(V445=0,0,IF(Control_Achizitii!$J445="DOSAR COMPLET",1,IF(LEFT(Control_Achizitii!$J445,9)="INCOMPLET",2,3)))</f>
        <v>0</v>
      </c>
      <c r="Z445" s="27"/>
      <c r="AA445" s="27"/>
      <c r="AB445" s="27"/>
      <c r="AC445" s="27"/>
      <c r="AD445" s="27"/>
      <c r="AE445" s="27"/>
      <c r="AF445" s="27"/>
      <c r="AG445" s="27"/>
      <c r="AH445" s="27">
        <f>IF(AND(V445=1,Control_Achizitii!$J445="DOSAR COMPLET",Control_Achizitii!$K445&lt;&gt;""),1,0)</f>
        <v>0</v>
      </c>
    </row>
    <row r="446" spans="1:34">
      <c r="A446" s="27"/>
      <c r="B446" s="27"/>
      <c r="C446" s="27"/>
      <c r="D446" s="27"/>
      <c r="E446" s="27"/>
      <c r="F446" s="27"/>
      <c r="G446" s="27"/>
      <c r="H446" s="27"/>
      <c r="I446" s="27"/>
      <c r="J446" s="27"/>
      <c r="K446" s="27"/>
      <c r="L446" s="27"/>
      <c r="M446" s="27"/>
      <c r="N446" s="27"/>
      <c r="O446" s="27"/>
      <c r="P446" s="27"/>
      <c r="Q446" s="27"/>
      <c r="R446" s="27"/>
      <c r="S446" s="27"/>
      <c r="T446" s="27">
        <f>IF(LEFT(Control_Achizitii!$E446,4)="Fact",1,0)</f>
        <v>0</v>
      </c>
      <c r="U446" s="27">
        <f>IF(Control_Achizitii!$C446="",0,IF(ISNUMBER(Control_Achizitii!$B446),0,1))</f>
        <v>0</v>
      </c>
      <c r="V446" s="27">
        <f>IF(Control_Achizitii!$C446="",0,IF($Z$2&lt;&gt;"OK",0,IF(AND(ISNUMBER(Control_Achizitii!$B446),Control_Achizitii!$B446&gt;=$E$5,Control_Achizitii!$B446&lt;$J$5+1,OR($O$5="Toate proiectele",Control_Achizitii!$Q446=$O$5)),1,0)))</f>
        <v>0</v>
      </c>
      <c r="W446" s="27">
        <f>IF(AND(V446=1,OR(Control_Achizitii!$J446&lt;&gt;"DOSAR COMPLET",Control_Achizitii!$K446&lt;&gt;"")),ROW(),1000000000)</f>
        <v>1000000000</v>
      </c>
      <c r="X446" s="27">
        <f>IF(AND(V446=1,LEFT(Control_Achizitii!$E446,4)="Fact",NOT(ISNUMBER(Control_Achizitii!$P446))),1,0)</f>
        <v>0</v>
      </c>
      <c r="Y446" s="27">
        <f>IF(V446=0,0,IF(Control_Achizitii!$J446="DOSAR COMPLET",1,IF(LEFT(Control_Achizitii!$J446,9)="INCOMPLET",2,3)))</f>
        <v>0</v>
      </c>
      <c r="Z446" s="27"/>
      <c r="AA446" s="27"/>
      <c r="AB446" s="27"/>
      <c r="AC446" s="27"/>
      <c r="AD446" s="27"/>
      <c r="AE446" s="27"/>
      <c r="AF446" s="27"/>
      <c r="AG446" s="27"/>
      <c r="AH446" s="27">
        <f>IF(AND(V446=1,Control_Achizitii!$J446="DOSAR COMPLET",Control_Achizitii!$K446&lt;&gt;""),1,0)</f>
        <v>0</v>
      </c>
    </row>
    <row r="447" spans="1:34">
      <c r="A447" s="27"/>
      <c r="B447" s="27"/>
      <c r="C447" s="27"/>
      <c r="D447" s="27"/>
      <c r="E447" s="27"/>
      <c r="F447" s="27"/>
      <c r="G447" s="27"/>
      <c r="H447" s="27"/>
      <c r="I447" s="27"/>
      <c r="J447" s="27"/>
      <c r="K447" s="27"/>
      <c r="L447" s="27"/>
      <c r="M447" s="27"/>
      <c r="N447" s="27"/>
      <c r="O447" s="27"/>
      <c r="P447" s="27"/>
      <c r="Q447" s="27"/>
      <c r="R447" s="27"/>
      <c r="S447" s="27"/>
      <c r="T447" s="27">
        <f>IF(LEFT(Control_Achizitii!$E447,4)="Fact",1,0)</f>
        <v>0</v>
      </c>
      <c r="U447" s="27">
        <f>IF(Control_Achizitii!$C447="",0,IF(ISNUMBER(Control_Achizitii!$B447),0,1))</f>
        <v>0</v>
      </c>
      <c r="V447" s="27">
        <f>IF(Control_Achizitii!$C447="",0,IF($Z$2&lt;&gt;"OK",0,IF(AND(ISNUMBER(Control_Achizitii!$B447),Control_Achizitii!$B447&gt;=$E$5,Control_Achizitii!$B447&lt;$J$5+1,OR($O$5="Toate proiectele",Control_Achizitii!$Q447=$O$5)),1,0)))</f>
        <v>0</v>
      </c>
      <c r="W447" s="27">
        <f>IF(AND(V447=1,OR(Control_Achizitii!$J447&lt;&gt;"DOSAR COMPLET",Control_Achizitii!$K447&lt;&gt;"")),ROW(),1000000000)</f>
        <v>1000000000</v>
      </c>
      <c r="X447" s="27">
        <f>IF(AND(V447=1,LEFT(Control_Achizitii!$E447,4)="Fact",NOT(ISNUMBER(Control_Achizitii!$P447))),1,0)</f>
        <v>0</v>
      </c>
      <c r="Y447" s="27">
        <f>IF(V447=0,0,IF(Control_Achizitii!$J447="DOSAR COMPLET",1,IF(LEFT(Control_Achizitii!$J447,9)="INCOMPLET",2,3)))</f>
        <v>0</v>
      </c>
      <c r="Z447" s="27"/>
      <c r="AA447" s="27"/>
      <c r="AB447" s="27"/>
      <c r="AC447" s="27"/>
      <c r="AD447" s="27"/>
      <c r="AE447" s="27"/>
      <c r="AF447" s="27"/>
      <c r="AG447" s="27"/>
      <c r="AH447" s="27">
        <f>IF(AND(V447=1,Control_Achizitii!$J447="DOSAR COMPLET",Control_Achizitii!$K447&lt;&gt;""),1,0)</f>
        <v>0</v>
      </c>
    </row>
    <row r="448" spans="1:34">
      <c r="A448" s="27"/>
      <c r="B448" s="27"/>
      <c r="C448" s="27"/>
      <c r="D448" s="27"/>
      <c r="E448" s="27"/>
      <c r="F448" s="27"/>
      <c r="G448" s="27"/>
      <c r="H448" s="27"/>
      <c r="I448" s="27"/>
      <c r="J448" s="27"/>
      <c r="K448" s="27"/>
      <c r="L448" s="27"/>
      <c r="M448" s="27"/>
      <c r="N448" s="27"/>
      <c r="O448" s="27"/>
      <c r="P448" s="27"/>
      <c r="Q448" s="27"/>
      <c r="R448" s="27"/>
      <c r="S448" s="27"/>
      <c r="T448" s="27">
        <f>IF(LEFT(Control_Achizitii!$E448,4)="Fact",1,0)</f>
        <v>0</v>
      </c>
      <c r="U448" s="27">
        <f>IF(Control_Achizitii!$C448="",0,IF(ISNUMBER(Control_Achizitii!$B448),0,1))</f>
        <v>0</v>
      </c>
      <c r="V448" s="27">
        <f>IF(Control_Achizitii!$C448="",0,IF($Z$2&lt;&gt;"OK",0,IF(AND(ISNUMBER(Control_Achizitii!$B448),Control_Achizitii!$B448&gt;=$E$5,Control_Achizitii!$B448&lt;$J$5+1,OR($O$5="Toate proiectele",Control_Achizitii!$Q448=$O$5)),1,0)))</f>
        <v>0</v>
      </c>
      <c r="W448" s="27">
        <f>IF(AND(V448=1,OR(Control_Achizitii!$J448&lt;&gt;"DOSAR COMPLET",Control_Achizitii!$K448&lt;&gt;"")),ROW(),1000000000)</f>
        <v>1000000000</v>
      </c>
      <c r="X448" s="27">
        <f>IF(AND(V448=1,LEFT(Control_Achizitii!$E448,4)="Fact",NOT(ISNUMBER(Control_Achizitii!$P448))),1,0)</f>
        <v>0</v>
      </c>
      <c r="Y448" s="27">
        <f>IF(V448=0,0,IF(Control_Achizitii!$J448="DOSAR COMPLET",1,IF(LEFT(Control_Achizitii!$J448,9)="INCOMPLET",2,3)))</f>
        <v>0</v>
      </c>
      <c r="Z448" s="27"/>
      <c r="AA448" s="27"/>
      <c r="AB448" s="27"/>
      <c r="AC448" s="27"/>
      <c r="AD448" s="27"/>
      <c r="AE448" s="27"/>
      <c r="AF448" s="27"/>
      <c r="AG448" s="27"/>
      <c r="AH448" s="27">
        <f>IF(AND(V448=1,Control_Achizitii!$J448="DOSAR COMPLET",Control_Achizitii!$K448&lt;&gt;""),1,0)</f>
        <v>0</v>
      </c>
    </row>
    <row r="449" spans="1:34">
      <c r="A449" s="27"/>
      <c r="B449" s="27"/>
      <c r="C449" s="27"/>
      <c r="D449" s="27"/>
      <c r="E449" s="27"/>
      <c r="F449" s="27"/>
      <c r="G449" s="27"/>
      <c r="H449" s="27"/>
      <c r="I449" s="27"/>
      <c r="J449" s="27"/>
      <c r="K449" s="27"/>
      <c r="L449" s="27"/>
      <c r="M449" s="27"/>
      <c r="N449" s="27"/>
      <c r="O449" s="27"/>
      <c r="P449" s="27"/>
      <c r="Q449" s="27"/>
      <c r="R449" s="27"/>
      <c r="S449" s="27"/>
      <c r="T449" s="27">
        <f>IF(LEFT(Control_Achizitii!$E449,4)="Fact",1,0)</f>
        <v>0</v>
      </c>
      <c r="U449" s="27">
        <f>IF(Control_Achizitii!$C449="",0,IF(ISNUMBER(Control_Achizitii!$B449),0,1))</f>
        <v>0</v>
      </c>
      <c r="V449" s="27">
        <f>IF(Control_Achizitii!$C449="",0,IF($Z$2&lt;&gt;"OK",0,IF(AND(ISNUMBER(Control_Achizitii!$B449),Control_Achizitii!$B449&gt;=$E$5,Control_Achizitii!$B449&lt;$J$5+1,OR($O$5="Toate proiectele",Control_Achizitii!$Q449=$O$5)),1,0)))</f>
        <v>0</v>
      </c>
      <c r="W449" s="27">
        <f>IF(AND(V449=1,OR(Control_Achizitii!$J449&lt;&gt;"DOSAR COMPLET",Control_Achizitii!$K449&lt;&gt;"")),ROW(),1000000000)</f>
        <v>1000000000</v>
      </c>
      <c r="X449" s="27">
        <f>IF(AND(V449=1,LEFT(Control_Achizitii!$E449,4)="Fact",NOT(ISNUMBER(Control_Achizitii!$P449))),1,0)</f>
        <v>0</v>
      </c>
      <c r="Y449" s="27">
        <f>IF(V449=0,0,IF(Control_Achizitii!$J449="DOSAR COMPLET",1,IF(LEFT(Control_Achizitii!$J449,9)="INCOMPLET",2,3)))</f>
        <v>0</v>
      </c>
      <c r="Z449" s="27"/>
      <c r="AA449" s="27"/>
      <c r="AB449" s="27"/>
      <c r="AC449" s="27"/>
      <c r="AD449" s="27"/>
      <c r="AE449" s="27"/>
      <c r="AF449" s="27"/>
      <c r="AG449" s="27"/>
      <c r="AH449" s="27">
        <f>IF(AND(V449=1,Control_Achizitii!$J449="DOSAR COMPLET",Control_Achizitii!$K449&lt;&gt;""),1,0)</f>
        <v>0</v>
      </c>
    </row>
    <row r="450" spans="1:34">
      <c r="A450" s="27"/>
      <c r="B450" s="27"/>
      <c r="C450" s="27"/>
      <c r="D450" s="27"/>
      <c r="E450" s="27"/>
      <c r="F450" s="27"/>
      <c r="G450" s="27"/>
      <c r="H450" s="27"/>
      <c r="I450" s="27"/>
      <c r="J450" s="27"/>
      <c r="K450" s="27"/>
      <c r="L450" s="27"/>
      <c r="M450" s="27"/>
      <c r="N450" s="27"/>
      <c r="O450" s="27"/>
      <c r="P450" s="27"/>
      <c r="Q450" s="27"/>
      <c r="R450" s="27"/>
      <c r="S450" s="27"/>
      <c r="T450" s="27">
        <f>IF(LEFT(Control_Achizitii!$E450,4)="Fact",1,0)</f>
        <v>0</v>
      </c>
      <c r="U450" s="27">
        <f>IF(Control_Achizitii!$C450="",0,IF(ISNUMBER(Control_Achizitii!$B450),0,1))</f>
        <v>0</v>
      </c>
      <c r="V450" s="27">
        <f>IF(Control_Achizitii!$C450="",0,IF($Z$2&lt;&gt;"OK",0,IF(AND(ISNUMBER(Control_Achizitii!$B450),Control_Achizitii!$B450&gt;=$E$5,Control_Achizitii!$B450&lt;$J$5+1,OR($O$5="Toate proiectele",Control_Achizitii!$Q450=$O$5)),1,0)))</f>
        <v>0</v>
      </c>
      <c r="W450" s="27">
        <f>IF(AND(V450=1,OR(Control_Achizitii!$J450&lt;&gt;"DOSAR COMPLET",Control_Achizitii!$K450&lt;&gt;"")),ROW(),1000000000)</f>
        <v>1000000000</v>
      </c>
      <c r="X450" s="27">
        <f>IF(AND(V450=1,LEFT(Control_Achizitii!$E450,4)="Fact",NOT(ISNUMBER(Control_Achizitii!$P450))),1,0)</f>
        <v>0</v>
      </c>
      <c r="Y450" s="27">
        <f>IF(V450=0,0,IF(Control_Achizitii!$J450="DOSAR COMPLET",1,IF(LEFT(Control_Achizitii!$J450,9)="INCOMPLET",2,3)))</f>
        <v>0</v>
      </c>
      <c r="Z450" s="27"/>
      <c r="AA450" s="27"/>
      <c r="AB450" s="27"/>
      <c r="AC450" s="27"/>
      <c r="AD450" s="27"/>
      <c r="AE450" s="27"/>
      <c r="AF450" s="27"/>
      <c r="AG450" s="27"/>
      <c r="AH450" s="27">
        <f>IF(AND(V450=1,Control_Achizitii!$J450="DOSAR COMPLET",Control_Achizitii!$K450&lt;&gt;""),1,0)</f>
        <v>0</v>
      </c>
    </row>
    <row r="451" spans="1:34">
      <c r="A451" s="27"/>
      <c r="B451" s="27"/>
      <c r="C451" s="27"/>
      <c r="D451" s="27"/>
      <c r="E451" s="27"/>
      <c r="F451" s="27"/>
      <c r="G451" s="27"/>
      <c r="H451" s="27"/>
      <c r="I451" s="27"/>
      <c r="J451" s="27"/>
      <c r="K451" s="27"/>
      <c r="L451" s="27"/>
      <c r="M451" s="27"/>
      <c r="N451" s="27"/>
      <c r="O451" s="27"/>
      <c r="P451" s="27"/>
      <c r="Q451" s="27"/>
      <c r="R451" s="27"/>
      <c r="S451" s="27"/>
      <c r="T451" s="27">
        <f>IF(LEFT(Control_Achizitii!$E451,4)="Fact",1,0)</f>
        <v>0</v>
      </c>
      <c r="U451" s="27">
        <f>IF(Control_Achizitii!$C451="",0,IF(ISNUMBER(Control_Achizitii!$B451),0,1))</f>
        <v>0</v>
      </c>
      <c r="V451" s="27">
        <f>IF(Control_Achizitii!$C451="",0,IF($Z$2&lt;&gt;"OK",0,IF(AND(ISNUMBER(Control_Achizitii!$B451),Control_Achizitii!$B451&gt;=$E$5,Control_Achizitii!$B451&lt;$J$5+1,OR($O$5="Toate proiectele",Control_Achizitii!$Q451=$O$5)),1,0)))</f>
        <v>0</v>
      </c>
      <c r="W451" s="27">
        <f>IF(AND(V451=1,OR(Control_Achizitii!$J451&lt;&gt;"DOSAR COMPLET",Control_Achizitii!$K451&lt;&gt;"")),ROW(),1000000000)</f>
        <v>1000000000</v>
      </c>
      <c r="X451" s="27">
        <f>IF(AND(V451=1,LEFT(Control_Achizitii!$E451,4)="Fact",NOT(ISNUMBER(Control_Achizitii!$P451))),1,0)</f>
        <v>0</v>
      </c>
      <c r="Y451" s="27">
        <f>IF(V451=0,0,IF(Control_Achizitii!$J451="DOSAR COMPLET",1,IF(LEFT(Control_Achizitii!$J451,9)="INCOMPLET",2,3)))</f>
        <v>0</v>
      </c>
      <c r="Z451" s="27"/>
      <c r="AA451" s="27"/>
      <c r="AB451" s="27"/>
      <c r="AC451" s="27"/>
      <c r="AD451" s="27"/>
      <c r="AE451" s="27"/>
      <c r="AF451" s="27"/>
      <c r="AG451" s="27"/>
      <c r="AH451" s="27">
        <f>IF(AND(V451=1,Control_Achizitii!$J451="DOSAR COMPLET",Control_Achizitii!$K451&lt;&gt;""),1,0)</f>
        <v>0</v>
      </c>
    </row>
    <row r="452" spans="1:34">
      <c r="A452" s="27"/>
      <c r="B452" s="27"/>
      <c r="C452" s="27"/>
      <c r="D452" s="27"/>
      <c r="E452" s="27"/>
      <c r="F452" s="27"/>
      <c r="G452" s="27"/>
      <c r="H452" s="27"/>
      <c r="I452" s="27"/>
      <c r="J452" s="27"/>
      <c r="K452" s="27"/>
      <c r="L452" s="27"/>
      <c r="M452" s="27"/>
      <c r="N452" s="27"/>
      <c r="O452" s="27"/>
      <c r="P452" s="27"/>
      <c r="Q452" s="27"/>
      <c r="R452" s="27"/>
      <c r="S452" s="27"/>
      <c r="T452" s="27">
        <f>IF(LEFT(Control_Achizitii!$E452,4)="Fact",1,0)</f>
        <v>0</v>
      </c>
      <c r="U452" s="27">
        <f>IF(Control_Achizitii!$C452="",0,IF(ISNUMBER(Control_Achizitii!$B452),0,1))</f>
        <v>0</v>
      </c>
      <c r="V452" s="27">
        <f>IF(Control_Achizitii!$C452="",0,IF($Z$2&lt;&gt;"OK",0,IF(AND(ISNUMBER(Control_Achizitii!$B452),Control_Achizitii!$B452&gt;=$E$5,Control_Achizitii!$B452&lt;$J$5+1,OR($O$5="Toate proiectele",Control_Achizitii!$Q452=$O$5)),1,0)))</f>
        <v>0</v>
      </c>
      <c r="W452" s="27">
        <f>IF(AND(V452=1,OR(Control_Achizitii!$J452&lt;&gt;"DOSAR COMPLET",Control_Achizitii!$K452&lt;&gt;"")),ROW(),1000000000)</f>
        <v>1000000000</v>
      </c>
      <c r="X452" s="27">
        <f>IF(AND(V452=1,LEFT(Control_Achizitii!$E452,4)="Fact",NOT(ISNUMBER(Control_Achizitii!$P452))),1,0)</f>
        <v>0</v>
      </c>
      <c r="Y452" s="27">
        <f>IF(V452=0,0,IF(Control_Achizitii!$J452="DOSAR COMPLET",1,IF(LEFT(Control_Achizitii!$J452,9)="INCOMPLET",2,3)))</f>
        <v>0</v>
      </c>
      <c r="Z452" s="27"/>
      <c r="AA452" s="27"/>
      <c r="AB452" s="27"/>
      <c r="AC452" s="27"/>
      <c r="AD452" s="27"/>
      <c r="AE452" s="27"/>
      <c r="AF452" s="27"/>
      <c r="AG452" s="27"/>
      <c r="AH452" s="27">
        <f>IF(AND(V452=1,Control_Achizitii!$J452="DOSAR COMPLET",Control_Achizitii!$K452&lt;&gt;""),1,0)</f>
        <v>0</v>
      </c>
    </row>
    <row r="453" spans="1:34">
      <c r="A453" s="27"/>
      <c r="B453" s="27"/>
      <c r="C453" s="27"/>
      <c r="D453" s="27"/>
      <c r="E453" s="27"/>
      <c r="F453" s="27"/>
      <c r="G453" s="27"/>
      <c r="H453" s="27"/>
      <c r="I453" s="27"/>
      <c r="J453" s="27"/>
      <c r="K453" s="27"/>
      <c r="L453" s="27"/>
      <c r="M453" s="27"/>
      <c r="N453" s="27"/>
      <c r="O453" s="27"/>
      <c r="P453" s="27"/>
      <c r="Q453" s="27"/>
      <c r="R453" s="27"/>
      <c r="S453" s="27"/>
      <c r="T453" s="27">
        <f>IF(LEFT(Control_Achizitii!$E453,4)="Fact",1,0)</f>
        <v>0</v>
      </c>
      <c r="U453" s="27">
        <f>IF(Control_Achizitii!$C453="",0,IF(ISNUMBER(Control_Achizitii!$B453),0,1))</f>
        <v>0</v>
      </c>
      <c r="V453" s="27">
        <f>IF(Control_Achizitii!$C453="",0,IF($Z$2&lt;&gt;"OK",0,IF(AND(ISNUMBER(Control_Achizitii!$B453),Control_Achizitii!$B453&gt;=$E$5,Control_Achizitii!$B453&lt;$J$5+1,OR($O$5="Toate proiectele",Control_Achizitii!$Q453=$O$5)),1,0)))</f>
        <v>0</v>
      </c>
      <c r="W453" s="27">
        <f>IF(AND(V453=1,OR(Control_Achizitii!$J453&lt;&gt;"DOSAR COMPLET",Control_Achizitii!$K453&lt;&gt;"")),ROW(),1000000000)</f>
        <v>1000000000</v>
      </c>
      <c r="X453" s="27">
        <f>IF(AND(V453=1,LEFT(Control_Achizitii!$E453,4)="Fact",NOT(ISNUMBER(Control_Achizitii!$P453))),1,0)</f>
        <v>0</v>
      </c>
      <c r="Y453" s="27">
        <f>IF(V453=0,0,IF(Control_Achizitii!$J453="DOSAR COMPLET",1,IF(LEFT(Control_Achizitii!$J453,9)="INCOMPLET",2,3)))</f>
        <v>0</v>
      </c>
      <c r="Z453" s="27"/>
      <c r="AA453" s="27"/>
      <c r="AB453" s="27"/>
      <c r="AC453" s="27"/>
      <c r="AD453" s="27"/>
      <c r="AE453" s="27"/>
      <c r="AF453" s="27"/>
      <c r="AG453" s="27"/>
      <c r="AH453" s="27">
        <f>IF(AND(V453=1,Control_Achizitii!$J453="DOSAR COMPLET",Control_Achizitii!$K453&lt;&gt;""),1,0)</f>
        <v>0</v>
      </c>
    </row>
    <row r="454" spans="1:34">
      <c r="A454" s="27"/>
      <c r="B454" s="27"/>
      <c r="C454" s="27"/>
      <c r="D454" s="27"/>
      <c r="E454" s="27"/>
      <c r="F454" s="27"/>
      <c r="G454" s="27"/>
      <c r="H454" s="27"/>
      <c r="I454" s="27"/>
      <c r="J454" s="27"/>
      <c r="K454" s="27"/>
      <c r="L454" s="27"/>
      <c r="M454" s="27"/>
      <c r="N454" s="27"/>
      <c r="O454" s="27"/>
      <c r="P454" s="27"/>
      <c r="Q454" s="27"/>
      <c r="R454" s="27"/>
      <c r="S454" s="27"/>
      <c r="T454" s="27">
        <f>IF(LEFT(Control_Achizitii!$E454,4)="Fact",1,0)</f>
        <v>0</v>
      </c>
      <c r="U454" s="27">
        <f>IF(Control_Achizitii!$C454="",0,IF(ISNUMBER(Control_Achizitii!$B454),0,1))</f>
        <v>0</v>
      </c>
      <c r="V454" s="27">
        <f>IF(Control_Achizitii!$C454="",0,IF($Z$2&lt;&gt;"OK",0,IF(AND(ISNUMBER(Control_Achizitii!$B454),Control_Achizitii!$B454&gt;=$E$5,Control_Achizitii!$B454&lt;$J$5+1,OR($O$5="Toate proiectele",Control_Achizitii!$Q454=$O$5)),1,0)))</f>
        <v>0</v>
      </c>
      <c r="W454" s="27">
        <f>IF(AND(V454=1,OR(Control_Achizitii!$J454&lt;&gt;"DOSAR COMPLET",Control_Achizitii!$K454&lt;&gt;"")),ROW(),1000000000)</f>
        <v>1000000000</v>
      </c>
      <c r="X454" s="27">
        <f>IF(AND(V454=1,LEFT(Control_Achizitii!$E454,4)="Fact",NOT(ISNUMBER(Control_Achizitii!$P454))),1,0)</f>
        <v>0</v>
      </c>
      <c r="Y454" s="27">
        <f>IF(V454=0,0,IF(Control_Achizitii!$J454="DOSAR COMPLET",1,IF(LEFT(Control_Achizitii!$J454,9)="INCOMPLET",2,3)))</f>
        <v>0</v>
      </c>
      <c r="Z454" s="27"/>
      <c r="AA454" s="27"/>
      <c r="AB454" s="27"/>
      <c r="AC454" s="27"/>
      <c r="AD454" s="27"/>
      <c r="AE454" s="27"/>
      <c r="AF454" s="27"/>
      <c r="AG454" s="27"/>
      <c r="AH454" s="27">
        <f>IF(AND(V454=1,Control_Achizitii!$J454="DOSAR COMPLET",Control_Achizitii!$K454&lt;&gt;""),1,0)</f>
        <v>0</v>
      </c>
    </row>
    <row r="455" spans="1:34">
      <c r="A455" s="27"/>
      <c r="B455" s="27"/>
      <c r="C455" s="27"/>
      <c r="D455" s="27"/>
      <c r="E455" s="27"/>
      <c r="F455" s="27"/>
      <c r="G455" s="27"/>
      <c r="H455" s="27"/>
      <c r="I455" s="27"/>
      <c r="J455" s="27"/>
      <c r="K455" s="27"/>
      <c r="L455" s="27"/>
      <c r="M455" s="27"/>
      <c r="N455" s="27"/>
      <c r="O455" s="27"/>
      <c r="P455" s="27"/>
      <c r="Q455" s="27"/>
      <c r="R455" s="27"/>
      <c r="S455" s="27"/>
      <c r="T455" s="27">
        <f>IF(LEFT(Control_Achizitii!$E455,4)="Fact",1,0)</f>
        <v>0</v>
      </c>
      <c r="U455" s="27">
        <f>IF(Control_Achizitii!$C455="",0,IF(ISNUMBER(Control_Achizitii!$B455),0,1))</f>
        <v>0</v>
      </c>
      <c r="V455" s="27">
        <f>IF(Control_Achizitii!$C455="",0,IF($Z$2&lt;&gt;"OK",0,IF(AND(ISNUMBER(Control_Achizitii!$B455),Control_Achizitii!$B455&gt;=$E$5,Control_Achizitii!$B455&lt;$J$5+1,OR($O$5="Toate proiectele",Control_Achizitii!$Q455=$O$5)),1,0)))</f>
        <v>0</v>
      </c>
      <c r="W455" s="27">
        <f>IF(AND(V455=1,OR(Control_Achizitii!$J455&lt;&gt;"DOSAR COMPLET",Control_Achizitii!$K455&lt;&gt;"")),ROW(),1000000000)</f>
        <v>1000000000</v>
      </c>
      <c r="X455" s="27">
        <f>IF(AND(V455=1,LEFT(Control_Achizitii!$E455,4)="Fact",NOT(ISNUMBER(Control_Achizitii!$P455))),1,0)</f>
        <v>0</v>
      </c>
      <c r="Y455" s="27">
        <f>IF(V455=0,0,IF(Control_Achizitii!$J455="DOSAR COMPLET",1,IF(LEFT(Control_Achizitii!$J455,9)="INCOMPLET",2,3)))</f>
        <v>0</v>
      </c>
      <c r="Z455" s="27"/>
      <c r="AA455" s="27"/>
      <c r="AB455" s="27"/>
      <c r="AC455" s="27"/>
      <c r="AD455" s="27"/>
      <c r="AE455" s="27"/>
      <c r="AF455" s="27"/>
      <c r="AG455" s="27"/>
      <c r="AH455" s="27">
        <f>IF(AND(V455=1,Control_Achizitii!$J455="DOSAR COMPLET",Control_Achizitii!$K455&lt;&gt;""),1,0)</f>
        <v>0</v>
      </c>
    </row>
    <row r="456" spans="1:34">
      <c r="A456" s="27"/>
      <c r="B456" s="27"/>
      <c r="C456" s="27"/>
      <c r="D456" s="27"/>
      <c r="E456" s="27"/>
      <c r="F456" s="27"/>
      <c r="G456" s="27"/>
      <c r="H456" s="27"/>
      <c r="I456" s="27"/>
      <c r="J456" s="27"/>
      <c r="K456" s="27"/>
      <c r="L456" s="27"/>
      <c r="M456" s="27"/>
      <c r="N456" s="27"/>
      <c r="O456" s="27"/>
      <c r="P456" s="27"/>
      <c r="Q456" s="27"/>
      <c r="R456" s="27"/>
      <c r="S456" s="27"/>
      <c r="T456" s="27">
        <f>IF(LEFT(Control_Achizitii!$E456,4)="Fact",1,0)</f>
        <v>0</v>
      </c>
      <c r="U456" s="27">
        <f>IF(Control_Achizitii!$C456="",0,IF(ISNUMBER(Control_Achizitii!$B456),0,1))</f>
        <v>0</v>
      </c>
      <c r="V456" s="27">
        <f>IF(Control_Achizitii!$C456="",0,IF($Z$2&lt;&gt;"OK",0,IF(AND(ISNUMBER(Control_Achizitii!$B456),Control_Achizitii!$B456&gt;=$E$5,Control_Achizitii!$B456&lt;$J$5+1,OR($O$5="Toate proiectele",Control_Achizitii!$Q456=$O$5)),1,0)))</f>
        <v>0</v>
      </c>
      <c r="W456" s="27">
        <f>IF(AND(V456=1,OR(Control_Achizitii!$J456&lt;&gt;"DOSAR COMPLET",Control_Achizitii!$K456&lt;&gt;"")),ROW(),1000000000)</f>
        <v>1000000000</v>
      </c>
      <c r="X456" s="27">
        <f>IF(AND(V456=1,LEFT(Control_Achizitii!$E456,4)="Fact",NOT(ISNUMBER(Control_Achizitii!$P456))),1,0)</f>
        <v>0</v>
      </c>
      <c r="Y456" s="27">
        <f>IF(V456=0,0,IF(Control_Achizitii!$J456="DOSAR COMPLET",1,IF(LEFT(Control_Achizitii!$J456,9)="INCOMPLET",2,3)))</f>
        <v>0</v>
      </c>
      <c r="Z456" s="27"/>
      <c r="AA456" s="27"/>
      <c r="AB456" s="27"/>
      <c r="AC456" s="27"/>
      <c r="AD456" s="27"/>
      <c r="AE456" s="27"/>
      <c r="AF456" s="27"/>
      <c r="AG456" s="27"/>
      <c r="AH456" s="27">
        <f>IF(AND(V456=1,Control_Achizitii!$J456="DOSAR COMPLET",Control_Achizitii!$K456&lt;&gt;""),1,0)</f>
        <v>0</v>
      </c>
    </row>
    <row r="457" spans="1:34">
      <c r="A457" s="27"/>
      <c r="B457" s="27"/>
      <c r="C457" s="27"/>
      <c r="D457" s="27"/>
      <c r="E457" s="27"/>
      <c r="F457" s="27"/>
      <c r="G457" s="27"/>
      <c r="H457" s="27"/>
      <c r="I457" s="27"/>
      <c r="J457" s="27"/>
      <c r="K457" s="27"/>
      <c r="L457" s="27"/>
      <c r="M457" s="27"/>
      <c r="N457" s="27"/>
      <c r="O457" s="27"/>
      <c r="P457" s="27"/>
      <c r="Q457" s="27"/>
      <c r="R457" s="27"/>
      <c r="S457" s="27"/>
      <c r="T457" s="27">
        <f>IF(LEFT(Control_Achizitii!$E457,4)="Fact",1,0)</f>
        <v>0</v>
      </c>
      <c r="U457" s="27">
        <f>IF(Control_Achizitii!$C457="",0,IF(ISNUMBER(Control_Achizitii!$B457),0,1))</f>
        <v>0</v>
      </c>
      <c r="V457" s="27">
        <f>IF(Control_Achizitii!$C457="",0,IF($Z$2&lt;&gt;"OK",0,IF(AND(ISNUMBER(Control_Achizitii!$B457),Control_Achizitii!$B457&gt;=$E$5,Control_Achizitii!$B457&lt;$J$5+1,OR($O$5="Toate proiectele",Control_Achizitii!$Q457=$O$5)),1,0)))</f>
        <v>0</v>
      </c>
      <c r="W457" s="27">
        <f>IF(AND(V457=1,OR(Control_Achizitii!$J457&lt;&gt;"DOSAR COMPLET",Control_Achizitii!$K457&lt;&gt;"")),ROW(),1000000000)</f>
        <v>1000000000</v>
      </c>
      <c r="X457" s="27">
        <f>IF(AND(V457=1,LEFT(Control_Achizitii!$E457,4)="Fact",NOT(ISNUMBER(Control_Achizitii!$P457))),1,0)</f>
        <v>0</v>
      </c>
      <c r="Y457" s="27">
        <f>IF(V457=0,0,IF(Control_Achizitii!$J457="DOSAR COMPLET",1,IF(LEFT(Control_Achizitii!$J457,9)="INCOMPLET",2,3)))</f>
        <v>0</v>
      </c>
      <c r="Z457" s="27"/>
      <c r="AA457" s="27"/>
      <c r="AB457" s="27"/>
      <c r="AC457" s="27"/>
      <c r="AD457" s="27"/>
      <c r="AE457" s="27"/>
      <c r="AF457" s="27"/>
      <c r="AG457" s="27"/>
      <c r="AH457" s="27">
        <f>IF(AND(V457=1,Control_Achizitii!$J457="DOSAR COMPLET",Control_Achizitii!$K457&lt;&gt;""),1,0)</f>
        <v>0</v>
      </c>
    </row>
    <row r="458" spans="1:34">
      <c r="A458" s="27"/>
      <c r="B458" s="27"/>
      <c r="C458" s="27"/>
      <c r="D458" s="27"/>
      <c r="E458" s="27"/>
      <c r="F458" s="27"/>
      <c r="G458" s="27"/>
      <c r="H458" s="27"/>
      <c r="I458" s="27"/>
      <c r="J458" s="27"/>
      <c r="K458" s="27"/>
      <c r="L458" s="27"/>
      <c r="M458" s="27"/>
      <c r="N458" s="27"/>
      <c r="O458" s="27"/>
      <c r="P458" s="27"/>
      <c r="Q458" s="27"/>
      <c r="R458" s="27"/>
      <c r="S458" s="27"/>
      <c r="T458" s="27">
        <f>IF(LEFT(Control_Achizitii!$E458,4)="Fact",1,0)</f>
        <v>0</v>
      </c>
      <c r="U458" s="27">
        <f>IF(Control_Achizitii!$C458="",0,IF(ISNUMBER(Control_Achizitii!$B458),0,1))</f>
        <v>0</v>
      </c>
      <c r="V458" s="27">
        <f>IF(Control_Achizitii!$C458="",0,IF($Z$2&lt;&gt;"OK",0,IF(AND(ISNUMBER(Control_Achizitii!$B458),Control_Achizitii!$B458&gt;=$E$5,Control_Achizitii!$B458&lt;$J$5+1,OR($O$5="Toate proiectele",Control_Achizitii!$Q458=$O$5)),1,0)))</f>
        <v>0</v>
      </c>
      <c r="W458" s="27">
        <f>IF(AND(V458=1,OR(Control_Achizitii!$J458&lt;&gt;"DOSAR COMPLET",Control_Achizitii!$K458&lt;&gt;"")),ROW(),1000000000)</f>
        <v>1000000000</v>
      </c>
      <c r="X458" s="27">
        <f>IF(AND(V458=1,LEFT(Control_Achizitii!$E458,4)="Fact",NOT(ISNUMBER(Control_Achizitii!$P458))),1,0)</f>
        <v>0</v>
      </c>
      <c r="Y458" s="27">
        <f>IF(V458=0,0,IF(Control_Achizitii!$J458="DOSAR COMPLET",1,IF(LEFT(Control_Achizitii!$J458,9)="INCOMPLET",2,3)))</f>
        <v>0</v>
      </c>
      <c r="Z458" s="27"/>
      <c r="AA458" s="27"/>
      <c r="AB458" s="27"/>
      <c r="AC458" s="27"/>
      <c r="AD458" s="27"/>
      <c r="AE458" s="27"/>
      <c r="AF458" s="27"/>
      <c r="AG458" s="27"/>
      <c r="AH458" s="27">
        <f>IF(AND(V458=1,Control_Achizitii!$J458="DOSAR COMPLET",Control_Achizitii!$K458&lt;&gt;""),1,0)</f>
        <v>0</v>
      </c>
    </row>
    <row r="459" spans="1:34">
      <c r="A459" s="27"/>
      <c r="B459" s="27"/>
      <c r="C459" s="27"/>
      <c r="D459" s="27"/>
      <c r="E459" s="27"/>
      <c r="F459" s="27"/>
      <c r="G459" s="27"/>
      <c r="H459" s="27"/>
      <c r="I459" s="27"/>
      <c r="J459" s="27"/>
      <c r="K459" s="27"/>
      <c r="L459" s="27"/>
      <c r="M459" s="27"/>
      <c r="N459" s="27"/>
      <c r="O459" s="27"/>
      <c r="P459" s="27"/>
      <c r="Q459" s="27"/>
      <c r="R459" s="27"/>
      <c r="S459" s="27"/>
      <c r="T459" s="27">
        <f>IF(LEFT(Control_Achizitii!$E459,4)="Fact",1,0)</f>
        <v>0</v>
      </c>
      <c r="U459" s="27">
        <f>IF(Control_Achizitii!$C459="",0,IF(ISNUMBER(Control_Achizitii!$B459),0,1))</f>
        <v>0</v>
      </c>
      <c r="V459" s="27">
        <f>IF(Control_Achizitii!$C459="",0,IF($Z$2&lt;&gt;"OK",0,IF(AND(ISNUMBER(Control_Achizitii!$B459),Control_Achizitii!$B459&gt;=$E$5,Control_Achizitii!$B459&lt;$J$5+1,OR($O$5="Toate proiectele",Control_Achizitii!$Q459=$O$5)),1,0)))</f>
        <v>0</v>
      </c>
      <c r="W459" s="27">
        <f>IF(AND(V459=1,OR(Control_Achizitii!$J459&lt;&gt;"DOSAR COMPLET",Control_Achizitii!$K459&lt;&gt;"")),ROW(),1000000000)</f>
        <v>1000000000</v>
      </c>
      <c r="X459" s="27">
        <f>IF(AND(V459=1,LEFT(Control_Achizitii!$E459,4)="Fact",NOT(ISNUMBER(Control_Achizitii!$P459))),1,0)</f>
        <v>0</v>
      </c>
      <c r="Y459" s="27">
        <f>IF(V459=0,0,IF(Control_Achizitii!$J459="DOSAR COMPLET",1,IF(LEFT(Control_Achizitii!$J459,9)="INCOMPLET",2,3)))</f>
        <v>0</v>
      </c>
      <c r="Z459" s="27"/>
      <c r="AA459" s="27"/>
      <c r="AB459" s="27"/>
      <c r="AC459" s="27"/>
      <c r="AD459" s="27"/>
      <c r="AE459" s="27"/>
      <c r="AF459" s="27"/>
      <c r="AG459" s="27"/>
      <c r="AH459" s="27">
        <f>IF(AND(V459=1,Control_Achizitii!$J459="DOSAR COMPLET",Control_Achizitii!$K459&lt;&gt;""),1,0)</f>
        <v>0</v>
      </c>
    </row>
    <row r="460" spans="1:34">
      <c r="A460" s="27"/>
      <c r="B460" s="27"/>
      <c r="C460" s="27"/>
      <c r="D460" s="27"/>
      <c r="E460" s="27"/>
      <c r="F460" s="27"/>
      <c r="G460" s="27"/>
      <c r="H460" s="27"/>
      <c r="I460" s="27"/>
      <c r="J460" s="27"/>
      <c r="K460" s="27"/>
      <c r="L460" s="27"/>
      <c r="M460" s="27"/>
      <c r="N460" s="27"/>
      <c r="O460" s="27"/>
      <c r="P460" s="27"/>
      <c r="Q460" s="27"/>
      <c r="R460" s="27"/>
      <c r="S460" s="27"/>
      <c r="T460" s="27">
        <f>IF(LEFT(Control_Achizitii!$E460,4)="Fact",1,0)</f>
        <v>0</v>
      </c>
      <c r="U460" s="27">
        <f>IF(Control_Achizitii!$C460="",0,IF(ISNUMBER(Control_Achizitii!$B460),0,1))</f>
        <v>0</v>
      </c>
      <c r="V460" s="27">
        <f>IF(Control_Achizitii!$C460="",0,IF($Z$2&lt;&gt;"OK",0,IF(AND(ISNUMBER(Control_Achizitii!$B460),Control_Achizitii!$B460&gt;=$E$5,Control_Achizitii!$B460&lt;$J$5+1,OR($O$5="Toate proiectele",Control_Achizitii!$Q460=$O$5)),1,0)))</f>
        <v>0</v>
      </c>
      <c r="W460" s="27">
        <f>IF(AND(V460=1,OR(Control_Achizitii!$J460&lt;&gt;"DOSAR COMPLET",Control_Achizitii!$K460&lt;&gt;"")),ROW(),1000000000)</f>
        <v>1000000000</v>
      </c>
      <c r="X460" s="27">
        <f>IF(AND(V460=1,LEFT(Control_Achizitii!$E460,4)="Fact",NOT(ISNUMBER(Control_Achizitii!$P460))),1,0)</f>
        <v>0</v>
      </c>
      <c r="Y460" s="27">
        <f>IF(V460=0,0,IF(Control_Achizitii!$J460="DOSAR COMPLET",1,IF(LEFT(Control_Achizitii!$J460,9)="INCOMPLET",2,3)))</f>
        <v>0</v>
      </c>
      <c r="Z460" s="27"/>
      <c r="AA460" s="27"/>
      <c r="AB460" s="27"/>
      <c r="AC460" s="27"/>
      <c r="AD460" s="27"/>
      <c r="AE460" s="27"/>
      <c r="AF460" s="27"/>
      <c r="AG460" s="27"/>
      <c r="AH460" s="27">
        <f>IF(AND(V460=1,Control_Achizitii!$J460="DOSAR COMPLET",Control_Achizitii!$K460&lt;&gt;""),1,0)</f>
        <v>0</v>
      </c>
    </row>
    <row r="461" spans="1:34">
      <c r="A461" s="27"/>
      <c r="B461" s="27"/>
      <c r="C461" s="27"/>
      <c r="D461" s="27"/>
      <c r="E461" s="27"/>
      <c r="F461" s="27"/>
      <c r="G461" s="27"/>
      <c r="H461" s="27"/>
      <c r="I461" s="27"/>
      <c r="J461" s="27"/>
      <c r="K461" s="27"/>
      <c r="L461" s="27"/>
      <c r="M461" s="27"/>
      <c r="N461" s="27"/>
      <c r="O461" s="27"/>
      <c r="P461" s="27"/>
      <c r="Q461" s="27"/>
      <c r="R461" s="27"/>
      <c r="S461" s="27"/>
      <c r="T461" s="27">
        <f>IF(LEFT(Control_Achizitii!$E461,4)="Fact",1,0)</f>
        <v>0</v>
      </c>
      <c r="U461" s="27">
        <f>IF(Control_Achizitii!$C461="",0,IF(ISNUMBER(Control_Achizitii!$B461),0,1))</f>
        <v>0</v>
      </c>
      <c r="V461" s="27">
        <f>IF(Control_Achizitii!$C461="",0,IF($Z$2&lt;&gt;"OK",0,IF(AND(ISNUMBER(Control_Achizitii!$B461),Control_Achizitii!$B461&gt;=$E$5,Control_Achizitii!$B461&lt;$J$5+1,OR($O$5="Toate proiectele",Control_Achizitii!$Q461=$O$5)),1,0)))</f>
        <v>0</v>
      </c>
      <c r="W461" s="27">
        <f>IF(AND(V461=1,OR(Control_Achizitii!$J461&lt;&gt;"DOSAR COMPLET",Control_Achizitii!$K461&lt;&gt;"")),ROW(),1000000000)</f>
        <v>1000000000</v>
      </c>
      <c r="X461" s="27">
        <f>IF(AND(V461=1,LEFT(Control_Achizitii!$E461,4)="Fact",NOT(ISNUMBER(Control_Achizitii!$P461))),1,0)</f>
        <v>0</v>
      </c>
      <c r="Y461" s="27">
        <f>IF(V461=0,0,IF(Control_Achizitii!$J461="DOSAR COMPLET",1,IF(LEFT(Control_Achizitii!$J461,9)="INCOMPLET",2,3)))</f>
        <v>0</v>
      </c>
      <c r="Z461" s="27"/>
      <c r="AA461" s="27"/>
      <c r="AB461" s="27"/>
      <c r="AC461" s="27"/>
      <c r="AD461" s="27"/>
      <c r="AE461" s="27"/>
      <c r="AF461" s="27"/>
      <c r="AG461" s="27"/>
      <c r="AH461" s="27">
        <f>IF(AND(V461=1,Control_Achizitii!$J461="DOSAR COMPLET",Control_Achizitii!$K461&lt;&gt;""),1,0)</f>
        <v>0</v>
      </c>
    </row>
    <row r="462" spans="1:34">
      <c r="A462" s="27"/>
      <c r="B462" s="27"/>
      <c r="C462" s="27"/>
      <c r="D462" s="27"/>
      <c r="E462" s="27"/>
      <c r="F462" s="27"/>
      <c r="G462" s="27"/>
      <c r="H462" s="27"/>
      <c r="I462" s="27"/>
      <c r="J462" s="27"/>
      <c r="K462" s="27"/>
      <c r="L462" s="27"/>
      <c r="M462" s="27"/>
      <c r="N462" s="27"/>
      <c r="O462" s="27"/>
      <c r="P462" s="27"/>
      <c r="Q462" s="27"/>
      <c r="R462" s="27"/>
      <c r="S462" s="27"/>
      <c r="T462" s="27">
        <f>IF(LEFT(Control_Achizitii!$E462,4)="Fact",1,0)</f>
        <v>0</v>
      </c>
      <c r="U462" s="27">
        <f>IF(Control_Achizitii!$C462="",0,IF(ISNUMBER(Control_Achizitii!$B462),0,1))</f>
        <v>0</v>
      </c>
      <c r="V462" s="27">
        <f>IF(Control_Achizitii!$C462="",0,IF($Z$2&lt;&gt;"OK",0,IF(AND(ISNUMBER(Control_Achizitii!$B462),Control_Achizitii!$B462&gt;=$E$5,Control_Achizitii!$B462&lt;$J$5+1,OR($O$5="Toate proiectele",Control_Achizitii!$Q462=$O$5)),1,0)))</f>
        <v>0</v>
      </c>
      <c r="W462" s="27">
        <f>IF(AND(V462=1,OR(Control_Achizitii!$J462&lt;&gt;"DOSAR COMPLET",Control_Achizitii!$K462&lt;&gt;"")),ROW(),1000000000)</f>
        <v>1000000000</v>
      </c>
      <c r="X462" s="27">
        <f>IF(AND(V462=1,LEFT(Control_Achizitii!$E462,4)="Fact",NOT(ISNUMBER(Control_Achizitii!$P462))),1,0)</f>
        <v>0</v>
      </c>
      <c r="Y462" s="27">
        <f>IF(V462=0,0,IF(Control_Achizitii!$J462="DOSAR COMPLET",1,IF(LEFT(Control_Achizitii!$J462,9)="INCOMPLET",2,3)))</f>
        <v>0</v>
      </c>
      <c r="Z462" s="27"/>
      <c r="AA462" s="27"/>
      <c r="AB462" s="27"/>
      <c r="AC462" s="27"/>
      <c r="AD462" s="27"/>
      <c r="AE462" s="27"/>
      <c r="AF462" s="27"/>
      <c r="AG462" s="27"/>
      <c r="AH462" s="27">
        <f>IF(AND(V462=1,Control_Achizitii!$J462="DOSAR COMPLET",Control_Achizitii!$K462&lt;&gt;""),1,0)</f>
        <v>0</v>
      </c>
    </row>
    <row r="463" spans="1:34">
      <c r="A463" s="27"/>
      <c r="B463" s="27"/>
      <c r="C463" s="27"/>
      <c r="D463" s="27"/>
      <c r="E463" s="27"/>
      <c r="F463" s="27"/>
      <c r="G463" s="27"/>
      <c r="H463" s="27"/>
      <c r="I463" s="27"/>
      <c r="J463" s="27"/>
      <c r="K463" s="27"/>
      <c r="L463" s="27"/>
      <c r="M463" s="27"/>
      <c r="N463" s="27"/>
      <c r="O463" s="27"/>
      <c r="P463" s="27"/>
      <c r="Q463" s="27"/>
      <c r="R463" s="27"/>
      <c r="S463" s="27"/>
      <c r="T463" s="27">
        <f>IF(LEFT(Control_Achizitii!$E463,4)="Fact",1,0)</f>
        <v>0</v>
      </c>
      <c r="U463" s="27">
        <f>IF(Control_Achizitii!$C463="",0,IF(ISNUMBER(Control_Achizitii!$B463),0,1))</f>
        <v>0</v>
      </c>
      <c r="V463" s="27">
        <f>IF(Control_Achizitii!$C463="",0,IF($Z$2&lt;&gt;"OK",0,IF(AND(ISNUMBER(Control_Achizitii!$B463),Control_Achizitii!$B463&gt;=$E$5,Control_Achizitii!$B463&lt;$J$5+1,OR($O$5="Toate proiectele",Control_Achizitii!$Q463=$O$5)),1,0)))</f>
        <v>0</v>
      </c>
      <c r="W463" s="27">
        <f>IF(AND(V463=1,OR(Control_Achizitii!$J463&lt;&gt;"DOSAR COMPLET",Control_Achizitii!$K463&lt;&gt;"")),ROW(),1000000000)</f>
        <v>1000000000</v>
      </c>
      <c r="X463" s="27">
        <f>IF(AND(V463=1,LEFT(Control_Achizitii!$E463,4)="Fact",NOT(ISNUMBER(Control_Achizitii!$P463))),1,0)</f>
        <v>0</v>
      </c>
      <c r="Y463" s="27">
        <f>IF(V463=0,0,IF(Control_Achizitii!$J463="DOSAR COMPLET",1,IF(LEFT(Control_Achizitii!$J463,9)="INCOMPLET",2,3)))</f>
        <v>0</v>
      </c>
      <c r="Z463" s="27"/>
      <c r="AA463" s="27"/>
      <c r="AB463" s="27"/>
      <c r="AC463" s="27"/>
      <c r="AD463" s="27"/>
      <c r="AE463" s="27"/>
      <c r="AF463" s="27"/>
      <c r="AG463" s="27"/>
      <c r="AH463" s="27">
        <f>IF(AND(V463=1,Control_Achizitii!$J463="DOSAR COMPLET",Control_Achizitii!$K463&lt;&gt;""),1,0)</f>
        <v>0</v>
      </c>
    </row>
    <row r="464" spans="1:34">
      <c r="A464" s="27"/>
      <c r="B464" s="27"/>
      <c r="C464" s="27"/>
      <c r="D464" s="27"/>
      <c r="E464" s="27"/>
      <c r="F464" s="27"/>
      <c r="G464" s="27"/>
      <c r="H464" s="27"/>
      <c r="I464" s="27"/>
      <c r="J464" s="27"/>
      <c r="K464" s="27"/>
      <c r="L464" s="27"/>
      <c r="M464" s="27"/>
      <c r="N464" s="27"/>
      <c r="O464" s="27"/>
      <c r="P464" s="27"/>
      <c r="Q464" s="27"/>
      <c r="R464" s="27"/>
      <c r="S464" s="27"/>
      <c r="T464" s="27">
        <f>IF(LEFT(Control_Achizitii!$E464,4)="Fact",1,0)</f>
        <v>0</v>
      </c>
      <c r="U464" s="27">
        <f>IF(Control_Achizitii!$C464="",0,IF(ISNUMBER(Control_Achizitii!$B464),0,1))</f>
        <v>0</v>
      </c>
      <c r="V464" s="27">
        <f>IF(Control_Achizitii!$C464="",0,IF($Z$2&lt;&gt;"OK",0,IF(AND(ISNUMBER(Control_Achizitii!$B464),Control_Achizitii!$B464&gt;=$E$5,Control_Achizitii!$B464&lt;$J$5+1,OR($O$5="Toate proiectele",Control_Achizitii!$Q464=$O$5)),1,0)))</f>
        <v>0</v>
      </c>
      <c r="W464" s="27">
        <f>IF(AND(V464=1,OR(Control_Achizitii!$J464&lt;&gt;"DOSAR COMPLET",Control_Achizitii!$K464&lt;&gt;"")),ROW(),1000000000)</f>
        <v>1000000000</v>
      </c>
      <c r="X464" s="27">
        <f>IF(AND(V464=1,LEFT(Control_Achizitii!$E464,4)="Fact",NOT(ISNUMBER(Control_Achizitii!$P464))),1,0)</f>
        <v>0</v>
      </c>
      <c r="Y464" s="27">
        <f>IF(V464=0,0,IF(Control_Achizitii!$J464="DOSAR COMPLET",1,IF(LEFT(Control_Achizitii!$J464,9)="INCOMPLET",2,3)))</f>
        <v>0</v>
      </c>
      <c r="Z464" s="27"/>
      <c r="AA464" s="27"/>
      <c r="AB464" s="27"/>
      <c r="AC464" s="27"/>
      <c r="AD464" s="27"/>
      <c r="AE464" s="27"/>
      <c r="AF464" s="27"/>
      <c r="AG464" s="27"/>
      <c r="AH464" s="27">
        <f>IF(AND(V464=1,Control_Achizitii!$J464="DOSAR COMPLET",Control_Achizitii!$K464&lt;&gt;""),1,0)</f>
        <v>0</v>
      </c>
    </row>
    <row r="465" spans="1:34">
      <c r="A465" s="27"/>
      <c r="B465" s="27"/>
      <c r="C465" s="27"/>
      <c r="D465" s="27"/>
      <c r="E465" s="27"/>
      <c r="F465" s="27"/>
      <c r="G465" s="27"/>
      <c r="H465" s="27"/>
      <c r="I465" s="27"/>
      <c r="J465" s="27"/>
      <c r="K465" s="27"/>
      <c r="L465" s="27"/>
      <c r="M465" s="27"/>
      <c r="N465" s="27"/>
      <c r="O465" s="27"/>
      <c r="P465" s="27"/>
      <c r="Q465" s="27"/>
      <c r="R465" s="27"/>
      <c r="S465" s="27"/>
      <c r="T465" s="27">
        <f>IF(LEFT(Control_Achizitii!$E465,4)="Fact",1,0)</f>
        <v>0</v>
      </c>
      <c r="U465" s="27">
        <f>IF(Control_Achizitii!$C465="",0,IF(ISNUMBER(Control_Achizitii!$B465),0,1))</f>
        <v>0</v>
      </c>
      <c r="V465" s="27">
        <f>IF(Control_Achizitii!$C465="",0,IF($Z$2&lt;&gt;"OK",0,IF(AND(ISNUMBER(Control_Achizitii!$B465),Control_Achizitii!$B465&gt;=$E$5,Control_Achizitii!$B465&lt;$J$5+1,OR($O$5="Toate proiectele",Control_Achizitii!$Q465=$O$5)),1,0)))</f>
        <v>0</v>
      </c>
      <c r="W465" s="27">
        <f>IF(AND(V465=1,OR(Control_Achizitii!$J465&lt;&gt;"DOSAR COMPLET",Control_Achizitii!$K465&lt;&gt;"")),ROW(),1000000000)</f>
        <v>1000000000</v>
      </c>
      <c r="X465" s="27">
        <f>IF(AND(V465=1,LEFT(Control_Achizitii!$E465,4)="Fact",NOT(ISNUMBER(Control_Achizitii!$P465))),1,0)</f>
        <v>0</v>
      </c>
      <c r="Y465" s="27">
        <f>IF(V465=0,0,IF(Control_Achizitii!$J465="DOSAR COMPLET",1,IF(LEFT(Control_Achizitii!$J465,9)="INCOMPLET",2,3)))</f>
        <v>0</v>
      </c>
      <c r="Z465" s="27"/>
      <c r="AA465" s="27"/>
      <c r="AB465" s="27"/>
      <c r="AC465" s="27"/>
      <c r="AD465" s="27"/>
      <c r="AE465" s="27"/>
      <c r="AF465" s="27"/>
      <c r="AG465" s="27"/>
      <c r="AH465" s="27">
        <f>IF(AND(V465=1,Control_Achizitii!$J465="DOSAR COMPLET",Control_Achizitii!$K465&lt;&gt;""),1,0)</f>
        <v>0</v>
      </c>
    </row>
    <row r="466" spans="1:34">
      <c r="A466" s="27"/>
      <c r="B466" s="27"/>
      <c r="C466" s="27"/>
      <c r="D466" s="27"/>
      <c r="E466" s="27"/>
      <c r="F466" s="27"/>
      <c r="G466" s="27"/>
      <c r="H466" s="27"/>
      <c r="I466" s="27"/>
      <c r="J466" s="27"/>
      <c r="K466" s="27"/>
      <c r="L466" s="27"/>
      <c r="M466" s="27"/>
      <c r="N466" s="27"/>
      <c r="O466" s="27"/>
      <c r="P466" s="27"/>
      <c r="Q466" s="27"/>
      <c r="R466" s="27"/>
      <c r="S466" s="27"/>
      <c r="T466" s="27">
        <f>IF(LEFT(Control_Achizitii!$E466,4)="Fact",1,0)</f>
        <v>0</v>
      </c>
      <c r="U466" s="27">
        <f>IF(Control_Achizitii!$C466="",0,IF(ISNUMBER(Control_Achizitii!$B466),0,1))</f>
        <v>0</v>
      </c>
      <c r="V466" s="27">
        <f>IF(Control_Achizitii!$C466="",0,IF($Z$2&lt;&gt;"OK",0,IF(AND(ISNUMBER(Control_Achizitii!$B466),Control_Achizitii!$B466&gt;=$E$5,Control_Achizitii!$B466&lt;$J$5+1,OR($O$5="Toate proiectele",Control_Achizitii!$Q466=$O$5)),1,0)))</f>
        <v>0</v>
      </c>
      <c r="W466" s="27">
        <f>IF(AND(V466=1,OR(Control_Achizitii!$J466&lt;&gt;"DOSAR COMPLET",Control_Achizitii!$K466&lt;&gt;"")),ROW(),1000000000)</f>
        <v>1000000000</v>
      </c>
      <c r="X466" s="27">
        <f>IF(AND(V466=1,LEFT(Control_Achizitii!$E466,4)="Fact",NOT(ISNUMBER(Control_Achizitii!$P466))),1,0)</f>
        <v>0</v>
      </c>
      <c r="Y466" s="27">
        <f>IF(V466=0,0,IF(Control_Achizitii!$J466="DOSAR COMPLET",1,IF(LEFT(Control_Achizitii!$J466,9)="INCOMPLET",2,3)))</f>
        <v>0</v>
      </c>
      <c r="Z466" s="27"/>
      <c r="AA466" s="27"/>
      <c r="AB466" s="27"/>
      <c r="AC466" s="27"/>
      <c r="AD466" s="27"/>
      <c r="AE466" s="27"/>
      <c r="AF466" s="27"/>
      <c r="AG466" s="27"/>
      <c r="AH466" s="27">
        <f>IF(AND(V466=1,Control_Achizitii!$J466="DOSAR COMPLET",Control_Achizitii!$K466&lt;&gt;""),1,0)</f>
        <v>0</v>
      </c>
    </row>
    <row r="467" spans="1:34">
      <c r="A467" s="27"/>
      <c r="B467" s="27"/>
      <c r="C467" s="27"/>
      <c r="D467" s="27"/>
      <c r="E467" s="27"/>
      <c r="F467" s="27"/>
      <c r="G467" s="27"/>
      <c r="H467" s="27"/>
      <c r="I467" s="27"/>
      <c r="J467" s="27"/>
      <c r="K467" s="27"/>
      <c r="L467" s="27"/>
      <c r="M467" s="27"/>
      <c r="N467" s="27"/>
      <c r="O467" s="27"/>
      <c r="P467" s="27"/>
      <c r="Q467" s="27"/>
      <c r="R467" s="27"/>
      <c r="S467" s="27"/>
      <c r="T467" s="27">
        <f>IF(LEFT(Control_Achizitii!$E467,4)="Fact",1,0)</f>
        <v>0</v>
      </c>
      <c r="U467" s="27">
        <f>IF(Control_Achizitii!$C467="",0,IF(ISNUMBER(Control_Achizitii!$B467),0,1))</f>
        <v>0</v>
      </c>
      <c r="V467" s="27">
        <f>IF(Control_Achizitii!$C467="",0,IF($Z$2&lt;&gt;"OK",0,IF(AND(ISNUMBER(Control_Achizitii!$B467),Control_Achizitii!$B467&gt;=$E$5,Control_Achizitii!$B467&lt;$J$5+1,OR($O$5="Toate proiectele",Control_Achizitii!$Q467=$O$5)),1,0)))</f>
        <v>0</v>
      </c>
      <c r="W467" s="27">
        <f>IF(AND(V467=1,OR(Control_Achizitii!$J467&lt;&gt;"DOSAR COMPLET",Control_Achizitii!$K467&lt;&gt;"")),ROW(),1000000000)</f>
        <v>1000000000</v>
      </c>
      <c r="X467" s="27">
        <f>IF(AND(V467=1,LEFT(Control_Achizitii!$E467,4)="Fact",NOT(ISNUMBER(Control_Achizitii!$P467))),1,0)</f>
        <v>0</v>
      </c>
      <c r="Y467" s="27">
        <f>IF(V467=0,0,IF(Control_Achizitii!$J467="DOSAR COMPLET",1,IF(LEFT(Control_Achizitii!$J467,9)="INCOMPLET",2,3)))</f>
        <v>0</v>
      </c>
      <c r="Z467" s="27"/>
      <c r="AA467" s="27"/>
      <c r="AB467" s="27"/>
      <c r="AC467" s="27"/>
      <c r="AD467" s="27"/>
      <c r="AE467" s="27"/>
      <c r="AF467" s="27"/>
      <c r="AG467" s="27"/>
      <c r="AH467" s="27">
        <f>IF(AND(V467=1,Control_Achizitii!$J467="DOSAR COMPLET",Control_Achizitii!$K467&lt;&gt;""),1,0)</f>
        <v>0</v>
      </c>
    </row>
    <row r="468" spans="1:34">
      <c r="A468" s="27"/>
      <c r="B468" s="27"/>
      <c r="C468" s="27"/>
      <c r="D468" s="27"/>
      <c r="E468" s="27"/>
      <c r="F468" s="27"/>
      <c r="G468" s="27"/>
      <c r="H468" s="27"/>
      <c r="I468" s="27"/>
      <c r="J468" s="27"/>
      <c r="K468" s="27"/>
      <c r="L468" s="27"/>
      <c r="M468" s="27"/>
      <c r="N468" s="27"/>
      <c r="O468" s="27"/>
      <c r="P468" s="27"/>
      <c r="Q468" s="27"/>
      <c r="R468" s="27"/>
      <c r="S468" s="27"/>
      <c r="T468" s="27">
        <f>IF(LEFT(Control_Achizitii!$E468,4)="Fact",1,0)</f>
        <v>0</v>
      </c>
      <c r="U468" s="27">
        <f>IF(Control_Achizitii!$C468="",0,IF(ISNUMBER(Control_Achizitii!$B468),0,1))</f>
        <v>0</v>
      </c>
      <c r="V468" s="27">
        <f>IF(Control_Achizitii!$C468="",0,IF($Z$2&lt;&gt;"OK",0,IF(AND(ISNUMBER(Control_Achizitii!$B468),Control_Achizitii!$B468&gt;=$E$5,Control_Achizitii!$B468&lt;$J$5+1,OR($O$5="Toate proiectele",Control_Achizitii!$Q468=$O$5)),1,0)))</f>
        <v>0</v>
      </c>
      <c r="W468" s="27">
        <f>IF(AND(V468=1,OR(Control_Achizitii!$J468&lt;&gt;"DOSAR COMPLET",Control_Achizitii!$K468&lt;&gt;"")),ROW(),1000000000)</f>
        <v>1000000000</v>
      </c>
      <c r="X468" s="27">
        <f>IF(AND(V468=1,LEFT(Control_Achizitii!$E468,4)="Fact",NOT(ISNUMBER(Control_Achizitii!$P468))),1,0)</f>
        <v>0</v>
      </c>
      <c r="Y468" s="27">
        <f>IF(V468=0,0,IF(Control_Achizitii!$J468="DOSAR COMPLET",1,IF(LEFT(Control_Achizitii!$J468,9)="INCOMPLET",2,3)))</f>
        <v>0</v>
      </c>
      <c r="Z468" s="27"/>
      <c r="AA468" s="27"/>
      <c r="AB468" s="27"/>
      <c r="AC468" s="27"/>
      <c r="AD468" s="27"/>
      <c r="AE468" s="27"/>
      <c r="AF468" s="27"/>
      <c r="AG468" s="27"/>
      <c r="AH468" s="27">
        <f>IF(AND(V468=1,Control_Achizitii!$J468="DOSAR COMPLET",Control_Achizitii!$K468&lt;&gt;""),1,0)</f>
        <v>0</v>
      </c>
    </row>
    <row r="469" spans="1:34">
      <c r="A469" s="27"/>
      <c r="B469" s="27"/>
      <c r="C469" s="27"/>
      <c r="D469" s="27"/>
      <c r="E469" s="27"/>
      <c r="F469" s="27"/>
      <c r="G469" s="27"/>
      <c r="H469" s="27"/>
      <c r="I469" s="27"/>
      <c r="J469" s="27"/>
      <c r="K469" s="27"/>
      <c r="L469" s="27"/>
      <c r="M469" s="27"/>
      <c r="N469" s="27"/>
      <c r="O469" s="27"/>
      <c r="P469" s="27"/>
      <c r="Q469" s="27"/>
      <c r="R469" s="27"/>
      <c r="S469" s="27"/>
      <c r="T469" s="27">
        <f>IF(LEFT(Control_Achizitii!$E469,4)="Fact",1,0)</f>
        <v>0</v>
      </c>
      <c r="U469" s="27">
        <f>IF(Control_Achizitii!$C469="",0,IF(ISNUMBER(Control_Achizitii!$B469),0,1))</f>
        <v>0</v>
      </c>
      <c r="V469" s="27">
        <f>IF(Control_Achizitii!$C469="",0,IF($Z$2&lt;&gt;"OK",0,IF(AND(ISNUMBER(Control_Achizitii!$B469),Control_Achizitii!$B469&gt;=$E$5,Control_Achizitii!$B469&lt;$J$5+1,OR($O$5="Toate proiectele",Control_Achizitii!$Q469=$O$5)),1,0)))</f>
        <v>0</v>
      </c>
      <c r="W469" s="27">
        <f>IF(AND(V469=1,OR(Control_Achizitii!$J469&lt;&gt;"DOSAR COMPLET",Control_Achizitii!$K469&lt;&gt;"")),ROW(),1000000000)</f>
        <v>1000000000</v>
      </c>
      <c r="X469" s="27">
        <f>IF(AND(V469=1,LEFT(Control_Achizitii!$E469,4)="Fact",NOT(ISNUMBER(Control_Achizitii!$P469))),1,0)</f>
        <v>0</v>
      </c>
      <c r="Y469" s="27">
        <f>IF(V469=0,0,IF(Control_Achizitii!$J469="DOSAR COMPLET",1,IF(LEFT(Control_Achizitii!$J469,9)="INCOMPLET",2,3)))</f>
        <v>0</v>
      </c>
      <c r="Z469" s="27"/>
      <c r="AA469" s="27"/>
      <c r="AB469" s="27"/>
      <c r="AC469" s="27"/>
      <c r="AD469" s="27"/>
      <c r="AE469" s="27"/>
      <c r="AF469" s="27"/>
      <c r="AG469" s="27"/>
      <c r="AH469" s="27">
        <f>IF(AND(V469=1,Control_Achizitii!$J469="DOSAR COMPLET",Control_Achizitii!$K469&lt;&gt;""),1,0)</f>
        <v>0</v>
      </c>
    </row>
    <row r="470" spans="1:34">
      <c r="A470" s="27"/>
      <c r="B470" s="27"/>
      <c r="C470" s="27"/>
      <c r="D470" s="27"/>
      <c r="E470" s="27"/>
      <c r="F470" s="27"/>
      <c r="G470" s="27"/>
      <c r="H470" s="27"/>
      <c r="I470" s="27"/>
      <c r="J470" s="27"/>
      <c r="K470" s="27"/>
      <c r="L470" s="27"/>
      <c r="M470" s="27"/>
      <c r="N470" s="27"/>
      <c r="O470" s="27"/>
      <c r="P470" s="27"/>
      <c r="Q470" s="27"/>
      <c r="R470" s="27"/>
      <c r="S470" s="27"/>
      <c r="T470" s="27">
        <f>IF(LEFT(Control_Achizitii!$E470,4)="Fact",1,0)</f>
        <v>0</v>
      </c>
      <c r="U470" s="27">
        <f>IF(Control_Achizitii!$C470="",0,IF(ISNUMBER(Control_Achizitii!$B470),0,1))</f>
        <v>0</v>
      </c>
      <c r="V470" s="27">
        <f>IF(Control_Achizitii!$C470="",0,IF($Z$2&lt;&gt;"OK",0,IF(AND(ISNUMBER(Control_Achizitii!$B470),Control_Achizitii!$B470&gt;=$E$5,Control_Achizitii!$B470&lt;$J$5+1,OR($O$5="Toate proiectele",Control_Achizitii!$Q470=$O$5)),1,0)))</f>
        <v>0</v>
      </c>
      <c r="W470" s="27">
        <f>IF(AND(V470=1,OR(Control_Achizitii!$J470&lt;&gt;"DOSAR COMPLET",Control_Achizitii!$K470&lt;&gt;"")),ROW(),1000000000)</f>
        <v>1000000000</v>
      </c>
      <c r="X470" s="27">
        <f>IF(AND(V470=1,LEFT(Control_Achizitii!$E470,4)="Fact",NOT(ISNUMBER(Control_Achizitii!$P470))),1,0)</f>
        <v>0</v>
      </c>
      <c r="Y470" s="27">
        <f>IF(V470=0,0,IF(Control_Achizitii!$J470="DOSAR COMPLET",1,IF(LEFT(Control_Achizitii!$J470,9)="INCOMPLET",2,3)))</f>
        <v>0</v>
      </c>
      <c r="Z470" s="27"/>
      <c r="AA470" s="27"/>
      <c r="AB470" s="27"/>
      <c r="AC470" s="27"/>
      <c r="AD470" s="27"/>
      <c r="AE470" s="27"/>
      <c r="AF470" s="27"/>
      <c r="AG470" s="27"/>
      <c r="AH470" s="27">
        <f>IF(AND(V470=1,Control_Achizitii!$J470="DOSAR COMPLET",Control_Achizitii!$K470&lt;&gt;""),1,0)</f>
        <v>0</v>
      </c>
    </row>
    <row r="471" spans="1:34">
      <c r="A471" s="27"/>
      <c r="B471" s="27"/>
      <c r="C471" s="27"/>
      <c r="D471" s="27"/>
      <c r="E471" s="27"/>
      <c r="F471" s="27"/>
      <c r="G471" s="27"/>
      <c r="H471" s="27"/>
      <c r="I471" s="27"/>
      <c r="J471" s="27"/>
      <c r="K471" s="27"/>
      <c r="L471" s="27"/>
      <c r="M471" s="27"/>
      <c r="N471" s="27"/>
      <c r="O471" s="27"/>
      <c r="P471" s="27"/>
      <c r="Q471" s="27"/>
      <c r="R471" s="27"/>
      <c r="S471" s="27"/>
      <c r="T471" s="27">
        <f>IF(LEFT(Control_Achizitii!$E471,4)="Fact",1,0)</f>
        <v>0</v>
      </c>
      <c r="U471" s="27">
        <f>IF(Control_Achizitii!$C471="",0,IF(ISNUMBER(Control_Achizitii!$B471),0,1))</f>
        <v>0</v>
      </c>
      <c r="V471" s="27">
        <f>IF(Control_Achizitii!$C471="",0,IF($Z$2&lt;&gt;"OK",0,IF(AND(ISNUMBER(Control_Achizitii!$B471),Control_Achizitii!$B471&gt;=$E$5,Control_Achizitii!$B471&lt;$J$5+1,OR($O$5="Toate proiectele",Control_Achizitii!$Q471=$O$5)),1,0)))</f>
        <v>0</v>
      </c>
      <c r="W471" s="27">
        <f>IF(AND(V471=1,OR(Control_Achizitii!$J471&lt;&gt;"DOSAR COMPLET",Control_Achizitii!$K471&lt;&gt;"")),ROW(),1000000000)</f>
        <v>1000000000</v>
      </c>
      <c r="X471" s="27">
        <f>IF(AND(V471=1,LEFT(Control_Achizitii!$E471,4)="Fact",NOT(ISNUMBER(Control_Achizitii!$P471))),1,0)</f>
        <v>0</v>
      </c>
      <c r="Y471" s="27">
        <f>IF(V471=0,0,IF(Control_Achizitii!$J471="DOSAR COMPLET",1,IF(LEFT(Control_Achizitii!$J471,9)="INCOMPLET",2,3)))</f>
        <v>0</v>
      </c>
      <c r="Z471" s="27"/>
      <c r="AA471" s="27"/>
      <c r="AB471" s="27"/>
      <c r="AC471" s="27"/>
      <c r="AD471" s="27"/>
      <c r="AE471" s="27"/>
      <c r="AF471" s="27"/>
      <c r="AG471" s="27"/>
      <c r="AH471" s="27">
        <f>IF(AND(V471=1,Control_Achizitii!$J471="DOSAR COMPLET",Control_Achizitii!$K471&lt;&gt;""),1,0)</f>
        <v>0</v>
      </c>
    </row>
    <row r="472" spans="1:34">
      <c r="A472" s="27"/>
      <c r="B472" s="27"/>
      <c r="C472" s="27"/>
      <c r="D472" s="27"/>
      <c r="E472" s="27"/>
      <c r="F472" s="27"/>
      <c r="G472" s="27"/>
      <c r="H472" s="27"/>
      <c r="I472" s="27"/>
      <c r="J472" s="27"/>
      <c r="K472" s="27"/>
      <c r="L472" s="27"/>
      <c r="M472" s="27"/>
      <c r="N472" s="27"/>
      <c r="O472" s="27"/>
      <c r="P472" s="27"/>
      <c r="Q472" s="27"/>
      <c r="R472" s="27"/>
      <c r="S472" s="27"/>
      <c r="T472" s="27">
        <f>IF(LEFT(Control_Achizitii!$E472,4)="Fact",1,0)</f>
        <v>0</v>
      </c>
      <c r="U472" s="27">
        <f>IF(Control_Achizitii!$C472="",0,IF(ISNUMBER(Control_Achizitii!$B472),0,1))</f>
        <v>0</v>
      </c>
      <c r="V472" s="27">
        <f>IF(Control_Achizitii!$C472="",0,IF($Z$2&lt;&gt;"OK",0,IF(AND(ISNUMBER(Control_Achizitii!$B472),Control_Achizitii!$B472&gt;=$E$5,Control_Achizitii!$B472&lt;$J$5+1,OR($O$5="Toate proiectele",Control_Achizitii!$Q472=$O$5)),1,0)))</f>
        <v>0</v>
      </c>
      <c r="W472" s="27">
        <f>IF(AND(V472=1,OR(Control_Achizitii!$J472&lt;&gt;"DOSAR COMPLET",Control_Achizitii!$K472&lt;&gt;"")),ROW(),1000000000)</f>
        <v>1000000000</v>
      </c>
      <c r="X472" s="27">
        <f>IF(AND(V472=1,LEFT(Control_Achizitii!$E472,4)="Fact",NOT(ISNUMBER(Control_Achizitii!$P472))),1,0)</f>
        <v>0</v>
      </c>
      <c r="Y472" s="27">
        <f>IF(V472=0,0,IF(Control_Achizitii!$J472="DOSAR COMPLET",1,IF(LEFT(Control_Achizitii!$J472,9)="INCOMPLET",2,3)))</f>
        <v>0</v>
      </c>
      <c r="Z472" s="27"/>
      <c r="AA472" s="27"/>
      <c r="AB472" s="27"/>
      <c r="AC472" s="27"/>
      <c r="AD472" s="27"/>
      <c r="AE472" s="27"/>
      <c r="AF472" s="27"/>
      <c r="AG472" s="27"/>
      <c r="AH472" s="27">
        <f>IF(AND(V472=1,Control_Achizitii!$J472="DOSAR COMPLET",Control_Achizitii!$K472&lt;&gt;""),1,0)</f>
        <v>0</v>
      </c>
    </row>
    <row r="473" spans="1:34">
      <c r="A473" s="27"/>
      <c r="B473" s="27"/>
      <c r="C473" s="27"/>
      <c r="D473" s="27"/>
      <c r="E473" s="27"/>
      <c r="F473" s="27"/>
      <c r="G473" s="27"/>
      <c r="H473" s="27"/>
      <c r="I473" s="27"/>
      <c r="J473" s="27"/>
      <c r="K473" s="27"/>
      <c r="L473" s="27"/>
      <c r="M473" s="27"/>
      <c r="N473" s="27"/>
      <c r="O473" s="27"/>
      <c r="P473" s="27"/>
      <c r="Q473" s="27"/>
      <c r="R473" s="27"/>
      <c r="S473" s="27"/>
      <c r="T473" s="27">
        <f>IF(LEFT(Control_Achizitii!$E473,4)="Fact",1,0)</f>
        <v>0</v>
      </c>
      <c r="U473" s="27">
        <f>IF(Control_Achizitii!$C473="",0,IF(ISNUMBER(Control_Achizitii!$B473),0,1))</f>
        <v>0</v>
      </c>
      <c r="V473" s="27">
        <f>IF(Control_Achizitii!$C473="",0,IF($Z$2&lt;&gt;"OK",0,IF(AND(ISNUMBER(Control_Achizitii!$B473),Control_Achizitii!$B473&gt;=$E$5,Control_Achizitii!$B473&lt;$J$5+1,OR($O$5="Toate proiectele",Control_Achizitii!$Q473=$O$5)),1,0)))</f>
        <v>0</v>
      </c>
      <c r="W473" s="27">
        <f>IF(AND(V473=1,OR(Control_Achizitii!$J473&lt;&gt;"DOSAR COMPLET",Control_Achizitii!$K473&lt;&gt;"")),ROW(),1000000000)</f>
        <v>1000000000</v>
      </c>
      <c r="X473" s="27">
        <f>IF(AND(V473=1,LEFT(Control_Achizitii!$E473,4)="Fact",NOT(ISNUMBER(Control_Achizitii!$P473))),1,0)</f>
        <v>0</v>
      </c>
      <c r="Y473" s="27">
        <f>IF(V473=0,0,IF(Control_Achizitii!$J473="DOSAR COMPLET",1,IF(LEFT(Control_Achizitii!$J473,9)="INCOMPLET",2,3)))</f>
        <v>0</v>
      </c>
      <c r="Z473" s="27"/>
      <c r="AA473" s="27"/>
      <c r="AB473" s="27"/>
      <c r="AC473" s="27"/>
      <c r="AD473" s="27"/>
      <c r="AE473" s="27"/>
      <c r="AF473" s="27"/>
      <c r="AG473" s="27"/>
      <c r="AH473" s="27">
        <f>IF(AND(V473=1,Control_Achizitii!$J473="DOSAR COMPLET",Control_Achizitii!$K473&lt;&gt;""),1,0)</f>
        <v>0</v>
      </c>
    </row>
    <row r="474" spans="1:34">
      <c r="A474" s="27"/>
      <c r="B474" s="27"/>
      <c r="C474" s="27"/>
      <c r="D474" s="27"/>
      <c r="E474" s="27"/>
      <c r="F474" s="27"/>
      <c r="G474" s="27"/>
      <c r="H474" s="27"/>
      <c r="I474" s="27"/>
      <c r="J474" s="27"/>
      <c r="K474" s="27"/>
      <c r="L474" s="27"/>
      <c r="M474" s="27"/>
      <c r="N474" s="27"/>
      <c r="O474" s="27"/>
      <c r="P474" s="27"/>
      <c r="Q474" s="27"/>
      <c r="R474" s="27"/>
      <c r="S474" s="27"/>
      <c r="T474" s="27">
        <f>IF(LEFT(Control_Achizitii!$E474,4)="Fact",1,0)</f>
        <v>0</v>
      </c>
      <c r="U474" s="27">
        <f>IF(Control_Achizitii!$C474="",0,IF(ISNUMBER(Control_Achizitii!$B474),0,1))</f>
        <v>0</v>
      </c>
      <c r="V474" s="27">
        <f>IF(Control_Achizitii!$C474="",0,IF($Z$2&lt;&gt;"OK",0,IF(AND(ISNUMBER(Control_Achizitii!$B474),Control_Achizitii!$B474&gt;=$E$5,Control_Achizitii!$B474&lt;$J$5+1,OR($O$5="Toate proiectele",Control_Achizitii!$Q474=$O$5)),1,0)))</f>
        <v>0</v>
      </c>
      <c r="W474" s="27">
        <f>IF(AND(V474=1,OR(Control_Achizitii!$J474&lt;&gt;"DOSAR COMPLET",Control_Achizitii!$K474&lt;&gt;"")),ROW(),1000000000)</f>
        <v>1000000000</v>
      </c>
      <c r="X474" s="27">
        <f>IF(AND(V474=1,LEFT(Control_Achizitii!$E474,4)="Fact",NOT(ISNUMBER(Control_Achizitii!$P474))),1,0)</f>
        <v>0</v>
      </c>
      <c r="Y474" s="27">
        <f>IF(V474=0,0,IF(Control_Achizitii!$J474="DOSAR COMPLET",1,IF(LEFT(Control_Achizitii!$J474,9)="INCOMPLET",2,3)))</f>
        <v>0</v>
      </c>
      <c r="Z474" s="27"/>
      <c r="AA474" s="27"/>
      <c r="AB474" s="27"/>
      <c r="AC474" s="27"/>
      <c r="AD474" s="27"/>
      <c r="AE474" s="27"/>
      <c r="AF474" s="27"/>
      <c r="AG474" s="27"/>
      <c r="AH474" s="27">
        <f>IF(AND(V474=1,Control_Achizitii!$J474="DOSAR COMPLET",Control_Achizitii!$K474&lt;&gt;""),1,0)</f>
        <v>0</v>
      </c>
    </row>
    <row r="475" spans="1:34">
      <c r="A475" s="27"/>
      <c r="B475" s="27"/>
      <c r="C475" s="27"/>
      <c r="D475" s="27"/>
      <c r="E475" s="27"/>
      <c r="F475" s="27"/>
      <c r="G475" s="27"/>
      <c r="H475" s="27"/>
      <c r="I475" s="27"/>
      <c r="J475" s="27"/>
      <c r="K475" s="27"/>
      <c r="L475" s="27"/>
      <c r="M475" s="27"/>
      <c r="N475" s="27"/>
      <c r="O475" s="27"/>
      <c r="P475" s="27"/>
      <c r="Q475" s="27"/>
      <c r="R475" s="27"/>
      <c r="S475" s="27"/>
      <c r="T475" s="27">
        <f>IF(LEFT(Control_Achizitii!$E475,4)="Fact",1,0)</f>
        <v>0</v>
      </c>
      <c r="U475" s="27">
        <f>IF(Control_Achizitii!$C475="",0,IF(ISNUMBER(Control_Achizitii!$B475),0,1))</f>
        <v>0</v>
      </c>
      <c r="V475" s="27">
        <f>IF(Control_Achizitii!$C475="",0,IF($Z$2&lt;&gt;"OK",0,IF(AND(ISNUMBER(Control_Achizitii!$B475),Control_Achizitii!$B475&gt;=$E$5,Control_Achizitii!$B475&lt;$J$5+1,OR($O$5="Toate proiectele",Control_Achizitii!$Q475=$O$5)),1,0)))</f>
        <v>0</v>
      </c>
      <c r="W475" s="27">
        <f>IF(AND(V475=1,OR(Control_Achizitii!$J475&lt;&gt;"DOSAR COMPLET",Control_Achizitii!$K475&lt;&gt;"")),ROW(),1000000000)</f>
        <v>1000000000</v>
      </c>
      <c r="X475" s="27">
        <f>IF(AND(V475=1,LEFT(Control_Achizitii!$E475,4)="Fact",NOT(ISNUMBER(Control_Achizitii!$P475))),1,0)</f>
        <v>0</v>
      </c>
      <c r="Y475" s="27">
        <f>IF(V475=0,0,IF(Control_Achizitii!$J475="DOSAR COMPLET",1,IF(LEFT(Control_Achizitii!$J475,9)="INCOMPLET",2,3)))</f>
        <v>0</v>
      </c>
      <c r="Z475" s="27"/>
      <c r="AA475" s="27"/>
      <c r="AB475" s="27"/>
      <c r="AC475" s="27"/>
      <c r="AD475" s="27"/>
      <c r="AE475" s="27"/>
      <c r="AF475" s="27"/>
      <c r="AG475" s="27"/>
      <c r="AH475" s="27">
        <f>IF(AND(V475=1,Control_Achizitii!$J475="DOSAR COMPLET",Control_Achizitii!$K475&lt;&gt;""),1,0)</f>
        <v>0</v>
      </c>
    </row>
    <row r="476" spans="1:34">
      <c r="A476" s="27"/>
      <c r="B476" s="27"/>
      <c r="C476" s="27"/>
      <c r="D476" s="27"/>
      <c r="E476" s="27"/>
      <c r="F476" s="27"/>
      <c r="G476" s="27"/>
      <c r="H476" s="27"/>
      <c r="I476" s="27"/>
      <c r="J476" s="27"/>
      <c r="K476" s="27"/>
      <c r="L476" s="27"/>
      <c r="M476" s="27"/>
      <c r="N476" s="27"/>
      <c r="O476" s="27"/>
      <c r="P476" s="27"/>
      <c r="Q476" s="27"/>
      <c r="R476" s="27"/>
      <c r="S476" s="27"/>
      <c r="T476" s="27">
        <f>IF(LEFT(Control_Achizitii!$E476,4)="Fact",1,0)</f>
        <v>0</v>
      </c>
      <c r="U476" s="27">
        <f>IF(Control_Achizitii!$C476="",0,IF(ISNUMBER(Control_Achizitii!$B476),0,1))</f>
        <v>0</v>
      </c>
      <c r="V476" s="27">
        <f>IF(Control_Achizitii!$C476="",0,IF($Z$2&lt;&gt;"OK",0,IF(AND(ISNUMBER(Control_Achizitii!$B476),Control_Achizitii!$B476&gt;=$E$5,Control_Achizitii!$B476&lt;$J$5+1,OR($O$5="Toate proiectele",Control_Achizitii!$Q476=$O$5)),1,0)))</f>
        <v>0</v>
      </c>
      <c r="W476" s="27">
        <f>IF(AND(V476=1,OR(Control_Achizitii!$J476&lt;&gt;"DOSAR COMPLET",Control_Achizitii!$K476&lt;&gt;"")),ROW(),1000000000)</f>
        <v>1000000000</v>
      </c>
      <c r="X476" s="27">
        <f>IF(AND(V476=1,LEFT(Control_Achizitii!$E476,4)="Fact",NOT(ISNUMBER(Control_Achizitii!$P476))),1,0)</f>
        <v>0</v>
      </c>
      <c r="Y476" s="27">
        <f>IF(V476=0,0,IF(Control_Achizitii!$J476="DOSAR COMPLET",1,IF(LEFT(Control_Achizitii!$J476,9)="INCOMPLET",2,3)))</f>
        <v>0</v>
      </c>
      <c r="Z476" s="27"/>
      <c r="AA476" s="27"/>
      <c r="AB476" s="27"/>
      <c r="AC476" s="27"/>
      <c r="AD476" s="27"/>
      <c r="AE476" s="27"/>
      <c r="AF476" s="27"/>
      <c r="AG476" s="27"/>
      <c r="AH476" s="27">
        <f>IF(AND(V476=1,Control_Achizitii!$J476="DOSAR COMPLET",Control_Achizitii!$K476&lt;&gt;""),1,0)</f>
        <v>0</v>
      </c>
    </row>
    <row r="477" spans="1:34">
      <c r="A477" s="27"/>
      <c r="B477" s="27"/>
      <c r="C477" s="27"/>
      <c r="D477" s="27"/>
      <c r="E477" s="27"/>
      <c r="F477" s="27"/>
      <c r="G477" s="27"/>
      <c r="H477" s="27"/>
      <c r="I477" s="27"/>
      <c r="J477" s="27"/>
      <c r="K477" s="27"/>
      <c r="L477" s="27"/>
      <c r="M477" s="27"/>
      <c r="N477" s="27"/>
      <c r="O477" s="27"/>
      <c r="P477" s="27"/>
      <c r="Q477" s="27"/>
      <c r="R477" s="27"/>
      <c r="S477" s="27"/>
      <c r="T477" s="27">
        <f>IF(LEFT(Control_Achizitii!$E477,4)="Fact",1,0)</f>
        <v>0</v>
      </c>
      <c r="U477" s="27">
        <f>IF(Control_Achizitii!$C477="",0,IF(ISNUMBER(Control_Achizitii!$B477),0,1))</f>
        <v>0</v>
      </c>
      <c r="V477" s="27">
        <f>IF(Control_Achizitii!$C477="",0,IF($Z$2&lt;&gt;"OK",0,IF(AND(ISNUMBER(Control_Achizitii!$B477),Control_Achizitii!$B477&gt;=$E$5,Control_Achizitii!$B477&lt;$J$5+1,OR($O$5="Toate proiectele",Control_Achizitii!$Q477=$O$5)),1,0)))</f>
        <v>0</v>
      </c>
      <c r="W477" s="27">
        <f>IF(AND(V477=1,OR(Control_Achizitii!$J477&lt;&gt;"DOSAR COMPLET",Control_Achizitii!$K477&lt;&gt;"")),ROW(),1000000000)</f>
        <v>1000000000</v>
      </c>
      <c r="X477" s="27">
        <f>IF(AND(V477=1,LEFT(Control_Achizitii!$E477,4)="Fact",NOT(ISNUMBER(Control_Achizitii!$P477))),1,0)</f>
        <v>0</v>
      </c>
      <c r="Y477" s="27">
        <f>IF(V477=0,0,IF(Control_Achizitii!$J477="DOSAR COMPLET",1,IF(LEFT(Control_Achizitii!$J477,9)="INCOMPLET",2,3)))</f>
        <v>0</v>
      </c>
      <c r="Z477" s="27"/>
      <c r="AA477" s="27"/>
      <c r="AB477" s="27"/>
      <c r="AC477" s="27"/>
      <c r="AD477" s="27"/>
      <c r="AE477" s="27"/>
      <c r="AF477" s="27"/>
      <c r="AG477" s="27"/>
      <c r="AH477" s="27">
        <f>IF(AND(V477=1,Control_Achizitii!$J477="DOSAR COMPLET",Control_Achizitii!$K477&lt;&gt;""),1,0)</f>
        <v>0</v>
      </c>
    </row>
    <row r="478" spans="1:34">
      <c r="A478" s="27"/>
      <c r="B478" s="27"/>
      <c r="C478" s="27"/>
      <c r="D478" s="27"/>
      <c r="E478" s="27"/>
      <c r="F478" s="27"/>
      <c r="G478" s="27"/>
      <c r="H478" s="27"/>
      <c r="I478" s="27"/>
      <c r="J478" s="27"/>
      <c r="K478" s="27"/>
      <c r="L478" s="27"/>
      <c r="M478" s="27"/>
      <c r="N478" s="27"/>
      <c r="O478" s="27"/>
      <c r="P478" s="27"/>
      <c r="Q478" s="27"/>
      <c r="R478" s="27"/>
      <c r="S478" s="27"/>
      <c r="T478" s="27">
        <f>IF(LEFT(Control_Achizitii!$E478,4)="Fact",1,0)</f>
        <v>0</v>
      </c>
      <c r="U478" s="27">
        <f>IF(Control_Achizitii!$C478="",0,IF(ISNUMBER(Control_Achizitii!$B478),0,1))</f>
        <v>0</v>
      </c>
      <c r="V478" s="27">
        <f>IF(Control_Achizitii!$C478="",0,IF($Z$2&lt;&gt;"OK",0,IF(AND(ISNUMBER(Control_Achizitii!$B478),Control_Achizitii!$B478&gt;=$E$5,Control_Achizitii!$B478&lt;$J$5+1,OR($O$5="Toate proiectele",Control_Achizitii!$Q478=$O$5)),1,0)))</f>
        <v>0</v>
      </c>
      <c r="W478" s="27">
        <f>IF(AND(V478=1,OR(Control_Achizitii!$J478&lt;&gt;"DOSAR COMPLET",Control_Achizitii!$K478&lt;&gt;"")),ROW(),1000000000)</f>
        <v>1000000000</v>
      </c>
      <c r="X478" s="27">
        <f>IF(AND(V478=1,LEFT(Control_Achizitii!$E478,4)="Fact",NOT(ISNUMBER(Control_Achizitii!$P478))),1,0)</f>
        <v>0</v>
      </c>
      <c r="Y478" s="27">
        <f>IF(V478=0,0,IF(Control_Achizitii!$J478="DOSAR COMPLET",1,IF(LEFT(Control_Achizitii!$J478,9)="INCOMPLET",2,3)))</f>
        <v>0</v>
      </c>
      <c r="Z478" s="27"/>
      <c r="AA478" s="27"/>
      <c r="AB478" s="27"/>
      <c r="AC478" s="27"/>
      <c r="AD478" s="27"/>
      <c r="AE478" s="27"/>
      <c r="AF478" s="27"/>
      <c r="AG478" s="27"/>
      <c r="AH478" s="27">
        <f>IF(AND(V478=1,Control_Achizitii!$J478="DOSAR COMPLET",Control_Achizitii!$K478&lt;&gt;""),1,0)</f>
        <v>0</v>
      </c>
    </row>
    <row r="479" spans="1:34">
      <c r="A479" s="27"/>
      <c r="B479" s="27"/>
      <c r="C479" s="27"/>
      <c r="D479" s="27"/>
      <c r="E479" s="27"/>
      <c r="F479" s="27"/>
      <c r="G479" s="27"/>
      <c r="H479" s="27"/>
      <c r="I479" s="27"/>
      <c r="J479" s="27"/>
      <c r="K479" s="27"/>
      <c r="L479" s="27"/>
      <c r="M479" s="27"/>
      <c r="N479" s="27"/>
      <c r="O479" s="27"/>
      <c r="P479" s="27"/>
      <c r="Q479" s="27"/>
      <c r="R479" s="27"/>
      <c r="S479" s="27"/>
      <c r="T479" s="27">
        <f>IF(LEFT(Control_Achizitii!$E479,4)="Fact",1,0)</f>
        <v>0</v>
      </c>
      <c r="U479" s="27">
        <f>IF(Control_Achizitii!$C479="",0,IF(ISNUMBER(Control_Achizitii!$B479),0,1))</f>
        <v>0</v>
      </c>
      <c r="V479" s="27">
        <f>IF(Control_Achizitii!$C479="",0,IF($Z$2&lt;&gt;"OK",0,IF(AND(ISNUMBER(Control_Achizitii!$B479),Control_Achizitii!$B479&gt;=$E$5,Control_Achizitii!$B479&lt;$J$5+1,OR($O$5="Toate proiectele",Control_Achizitii!$Q479=$O$5)),1,0)))</f>
        <v>0</v>
      </c>
      <c r="W479" s="27">
        <f>IF(AND(V479=1,OR(Control_Achizitii!$J479&lt;&gt;"DOSAR COMPLET",Control_Achizitii!$K479&lt;&gt;"")),ROW(),1000000000)</f>
        <v>1000000000</v>
      </c>
      <c r="X479" s="27">
        <f>IF(AND(V479=1,LEFT(Control_Achizitii!$E479,4)="Fact",NOT(ISNUMBER(Control_Achizitii!$P479))),1,0)</f>
        <v>0</v>
      </c>
      <c r="Y479" s="27">
        <f>IF(V479=0,0,IF(Control_Achizitii!$J479="DOSAR COMPLET",1,IF(LEFT(Control_Achizitii!$J479,9)="INCOMPLET",2,3)))</f>
        <v>0</v>
      </c>
      <c r="Z479" s="27"/>
      <c r="AA479" s="27"/>
      <c r="AB479" s="27"/>
      <c r="AC479" s="27"/>
      <c r="AD479" s="27"/>
      <c r="AE479" s="27"/>
      <c r="AF479" s="27"/>
      <c r="AG479" s="27"/>
      <c r="AH479" s="27">
        <f>IF(AND(V479=1,Control_Achizitii!$J479="DOSAR COMPLET",Control_Achizitii!$K479&lt;&gt;""),1,0)</f>
        <v>0</v>
      </c>
    </row>
    <row r="480" spans="1:34">
      <c r="A480" s="27"/>
      <c r="B480" s="27"/>
      <c r="C480" s="27"/>
      <c r="D480" s="27"/>
      <c r="E480" s="27"/>
      <c r="F480" s="27"/>
      <c r="G480" s="27"/>
      <c r="H480" s="27"/>
      <c r="I480" s="27"/>
      <c r="J480" s="27"/>
      <c r="K480" s="27"/>
      <c r="L480" s="27"/>
      <c r="M480" s="27"/>
      <c r="N480" s="27"/>
      <c r="O480" s="27"/>
      <c r="P480" s="27"/>
      <c r="Q480" s="27"/>
      <c r="R480" s="27"/>
      <c r="S480" s="27"/>
      <c r="T480" s="27">
        <f>IF(LEFT(Control_Achizitii!$E480,4)="Fact",1,0)</f>
        <v>0</v>
      </c>
      <c r="U480" s="27">
        <f>IF(Control_Achizitii!$C480="",0,IF(ISNUMBER(Control_Achizitii!$B480),0,1))</f>
        <v>0</v>
      </c>
      <c r="V480" s="27">
        <f>IF(Control_Achizitii!$C480="",0,IF($Z$2&lt;&gt;"OK",0,IF(AND(ISNUMBER(Control_Achizitii!$B480),Control_Achizitii!$B480&gt;=$E$5,Control_Achizitii!$B480&lt;$J$5+1,OR($O$5="Toate proiectele",Control_Achizitii!$Q480=$O$5)),1,0)))</f>
        <v>0</v>
      </c>
      <c r="W480" s="27">
        <f>IF(AND(V480=1,OR(Control_Achizitii!$J480&lt;&gt;"DOSAR COMPLET",Control_Achizitii!$K480&lt;&gt;"")),ROW(),1000000000)</f>
        <v>1000000000</v>
      </c>
      <c r="X480" s="27">
        <f>IF(AND(V480=1,LEFT(Control_Achizitii!$E480,4)="Fact",NOT(ISNUMBER(Control_Achizitii!$P480))),1,0)</f>
        <v>0</v>
      </c>
      <c r="Y480" s="27">
        <f>IF(V480=0,0,IF(Control_Achizitii!$J480="DOSAR COMPLET",1,IF(LEFT(Control_Achizitii!$J480,9)="INCOMPLET",2,3)))</f>
        <v>0</v>
      </c>
      <c r="Z480" s="27"/>
      <c r="AA480" s="27"/>
      <c r="AB480" s="27"/>
      <c r="AC480" s="27"/>
      <c r="AD480" s="27"/>
      <c r="AE480" s="27"/>
      <c r="AF480" s="27"/>
      <c r="AG480" s="27"/>
      <c r="AH480" s="27">
        <f>IF(AND(V480=1,Control_Achizitii!$J480="DOSAR COMPLET",Control_Achizitii!$K480&lt;&gt;""),1,0)</f>
        <v>0</v>
      </c>
    </row>
    <row r="481" spans="1:34">
      <c r="A481" s="27"/>
      <c r="B481" s="27"/>
      <c r="C481" s="27"/>
      <c r="D481" s="27"/>
      <c r="E481" s="27"/>
      <c r="F481" s="27"/>
      <c r="G481" s="27"/>
      <c r="H481" s="27"/>
      <c r="I481" s="27"/>
      <c r="J481" s="27"/>
      <c r="K481" s="27"/>
      <c r="L481" s="27"/>
      <c r="M481" s="27"/>
      <c r="N481" s="27"/>
      <c r="O481" s="27"/>
      <c r="P481" s="27"/>
      <c r="Q481" s="27"/>
      <c r="R481" s="27"/>
      <c r="S481" s="27"/>
      <c r="T481" s="27">
        <f>IF(LEFT(Control_Achizitii!$E481,4)="Fact",1,0)</f>
        <v>0</v>
      </c>
      <c r="U481" s="27">
        <f>IF(Control_Achizitii!$C481="",0,IF(ISNUMBER(Control_Achizitii!$B481),0,1))</f>
        <v>0</v>
      </c>
      <c r="V481" s="27">
        <f>IF(Control_Achizitii!$C481="",0,IF($Z$2&lt;&gt;"OK",0,IF(AND(ISNUMBER(Control_Achizitii!$B481),Control_Achizitii!$B481&gt;=$E$5,Control_Achizitii!$B481&lt;$J$5+1,OR($O$5="Toate proiectele",Control_Achizitii!$Q481=$O$5)),1,0)))</f>
        <v>0</v>
      </c>
      <c r="W481" s="27">
        <f>IF(AND(V481=1,OR(Control_Achizitii!$J481&lt;&gt;"DOSAR COMPLET",Control_Achizitii!$K481&lt;&gt;"")),ROW(),1000000000)</f>
        <v>1000000000</v>
      </c>
      <c r="X481" s="27">
        <f>IF(AND(V481=1,LEFT(Control_Achizitii!$E481,4)="Fact",NOT(ISNUMBER(Control_Achizitii!$P481))),1,0)</f>
        <v>0</v>
      </c>
      <c r="Y481" s="27">
        <f>IF(V481=0,0,IF(Control_Achizitii!$J481="DOSAR COMPLET",1,IF(LEFT(Control_Achizitii!$J481,9)="INCOMPLET",2,3)))</f>
        <v>0</v>
      </c>
      <c r="Z481" s="27"/>
      <c r="AA481" s="27"/>
      <c r="AB481" s="27"/>
      <c r="AC481" s="27"/>
      <c r="AD481" s="27"/>
      <c r="AE481" s="27"/>
      <c r="AF481" s="27"/>
      <c r="AG481" s="27"/>
      <c r="AH481" s="27">
        <f>IF(AND(V481=1,Control_Achizitii!$J481="DOSAR COMPLET",Control_Achizitii!$K481&lt;&gt;""),1,0)</f>
        <v>0</v>
      </c>
    </row>
    <row r="482" spans="1:34">
      <c r="A482" s="27"/>
      <c r="B482" s="27"/>
      <c r="C482" s="27"/>
      <c r="D482" s="27"/>
      <c r="E482" s="27"/>
      <c r="F482" s="27"/>
      <c r="G482" s="27"/>
      <c r="H482" s="27"/>
      <c r="I482" s="27"/>
      <c r="J482" s="27"/>
      <c r="K482" s="27"/>
      <c r="L482" s="27"/>
      <c r="M482" s="27"/>
      <c r="N482" s="27"/>
      <c r="O482" s="27"/>
      <c r="P482" s="27"/>
      <c r="Q482" s="27"/>
      <c r="R482" s="27"/>
      <c r="S482" s="27"/>
      <c r="T482" s="27">
        <f>IF(LEFT(Control_Achizitii!$E482,4)="Fact",1,0)</f>
        <v>0</v>
      </c>
      <c r="U482" s="27">
        <f>IF(Control_Achizitii!$C482="",0,IF(ISNUMBER(Control_Achizitii!$B482),0,1))</f>
        <v>0</v>
      </c>
      <c r="V482" s="27">
        <f>IF(Control_Achizitii!$C482="",0,IF($Z$2&lt;&gt;"OK",0,IF(AND(ISNUMBER(Control_Achizitii!$B482),Control_Achizitii!$B482&gt;=$E$5,Control_Achizitii!$B482&lt;$J$5+1,OR($O$5="Toate proiectele",Control_Achizitii!$Q482=$O$5)),1,0)))</f>
        <v>0</v>
      </c>
      <c r="W482" s="27">
        <f>IF(AND(V482=1,OR(Control_Achizitii!$J482&lt;&gt;"DOSAR COMPLET",Control_Achizitii!$K482&lt;&gt;"")),ROW(),1000000000)</f>
        <v>1000000000</v>
      </c>
      <c r="X482" s="27">
        <f>IF(AND(V482=1,LEFT(Control_Achizitii!$E482,4)="Fact",NOT(ISNUMBER(Control_Achizitii!$P482))),1,0)</f>
        <v>0</v>
      </c>
      <c r="Y482" s="27">
        <f>IF(V482=0,0,IF(Control_Achizitii!$J482="DOSAR COMPLET",1,IF(LEFT(Control_Achizitii!$J482,9)="INCOMPLET",2,3)))</f>
        <v>0</v>
      </c>
      <c r="Z482" s="27"/>
      <c r="AA482" s="27"/>
      <c r="AB482" s="27"/>
      <c r="AC482" s="27"/>
      <c r="AD482" s="27"/>
      <c r="AE482" s="27"/>
      <c r="AF482" s="27"/>
      <c r="AG482" s="27"/>
      <c r="AH482" s="27">
        <f>IF(AND(V482=1,Control_Achizitii!$J482="DOSAR COMPLET",Control_Achizitii!$K482&lt;&gt;""),1,0)</f>
        <v>0</v>
      </c>
    </row>
    <row r="483" spans="1:34">
      <c r="A483" s="27"/>
      <c r="B483" s="27"/>
      <c r="C483" s="27"/>
      <c r="D483" s="27"/>
      <c r="E483" s="27"/>
      <c r="F483" s="27"/>
      <c r="G483" s="27"/>
      <c r="H483" s="27"/>
      <c r="I483" s="27"/>
      <c r="J483" s="27"/>
      <c r="K483" s="27"/>
      <c r="L483" s="27"/>
      <c r="M483" s="27"/>
      <c r="N483" s="27"/>
      <c r="O483" s="27"/>
      <c r="P483" s="27"/>
      <c r="Q483" s="27"/>
      <c r="R483" s="27"/>
      <c r="S483" s="27"/>
      <c r="T483" s="27">
        <f>IF(LEFT(Control_Achizitii!$E483,4)="Fact",1,0)</f>
        <v>0</v>
      </c>
      <c r="U483" s="27">
        <f>IF(Control_Achizitii!$C483="",0,IF(ISNUMBER(Control_Achizitii!$B483),0,1))</f>
        <v>0</v>
      </c>
      <c r="V483" s="27">
        <f>IF(Control_Achizitii!$C483="",0,IF($Z$2&lt;&gt;"OK",0,IF(AND(ISNUMBER(Control_Achizitii!$B483),Control_Achizitii!$B483&gt;=$E$5,Control_Achizitii!$B483&lt;$J$5+1,OR($O$5="Toate proiectele",Control_Achizitii!$Q483=$O$5)),1,0)))</f>
        <v>0</v>
      </c>
      <c r="W483" s="27">
        <f>IF(AND(V483=1,OR(Control_Achizitii!$J483&lt;&gt;"DOSAR COMPLET",Control_Achizitii!$K483&lt;&gt;"")),ROW(),1000000000)</f>
        <v>1000000000</v>
      </c>
      <c r="X483" s="27">
        <f>IF(AND(V483=1,LEFT(Control_Achizitii!$E483,4)="Fact",NOT(ISNUMBER(Control_Achizitii!$P483))),1,0)</f>
        <v>0</v>
      </c>
      <c r="Y483" s="27">
        <f>IF(V483=0,0,IF(Control_Achizitii!$J483="DOSAR COMPLET",1,IF(LEFT(Control_Achizitii!$J483,9)="INCOMPLET",2,3)))</f>
        <v>0</v>
      </c>
      <c r="Z483" s="27"/>
      <c r="AA483" s="27"/>
      <c r="AB483" s="27"/>
      <c r="AC483" s="27"/>
      <c r="AD483" s="27"/>
      <c r="AE483" s="27"/>
      <c r="AF483" s="27"/>
      <c r="AG483" s="27"/>
      <c r="AH483" s="27">
        <f>IF(AND(V483=1,Control_Achizitii!$J483="DOSAR COMPLET",Control_Achizitii!$K483&lt;&gt;""),1,0)</f>
        <v>0</v>
      </c>
    </row>
    <row r="484" spans="1:34">
      <c r="A484" s="27"/>
      <c r="B484" s="27"/>
      <c r="C484" s="27"/>
      <c r="D484" s="27"/>
      <c r="E484" s="27"/>
      <c r="F484" s="27"/>
      <c r="G484" s="27"/>
      <c r="H484" s="27"/>
      <c r="I484" s="27"/>
      <c r="J484" s="27"/>
      <c r="K484" s="27"/>
      <c r="L484" s="27"/>
      <c r="M484" s="27"/>
      <c r="N484" s="27"/>
      <c r="O484" s="27"/>
      <c r="P484" s="27"/>
      <c r="Q484" s="27"/>
      <c r="R484" s="27"/>
      <c r="S484" s="27"/>
      <c r="T484" s="27">
        <f>IF(LEFT(Control_Achizitii!$E484,4)="Fact",1,0)</f>
        <v>0</v>
      </c>
      <c r="U484" s="27">
        <f>IF(Control_Achizitii!$C484="",0,IF(ISNUMBER(Control_Achizitii!$B484),0,1))</f>
        <v>0</v>
      </c>
      <c r="V484" s="27">
        <f>IF(Control_Achizitii!$C484="",0,IF($Z$2&lt;&gt;"OK",0,IF(AND(ISNUMBER(Control_Achizitii!$B484),Control_Achizitii!$B484&gt;=$E$5,Control_Achizitii!$B484&lt;$J$5+1,OR($O$5="Toate proiectele",Control_Achizitii!$Q484=$O$5)),1,0)))</f>
        <v>0</v>
      </c>
      <c r="W484" s="27">
        <f>IF(AND(V484=1,OR(Control_Achizitii!$J484&lt;&gt;"DOSAR COMPLET",Control_Achizitii!$K484&lt;&gt;"")),ROW(),1000000000)</f>
        <v>1000000000</v>
      </c>
      <c r="X484" s="27">
        <f>IF(AND(V484=1,LEFT(Control_Achizitii!$E484,4)="Fact",NOT(ISNUMBER(Control_Achizitii!$P484))),1,0)</f>
        <v>0</v>
      </c>
      <c r="Y484" s="27">
        <f>IF(V484=0,0,IF(Control_Achizitii!$J484="DOSAR COMPLET",1,IF(LEFT(Control_Achizitii!$J484,9)="INCOMPLET",2,3)))</f>
        <v>0</v>
      </c>
      <c r="Z484" s="27"/>
      <c r="AA484" s="27"/>
      <c r="AB484" s="27"/>
      <c r="AC484" s="27"/>
      <c r="AD484" s="27"/>
      <c r="AE484" s="27"/>
      <c r="AF484" s="27"/>
      <c r="AG484" s="27"/>
      <c r="AH484" s="27">
        <f>IF(AND(V484=1,Control_Achizitii!$J484="DOSAR COMPLET",Control_Achizitii!$K484&lt;&gt;""),1,0)</f>
        <v>0</v>
      </c>
    </row>
    <row r="485" spans="1:34">
      <c r="A485" s="27"/>
      <c r="B485" s="27"/>
      <c r="C485" s="27"/>
      <c r="D485" s="27"/>
      <c r="E485" s="27"/>
      <c r="F485" s="27"/>
      <c r="G485" s="27"/>
      <c r="H485" s="27"/>
      <c r="I485" s="27"/>
      <c r="J485" s="27"/>
      <c r="K485" s="27"/>
      <c r="L485" s="27"/>
      <c r="M485" s="27"/>
      <c r="N485" s="27"/>
      <c r="O485" s="27"/>
      <c r="P485" s="27"/>
      <c r="Q485" s="27"/>
      <c r="R485" s="27"/>
      <c r="S485" s="27"/>
      <c r="T485" s="27">
        <f>IF(LEFT(Control_Achizitii!$E485,4)="Fact",1,0)</f>
        <v>0</v>
      </c>
      <c r="U485" s="27">
        <f>IF(Control_Achizitii!$C485="",0,IF(ISNUMBER(Control_Achizitii!$B485),0,1))</f>
        <v>0</v>
      </c>
      <c r="V485" s="27">
        <f>IF(Control_Achizitii!$C485="",0,IF($Z$2&lt;&gt;"OK",0,IF(AND(ISNUMBER(Control_Achizitii!$B485),Control_Achizitii!$B485&gt;=$E$5,Control_Achizitii!$B485&lt;$J$5+1,OR($O$5="Toate proiectele",Control_Achizitii!$Q485=$O$5)),1,0)))</f>
        <v>0</v>
      </c>
      <c r="W485" s="27">
        <f>IF(AND(V485=1,OR(Control_Achizitii!$J485&lt;&gt;"DOSAR COMPLET",Control_Achizitii!$K485&lt;&gt;"")),ROW(),1000000000)</f>
        <v>1000000000</v>
      </c>
      <c r="X485" s="27">
        <f>IF(AND(V485=1,LEFT(Control_Achizitii!$E485,4)="Fact",NOT(ISNUMBER(Control_Achizitii!$P485))),1,0)</f>
        <v>0</v>
      </c>
      <c r="Y485" s="27">
        <f>IF(V485=0,0,IF(Control_Achizitii!$J485="DOSAR COMPLET",1,IF(LEFT(Control_Achizitii!$J485,9)="INCOMPLET",2,3)))</f>
        <v>0</v>
      </c>
      <c r="Z485" s="27"/>
      <c r="AA485" s="27"/>
      <c r="AB485" s="27"/>
      <c r="AC485" s="27"/>
      <c r="AD485" s="27"/>
      <c r="AE485" s="27"/>
      <c r="AF485" s="27"/>
      <c r="AG485" s="27"/>
      <c r="AH485" s="27">
        <f>IF(AND(V485=1,Control_Achizitii!$J485="DOSAR COMPLET",Control_Achizitii!$K485&lt;&gt;""),1,0)</f>
        <v>0</v>
      </c>
    </row>
    <row r="486" spans="1:34">
      <c r="A486" s="27"/>
      <c r="B486" s="27"/>
      <c r="C486" s="27"/>
      <c r="D486" s="27"/>
      <c r="E486" s="27"/>
      <c r="F486" s="27"/>
      <c r="G486" s="27"/>
      <c r="H486" s="27"/>
      <c r="I486" s="27"/>
      <c r="J486" s="27"/>
      <c r="K486" s="27"/>
      <c r="L486" s="27"/>
      <c r="M486" s="27"/>
      <c r="N486" s="27"/>
      <c r="O486" s="27"/>
      <c r="P486" s="27"/>
      <c r="Q486" s="27"/>
      <c r="R486" s="27"/>
      <c r="S486" s="27"/>
      <c r="T486" s="27">
        <f>IF(LEFT(Control_Achizitii!$E486,4)="Fact",1,0)</f>
        <v>0</v>
      </c>
      <c r="U486" s="27">
        <f>IF(Control_Achizitii!$C486="",0,IF(ISNUMBER(Control_Achizitii!$B486),0,1))</f>
        <v>0</v>
      </c>
      <c r="V486" s="27">
        <f>IF(Control_Achizitii!$C486="",0,IF($Z$2&lt;&gt;"OK",0,IF(AND(ISNUMBER(Control_Achizitii!$B486),Control_Achizitii!$B486&gt;=$E$5,Control_Achizitii!$B486&lt;$J$5+1,OR($O$5="Toate proiectele",Control_Achizitii!$Q486=$O$5)),1,0)))</f>
        <v>0</v>
      </c>
      <c r="W486" s="27">
        <f>IF(AND(V486=1,OR(Control_Achizitii!$J486&lt;&gt;"DOSAR COMPLET",Control_Achizitii!$K486&lt;&gt;"")),ROW(),1000000000)</f>
        <v>1000000000</v>
      </c>
      <c r="X486" s="27">
        <f>IF(AND(V486=1,LEFT(Control_Achizitii!$E486,4)="Fact",NOT(ISNUMBER(Control_Achizitii!$P486))),1,0)</f>
        <v>0</v>
      </c>
      <c r="Y486" s="27">
        <f>IF(V486=0,0,IF(Control_Achizitii!$J486="DOSAR COMPLET",1,IF(LEFT(Control_Achizitii!$J486,9)="INCOMPLET",2,3)))</f>
        <v>0</v>
      </c>
      <c r="Z486" s="27"/>
      <c r="AA486" s="27"/>
      <c r="AB486" s="27"/>
      <c r="AC486" s="27"/>
      <c r="AD486" s="27"/>
      <c r="AE486" s="27"/>
      <c r="AF486" s="27"/>
      <c r="AG486" s="27"/>
      <c r="AH486" s="27">
        <f>IF(AND(V486=1,Control_Achizitii!$J486="DOSAR COMPLET",Control_Achizitii!$K486&lt;&gt;""),1,0)</f>
        <v>0</v>
      </c>
    </row>
    <row r="487" spans="1:34">
      <c r="A487" s="27"/>
      <c r="B487" s="27"/>
      <c r="C487" s="27"/>
      <c r="D487" s="27"/>
      <c r="E487" s="27"/>
      <c r="F487" s="27"/>
      <c r="G487" s="27"/>
      <c r="H487" s="27"/>
      <c r="I487" s="27"/>
      <c r="J487" s="27"/>
      <c r="K487" s="27"/>
      <c r="L487" s="27"/>
      <c r="M487" s="27"/>
      <c r="N487" s="27"/>
      <c r="O487" s="27"/>
      <c r="P487" s="27"/>
      <c r="Q487" s="27"/>
      <c r="R487" s="27"/>
      <c r="S487" s="27"/>
      <c r="T487" s="27">
        <f>IF(LEFT(Control_Achizitii!$E487,4)="Fact",1,0)</f>
        <v>0</v>
      </c>
      <c r="U487" s="27">
        <f>IF(Control_Achizitii!$C487="",0,IF(ISNUMBER(Control_Achizitii!$B487),0,1))</f>
        <v>0</v>
      </c>
      <c r="V487" s="27">
        <f>IF(Control_Achizitii!$C487="",0,IF($Z$2&lt;&gt;"OK",0,IF(AND(ISNUMBER(Control_Achizitii!$B487),Control_Achizitii!$B487&gt;=$E$5,Control_Achizitii!$B487&lt;$J$5+1,OR($O$5="Toate proiectele",Control_Achizitii!$Q487=$O$5)),1,0)))</f>
        <v>0</v>
      </c>
      <c r="W487" s="27">
        <f>IF(AND(V487=1,OR(Control_Achizitii!$J487&lt;&gt;"DOSAR COMPLET",Control_Achizitii!$K487&lt;&gt;"")),ROW(),1000000000)</f>
        <v>1000000000</v>
      </c>
      <c r="X487" s="27">
        <f>IF(AND(V487=1,LEFT(Control_Achizitii!$E487,4)="Fact",NOT(ISNUMBER(Control_Achizitii!$P487))),1,0)</f>
        <v>0</v>
      </c>
      <c r="Y487" s="27">
        <f>IF(V487=0,0,IF(Control_Achizitii!$J487="DOSAR COMPLET",1,IF(LEFT(Control_Achizitii!$J487,9)="INCOMPLET",2,3)))</f>
        <v>0</v>
      </c>
      <c r="Z487" s="27"/>
      <c r="AA487" s="27"/>
      <c r="AB487" s="27"/>
      <c r="AC487" s="27"/>
      <c r="AD487" s="27"/>
      <c r="AE487" s="27"/>
      <c r="AF487" s="27"/>
      <c r="AG487" s="27"/>
      <c r="AH487" s="27">
        <f>IF(AND(V487=1,Control_Achizitii!$J487="DOSAR COMPLET",Control_Achizitii!$K487&lt;&gt;""),1,0)</f>
        <v>0</v>
      </c>
    </row>
    <row r="488" spans="1:34">
      <c r="A488" s="27"/>
      <c r="B488" s="27"/>
      <c r="C488" s="27"/>
      <c r="D488" s="27"/>
      <c r="E488" s="27"/>
      <c r="F488" s="27"/>
      <c r="G488" s="27"/>
      <c r="H488" s="27"/>
      <c r="I488" s="27"/>
      <c r="J488" s="27"/>
      <c r="K488" s="27"/>
      <c r="L488" s="27"/>
      <c r="M488" s="27"/>
      <c r="N488" s="27"/>
      <c r="O488" s="27"/>
      <c r="P488" s="27"/>
      <c r="Q488" s="27"/>
      <c r="R488" s="27"/>
      <c r="S488" s="27"/>
      <c r="T488" s="27">
        <f>IF(LEFT(Control_Achizitii!$E488,4)="Fact",1,0)</f>
        <v>0</v>
      </c>
      <c r="U488" s="27">
        <f>IF(Control_Achizitii!$C488="",0,IF(ISNUMBER(Control_Achizitii!$B488),0,1))</f>
        <v>0</v>
      </c>
      <c r="V488" s="27">
        <f>IF(Control_Achizitii!$C488="",0,IF($Z$2&lt;&gt;"OK",0,IF(AND(ISNUMBER(Control_Achizitii!$B488),Control_Achizitii!$B488&gt;=$E$5,Control_Achizitii!$B488&lt;$J$5+1,OR($O$5="Toate proiectele",Control_Achizitii!$Q488=$O$5)),1,0)))</f>
        <v>0</v>
      </c>
      <c r="W488" s="27">
        <f>IF(AND(V488=1,OR(Control_Achizitii!$J488&lt;&gt;"DOSAR COMPLET",Control_Achizitii!$K488&lt;&gt;"")),ROW(),1000000000)</f>
        <v>1000000000</v>
      </c>
      <c r="X488" s="27">
        <f>IF(AND(V488=1,LEFT(Control_Achizitii!$E488,4)="Fact",NOT(ISNUMBER(Control_Achizitii!$P488))),1,0)</f>
        <v>0</v>
      </c>
      <c r="Y488" s="27">
        <f>IF(V488=0,0,IF(Control_Achizitii!$J488="DOSAR COMPLET",1,IF(LEFT(Control_Achizitii!$J488,9)="INCOMPLET",2,3)))</f>
        <v>0</v>
      </c>
      <c r="Z488" s="27"/>
      <c r="AA488" s="27"/>
      <c r="AB488" s="27"/>
      <c r="AC488" s="27"/>
      <c r="AD488" s="27"/>
      <c r="AE488" s="27"/>
      <c r="AF488" s="27"/>
      <c r="AG488" s="27"/>
      <c r="AH488" s="27">
        <f>IF(AND(V488=1,Control_Achizitii!$J488="DOSAR COMPLET",Control_Achizitii!$K488&lt;&gt;""),1,0)</f>
        <v>0</v>
      </c>
    </row>
    <row r="489" spans="1:34">
      <c r="A489" s="27"/>
      <c r="B489" s="27"/>
      <c r="C489" s="27"/>
      <c r="D489" s="27"/>
      <c r="E489" s="27"/>
      <c r="F489" s="27"/>
      <c r="G489" s="27"/>
      <c r="H489" s="27"/>
      <c r="I489" s="27"/>
      <c r="J489" s="27"/>
      <c r="K489" s="27"/>
      <c r="L489" s="27"/>
      <c r="M489" s="27"/>
      <c r="N489" s="27"/>
      <c r="O489" s="27"/>
      <c r="P489" s="27"/>
      <c r="Q489" s="27"/>
      <c r="R489" s="27"/>
      <c r="S489" s="27"/>
      <c r="T489" s="27">
        <f>IF(LEFT(Control_Achizitii!$E489,4)="Fact",1,0)</f>
        <v>0</v>
      </c>
      <c r="U489" s="27">
        <f>IF(Control_Achizitii!$C489="",0,IF(ISNUMBER(Control_Achizitii!$B489),0,1))</f>
        <v>0</v>
      </c>
      <c r="V489" s="27">
        <f>IF(Control_Achizitii!$C489="",0,IF($Z$2&lt;&gt;"OK",0,IF(AND(ISNUMBER(Control_Achizitii!$B489),Control_Achizitii!$B489&gt;=$E$5,Control_Achizitii!$B489&lt;$J$5+1,OR($O$5="Toate proiectele",Control_Achizitii!$Q489=$O$5)),1,0)))</f>
        <v>0</v>
      </c>
      <c r="W489" s="27">
        <f>IF(AND(V489=1,OR(Control_Achizitii!$J489&lt;&gt;"DOSAR COMPLET",Control_Achizitii!$K489&lt;&gt;"")),ROW(),1000000000)</f>
        <v>1000000000</v>
      </c>
      <c r="X489" s="27">
        <f>IF(AND(V489=1,LEFT(Control_Achizitii!$E489,4)="Fact",NOT(ISNUMBER(Control_Achizitii!$P489))),1,0)</f>
        <v>0</v>
      </c>
      <c r="Y489" s="27">
        <f>IF(V489=0,0,IF(Control_Achizitii!$J489="DOSAR COMPLET",1,IF(LEFT(Control_Achizitii!$J489,9)="INCOMPLET",2,3)))</f>
        <v>0</v>
      </c>
      <c r="Z489" s="27"/>
      <c r="AA489" s="27"/>
      <c r="AB489" s="27"/>
      <c r="AC489" s="27"/>
      <c r="AD489" s="27"/>
      <c r="AE489" s="27"/>
      <c r="AF489" s="27"/>
      <c r="AG489" s="27"/>
      <c r="AH489" s="27">
        <f>IF(AND(V489=1,Control_Achizitii!$J489="DOSAR COMPLET",Control_Achizitii!$K489&lt;&gt;""),1,0)</f>
        <v>0</v>
      </c>
    </row>
    <row r="490" spans="1:34">
      <c r="A490" s="27"/>
      <c r="B490" s="27"/>
      <c r="C490" s="27"/>
      <c r="D490" s="27"/>
      <c r="E490" s="27"/>
      <c r="F490" s="27"/>
      <c r="G490" s="27"/>
      <c r="H490" s="27"/>
      <c r="I490" s="27"/>
      <c r="J490" s="27"/>
      <c r="K490" s="27"/>
      <c r="L490" s="27"/>
      <c r="M490" s="27"/>
      <c r="N490" s="27"/>
      <c r="O490" s="27"/>
      <c r="P490" s="27"/>
      <c r="Q490" s="27"/>
      <c r="R490" s="27"/>
      <c r="S490" s="27"/>
      <c r="T490" s="27">
        <f>IF(LEFT(Control_Achizitii!$E490,4)="Fact",1,0)</f>
        <v>0</v>
      </c>
      <c r="U490" s="27">
        <f>IF(Control_Achizitii!$C490="",0,IF(ISNUMBER(Control_Achizitii!$B490),0,1))</f>
        <v>0</v>
      </c>
      <c r="V490" s="27">
        <f>IF(Control_Achizitii!$C490="",0,IF($Z$2&lt;&gt;"OK",0,IF(AND(ISNUMBER(Control_Achizitii!$B490),Control_Achizitii!$B490&gt;=$E$5,Control_Achizitii!$B490&lt;$J$5+1,OR($O$5="Toate proiectele",Control_Achizitii!$Q490=$O$5)),1,0)))</f>
        <v>0</v>
      </c>
      <c r="W490" s="27">
        <f>IF(AND(V490=1,OR(Control_Achizitii!$J490&lt;&gt;"DOSAR COMPLET",Control_Achizitii!$K490&lt;&gt;"")),ROW(),1000000000)</f>
        <v>1000000000</v>
      </c>
      <c r="X490" s="27">
        <f>IF(AND(V490=1,LEFT(Control_Achizitii!$E490,4)="Fact",NOT(ISNUMBER(Control_Achizitii!$P490))),1,0)</f>
        <v>0</v>
      </c>
      <c r="Y490" s="27">
        <f>IF(V490=0,0,IF(Control_Achizitii!$J490="DOSAR COMPLET",1,IF(LEFT(Control_Achizitii!$J490,9)="INCOMPLET",2,3)))</f>
        <v>0</v>
      </c>
      <c r="Z490" s="27"/>
      <c r="AA490" s="27"/>
      <c r="AB490" s="27"/>
      <c r="AC490" s="27"/>
      <c r="AD490" s="27"/>
      <c r="AE490" s="27"/>
      <c r="AF490" s="27"/>
      <c r="AG490" s="27"/>
      <c r="AH490" s="27">
        <f>IF(AND(V490=1,Control_Achizitii!$J490="DOSAR COMPLET",Control_Achizitii!$K490&lt;&gt;""),1,0)</f>
        <v>0</v>
      </c>
    </row>
    <row r="491" spans="1:34">
      <c r="A491" s="27"/>
      <c r="B491" s="27"/>
      <c r="C491" s="27"/>
      <c r="D491" s="27"/>
      <c r="E491" s="27"/>
      <c r="F491" s="27"/>
      <c r="G491" s="27"/>
      <c r="H491" s="27"/>
      <c r="I491" s="27"/>
      <c r="J491" s="27"/>
      <c r="K491" s="27"/>
      <c r="L491" s="27"/>
      <c r="M491" s="27"/>
      <c r="N491" s="27"/>
      <c r="O491" s="27"/>
      <c r="P491" s="27"/>
      <c r="Q491" s="27"/>
      <c r="R491" s="27"/>
      <c r="S491" s="27"/>
      <c r="T491" s="27">
        <f>IF(LEFT(Control_Achizitii!$E491,4)="Fact",1,0)</f>
        <v>0</v>
      </c>
      <c r="U491" s="27">
        <f>IF(Control_Achizitii!$C491="",0,IF(ISNUMBER(Control_Achizitii!$B491),0,1))</f>
        <v>0</v>
      </c>
      <c r="V491" s="27">
        <f>IF(Control_Achizitii!$C491="",0,IF($Z$2&lt;&gt;"OK",0,IF(AND(ISNUMBER(Control_Achizitii!$B491),Control_Achizitii!$B491&gt;=$E$5,Control_Achizitii!$B491&lt;$J$5+1,OR($O$5="Toate proiectele",Control_Achizitii!$Q491=$O$5)),1,0)))</f>
        <v>0</v>
      </c>
      <c r="W491" s="27">
        <f>IF(AND(V491=1,OR(Control_Achizitii!$J491&lt;&gt;"DOSAR COMPLET",Control_Achizitii!$K491&lt;&gt;"")),ROW(),1000000000)</f>
        <v>1000000000</v>
      </c>
      <c r="X491" s="27">
        <f>IF(AND(V491=1,LEFT(Control_Achizitii!$E491,4)="Fact",NOT(ISNUMBER(Control_Achizitii!$P491))),1,0)</f>
        <v>0</v>
      </c>
      <c r="Y491" s="27">
        <f>IF(V491=0,0,IF(Control_Achizitii!$J491="DOSAR COMPLET",1,IF(LEFT(Control_Achizitii!$J491,9)="INCOMPLET",2,3)))</f>
        <v>0</v>
      </c>
      <c r="Z491" s="27"/>
      <c r="AA491" s="27"/>
      <c r="AB491" s="27"/>
      <c r="AC491" s="27"/>
      <c r="AD491" s="27"/>
      <c r="AE491" s="27"/>
      <c r="AF491" s="27"/>
      <c r="AG491" s="27"/>
      <c r="AH491" s="27">
        <f>IF(AND(V491=1,Control_Achizitii!$J491="DOSAR COMPLET",Control_Achizitii!$K491&lt;&gt;""),1,0)</f>
        <v>0</v>
      </c>
    </row>
    <row r="492" spans="1:34">
      <c r="A492" s="27"/>
      <c r="B492" s="27"/>
      <c r="C492" s="27"/>
      <c r="D492" s="27"/>
      <c r="E492" s="27"/>
      <c r="F492" s="27"/>
      <c r="G492" s="27"/>
      <c r="H492" s="27"/>
      <c r="I492" s="27"/>
      <c r="J492" s="27"/>
      <c r="K492" s="27"/>
      <c r="L492" s="27"/>
      <c r="M492" s="27"/>
      <c r="N492" s="27"/>
      <c r="O492" s="27"/>
      <c r="P492" s="27"/>
      <c r="Q492" s="27"/>
      <c r="R492" s="27"/>
      <c r="S492" s="27"/>
      <c r="T492" s="27">
        <f>IF(LEFT(Control_Achizitii!$E492,4)="Fact",1,0)</f>
        <v>0</v>
      </c>
      <c r="U492" s="27">
        <f>IF(Control_Achizitii!$C492="",0,IF(ISNUMBER(Control_Achizitii!$B492),0,1))</f>
        <v>0</v>
      </c>
      <c r="V492" s="27">
        <f>IF(Control_Achizitii!$C492="",0,IF($Z$2&lt;&gt;"OK",0,IF(AND(ISNUMBER(Control_Achizitii!$B492),Control_Achizitii!$B492&gt;=$E$5,Control_Achizitii!$B492&lt;$J$5+1,OR($O$5="Toate proiectele",Control_Achizitii!$Q492=$O$5)),1,0)))</f>
        <v>0</v>
      </c>
      <c r="W492" s="27">
        <f>IF(AND(V492=1,OR(Control_Achizitii!$J492&lt;&gt;"DOSAR COMPLET",Control_Achizitii!$K492&lt;&gt;"")),ROW(),1000000000)</f>
        <v>1000000000</v>
      </c>
      <c r="X492" s="27">
        <f>IF(AND(V492=1,LEFT(Control_Achizitii!$E492,4)="Fact",NOT(ISNUMBER(Control_Achizitii!$P492))),1,0)</f>
        <v>0</v>
      </c>
      <c r="Y492" s="27">
        <f>IF(V492=0,0,IF(Control_Achizitii!$J492="DOSAR COMPLET",1,IF(LEFT(Control_Achizitii!$J492,9)="INCOMPLET",2,3)))</f>
        <v>0</v>
      </c>
      <c r="Z492" s="27"/>
      <c r="AA492" s="27"/>
      <c r="AB492" s="27"/>
      <c r="AC492" s="27"/>
      <c r="AD492" s="27"/>
      <c r="AE492" s="27"/>
      <c r="AF492" s="27"/>
      <c r="AG492" s="27"/>
      <c r="AH492" s="27">
        <f>IF(AND(V492=1,Control_Achizitii!$J492="DOSAR COMPLET",Control_Achizitii!$K492&lt;&gt;""),1,0)</f>
        <v>0</v>
      </c>
    </row>
    <row r="493" spans="1:34">
      <c r="A493" s="27"/>
      <c r="B493" s="27"/>
      <c r="C493" s="27"/>
      <c r="D493" s="27"/>
      <c r="E493" s="27"/>
      <c r="F493" s="27"/>
      <c r="G493" s="27"/>
      <c r="H493" s="27"/>
      <c r="I493" s="27"/>
      <c r="J493" s="27"/>
      <c r="K493" s="27"/>
      <c r="L493" s="27"/>
      <c r="M493" s="27"/>
      <c r="N493" s="27"/>
      <c r="O493" s="27"/>
      <c r="P493" s="27"/>
      <c r="Q493" s="27"/>
      <c r="R493" s="27"/>
      <c r="S493" s="27"/>
      <c r="T493" s="27">
        <f>IF(LEFT(Control_Achizitii!$E493,4)="Fact",1,0)</f>
        <v>0</v>
      </c>
      <c r="U493" s="27">
        <f>IF(Control_Achizitii!$C493="",0,IF(ISNUMBER(Control_Achizitii!$B493),0,1))</f>
        <v>0</v>
      </c>
      <c r="V493" s="27">
        <f>IF(Control_Achizitii!$C493="",0,IF($Z$2&lt;&gt;"OK",0,IF(AND(ISNUMBER(Control_Achizitii!$B493),Control_Achizitii!$B493&gt;=$E$5,Control_Achizitii!$B493&lt;$J$5+1,OR($O$5="Toate proiectele",Control_Achizitii!$Q493=$O$5)),1,0)))</f>
        <v>0</v>
      </c>
      <c r="W493" s="27">
        <f>IF(AND(V493=1,OR(Control_Achizitii!$J493&lt;&gt;"DOSAR COMPLET",Control_Achizitii!$K493&lt;&gt;"")),ROW(),1000000000)</f>
        <v>1000000000</v>
      </c>
      <c r="X493" s="27">
        <f>IF(AND(V493=1,LEFT(Control_Achizitii!$E493,4)="Fact",NOT(ISNUMBER(Control_Achizitii!$P493))),1,0)</f>
        <v>0</v>
      </c>
      <c r="Y493" s="27">
        <f>IF(V493=0,0,IF(Control_Achizitii!$J493="DOSAR COMPLET",1,IF(LEFT(Control_Achizitii!$J493,9)="INCOMPLET",2,3)))</f>
        <v>0</v>
      </c>
      <c r="Z493" s="27"/>
      <c r="AA493" s="27"/>
      <c r="AB493" s="27"/>
      <c r="AC493" s="27"/>
      <c r="AD493" s="27"/>
      <c r="AE493" s="27"/>
      <c r="AF493" s="27"/>
      <c r="AG493" s="27"/>
      <c r="AH493" s="27">
        <f>IF(AND(V493=1,Control_Achizitii!$J493="DOSAR COMPLET",Control_Achizitii!$K493&lt;&gt;""),1,0)</f>
        <v>0</v>
      </c>
    </row>
    <row r="494" spans="1:34">
      <c r="A494" s="27"/>
      <c r="B494" s="27"/>
      <c r="C494" s="27"/>
      <c r="D494" s="27"/>
      <c r="E494" s="27"/>
      <c r="F494" s="27"/>
      <c r="G494" s="27"/>
      <c r="H494" s="27"/>
      <c r="I494" s="27"/>
      <c r="J494" s="27"/>
      <c r="K494" s="27"/>
      <c r="L494" s="27"/>
      <c r="M494" s="27"/>
      <c r="N494" s="27"/>
      <c r="O494" s="27"/>
      <c r="P494" s="27"/>
      <c r="Q494" s="27"/>
      <c r="R494" s="27"/>
      <c r="S494" s="27"/>
      <c r="T494" s="27">
        <f>IF(LEFT(Control_Achizitii!$E494,4)="Fact",1,0)</f>
        <v>0</v>
      </c>
      <c r="U494" s="27">
        <f>IF(Control_Achizitii!$C494="",0,IF(ISNUMBER(Control_Achizitii!$B494),0,1))</f>
        <v>0</v>
      </c>
      <c r="V494" s="27">
        <f>IF(Control_Achizitii!$C494="",0,IF($Z$2&lt;&gt;"OK",0,IF(AND(ISNUMBER(Control_Achizitii!$B494),Control_Achizitii!$B494&gt;=$E$5,Control_Achizitii!$B494&lt;$J$5+1,OR($O$5="Toate proiectele",Control_Achizitii!$Q494=$O$5)),1,0)))</f>
        <v>0</v>
      </c>
      <c r="W494" s="27">
        <f>IF(AND(V494=1,OR(Control_Achizitii!$J494&lt;&gt;"DOSAR COMPLET",Control_Achizitii!$K494&lt;&gt;"")),ROW(),1000000000)</f>
        <v>1000000000</v>
      </c>
      <c r="X494" s="27">
        <f>IF(AND(V494=1,LEFT(Control_Achizitii!$E494,4)="Fact",NOT(ISNUMBER(Control_Achizitii!$P494))),1,0)</f>
        <v>0</v>
      </c>
      <c r="Y494" s="27">
        <f>IF(V494=0,0,IF(Control_Achizitii!$J494="DOSAR COMPLET",1,IF(LEFT(Control_Achizitii!$J494,9)="INCOMPLET",2,3)))</f>
        <v>0</v>
      </c>
      <c r="Z494" s="27"/>
      <c r="AA494" s="27"/>
      <c r="AB494" s="27"/>
      <c r="AC494" s="27"/>
      <c r="AD494" s="27"/>
      <c r="AE494" s="27"/>
      <c r="AF494" s="27"/>
      <c r="AG494" s="27"/>
      <c r="AH494" s="27">
        <f>IF(AND(V494=1,Control_Achizitii!$J494="DOSAR COMPLET",Control_Achizitii!$K494&lt;&gt;""),1,0)</f>
        <v>0</v>
      </c>
    </row>
    <row r="495" spans="1:34">
      <c r="A495" s="27"/>
      <c r="B495" s="27"/>
      <c r="C495" s="27"/>
      <c r="D495" s="27"/>
      <c r="E495" s="27"/>
      <c r="F495" s="27"/>
      <c r="G495" s="27"/>
      <c r="H495" s="27"/>
      <c r="I495" s="27"/>
      <c r="J495" s="27"/>
      <c r="K495" s="27"/>
      <c r="L495" s="27"/>
      <c r="M495" s="27"/>
      <c r="N495" s="27"/>
      <c r="O495" s="27"/>
      <c r="P495" s="27"/>
      <c r="Q495" s="27"/>
      <c r="R495" s="27"/>
      <c r="S495" s="27"/>
      <c r="T495" s="27">
        <f>IF(LEFT(Control_Achizitii!$E495,4)="Fact",1,0)</f>
        <v>0</v>
      </c>
      <c r="U495" s="27">
        <f>IF(Control_Achizitii!$C495="",0,IF(ISNUMBER(Control_Achizitii!$B495),0,1))</f>
        <v>0</v>
      </c>
      <c r="V495" s="27">
        <f>IF(Control_Achizitii!$C495="",0,IF($Z$2&lt;&gt;"OK",0,IF(AND(ISNUMBER(Control_Achizitii!$B495),Control_Achizitii!$B495&gt;=$E$5,Control_Achizitii!$B495&lt;$J$5+1,OR($O$5="Toate proiectele",Control_Achizitii!$Q495=$O$5)),1,0)))</f>
        <v>0</v>
      </c>
      <c r="W495" s="27">
        <f>IF(AND(V495=1,OR(Control_Achizitii!$J495&lt;&gt;"DOSAR COMPLET",Control_Achizitii!$K495&lt;&gt;"")),ROW(),1000000000)</f>
        <v>1000000000</v>
      </c>
      <c r="X495" s="27">
        <f>IF(AND(V495=1,LEFT(Control_Achizitii!$E495,4)="Fact",NOT(ISNUMBER(Control_Achizitii!$P495))),1,0)</f>
        <v>0</v>
      </c>
      <c r="Y495" s="27">
        <f>IF(V495=0,0,IF(Control_Achizitii!$J495="DOSAR COMPLET",1,IF(LEFT(Control_Achizitii!$J495,9)="INCOMPLET",2,3)))</f>
        <v>0</v>
      </c>
      <c r="Z495" s="27"/>
      <c r="AA495" s="27"/>
      <c r="AB495" s="27"/>
      <c r="AC495" s="27"/>
      <c r="AD495" s="27"/>
      <c r="AE495" s="27"/>
      <c r="AF495" s="27"/>
      <c r="AG495" s="27"/>
      <c r="AH495" s="27">
        <f>IF(AND(V495=1,Control_Achizitii!$J495="DOSAR COMPLET",Control_Achizitii!$K495&lt;&gt;""),1,0)</f>
        <v>0</v>
      </c>
    </row>
    <row r="496" spans="1:34">
      <c r="A496" s="27"/>
      <c r="B496" s="27"/>
      <c r="C496" s="27"/>
      <c r="D496" s="27"/>
      <c r="E496" s="27"/>
      <c r="F496" s="27"/>
      <c r="G496" s="27"/>
      <c r="H496" s="27"/>
      <c r="I496" s="27"/>
      <c r="J496" s="27"/>
      <c r="K496" s="27"/>
      <c r="L496" s="27"/>
      <c r="M496" s="27"/>
      <c r="N496" s="27"/>
      <c r="O496" s="27"/>
      <c r="P496" s="27"/>
      <c r="Q496" s="27"/>
      <c r="R496" s="27"/>
      <c r="S496" s="27"/>
      <c r="T496" s="27">
        <f>IF(LEFT(Control_Achizitii!$E496,4)="Fact",1,0)</f>
        <v>0</v>
      </c>
      <c r="U496" s="27">
        <f>IF(Control_Achizitii!$C496="",0,IF(ISNUMBER(Control_Achizitii!$B496),0,1))</f>
        <v>0</v>
      </c>
      <c r="V496" s="27">
        <f>IF(Control_Achizitii!$C496="",0,IF($Z$2&lt;&gt;"OK",0,IF(AND(ISNUMBER(Control_Achizitii!$B496),Control_Achizitii!$B496&gt;=$E$5,Control_Achizitii!$B496&lt;$J$5+1,OR($O$5="Toate proiectele",Control_Achizitii!$Q496=$O$5)),1,0)))</f>
        <v>0</v>
      </c>
      <c r="W496" s="27">
        <f>IF(AND(V496=1,OR(Control_Achizitii!$J496&lt;&gt;"DOSAR COMPLET",Control_Achizitii!$K496&lt;&gt;"")),ROW(),1000000000)</f>
        <v>1000000000</v>
      </c>
      <c r="X496" s="27">
        <f>IF(AND(V496=1,LEFT(Control_Achizitii!$E496,4)="Fact",NOT(ISNUMBER(Control_Achizitii!$P496))),1,0)</f>
        <v>0</v>
      </c>
      <c r="Y496" s="27">
        <f>IF(V496=0,0,IF(Control_Achizitii!$J496="DOSAR COMPLET",1,IF(LEFT(Control_Achizitii!$J496,9)="INCOMPLET",2,3)))</f>
        <v>0</v>
      </c>
      <c r="Z496" s="27"/>
      <c r="AA496" s="27"/>
      <c r="AB496" s="27"/>
      <c r="AC496" s="27"/>
      <c r="AD496" s="27"/>
      <c r="AE496" s="27"/>
      <c r="AF496" s="27"/>
      <c r="AG496" s="27"/>
      <c r="AH496" s="27">
        <f>IF(AND(V496=1,Control_Achizitii!$J496="DOSAR COMPLET",Control_Achizitii!$K496&lt;&gt;""),1,0)</f>
        <v>0</v>
      </c>
    </row>
    <row r="497" spans="1:34">
      <c r="A497" s="27"/>
      <c r="B497" s="27"/>
      <c r="C497" s="27"/>
      <c r="D497" s="27"/>
      <c r="E497" s="27"/>
      <c r="F497" s="27"/>
      <c r="G497" s="27"/>
      <c r="H497" s="27"/>
      <c r="I497" s="27"/>
      <c r="J497" s="27"/>
      <c r="K497" s="27"/>
      <c r="L497" s="27"/>
      <c r="M497" s="27"/>
      <c r="N497" s="27"/>
      <c r="O497" s="27"/>
      <c r="P497" s="27"/>
      <c r="Q497" s="27"/>
      <c r="R497" s="27"/>
      <c r="S497" s="27"/>
      <c r="T497" s="27">
        <f>IF(LEFT(Control_Achizitii!$E497,4)="Fact",1,0)</f>
        <v>0</v>
      </c>
      <c r="U497" s="27">
        <f>IF(Control_Achizitii!$C497="",0,IF(ISNUMBER(Control_Achizitii!$B497),0,1))</f>
        <v>0</v>
      </c>
      <c r="V497" s="27">
        <f>IF(Control_Achizitii!$C497="",0,IF($Z$2&lt;&gt;"OK",0,IF(AND(ISNUMBER(Control_Achizitii!$B497),Control_Achizitii!$B497&gt;=$E$5,Control_Achizitii!$B497&lt;$J$5+1,OR($O$5="Toate proiectele",Control_Achizitii!$Q497=$O$5)),1,0)))</f>
        <v>0</v>
      </c>
      <c r="W497" s="27">
        <f>IF(AND(V497=1,OR(Control_Achizitii!$J497&lt;&gt;"DOSAR COMPLET",Control_Achizitii!$K497&lt;&gt;"")),ROW(),1000000000)</f>
        <v>1000000000</v>
      </c>
      <c r="X497" s="27">
        <f>IF(AND(V497=1,LEFT(Control_Achizitii!$E497,4)="Fact",NOT(ISNUMBER(Control_Achizitii!$P497))),1,0)</f>
        <v>0</v>
      </c>
      <c r="Y497" s="27">
        <f>IF(V497=0,0,IF(Control_Achizitii!$J497="DOSAR COMPLET",1,IF(LEFT(Control_Achizitii!$J497,9)="INCOMPLET",2,3)))</f>
        <v>0</v>
      </c>
      <c r="Z497" s="27"/>
      <c r="AA497" s="27"/>
      <c r="AB497" s="27"/>
      <c r="AC497" s="27"/>
      <c r="AD497" s="27"/>
      <c r="AE497" s="27"/>
      <c r="AF497" s="27"/>
      <c r="AG497" s="27"/>
      <c r="AH497" s="27">
        <f>IF(AND(V497=1,Control_Achizitii!$J497="DOSAR COMPLET",Control_Achizitii!$K497&lt;&gt;""),1,0)</f>
        <v>0</v>
      </c>
    </row>
    <row r="498" spans="1:34">
      <c r="A498" s="27"/>
      <c r="B498" s="27"/>
      <c r="C498" s="27"/>
      <c r="D498" s="27"/>
      <c r="E498" s="27"/>
      <c r="F498" s="27"/>
      <c r="G498" s="27"/>
      <c r="H498" s="27"/>
      <c r="I498" s="27"/>
      <c r="J498" s="27"/>
      <c r="K498" s="27"/>
      <c r="L498" s="27"/>
      <c r="M498" s="27"/>
      <c r="N498" s="27"/>
      <c r="O498" s="27"/>
      <c r="P498" s="27"/>
      <c r="Q498" s="27"/>
      <c r="R498" s="27"/>
      <c r="S498" s="27"/>
      <c r="T498" s="27">
        <f>IF(LEFT(Control_Achizitii!$E498,4)="Fact",1,0)</f>
        <v>0</v>
      </c>
      <c r="U498" s="27">
        <f>IF(Control_Achizitii!$C498="",0,IF(ISNUMBER(Control_Achizitii!$B498),0,1))</f>
        <v>0</v>
      </c>
      <c r="V498" s="27">
        <f>IF(Control_Achizitii!$C498="",0,IF($Z$2&lt;&gt;"OK",0,IF(AND(ISNUMBER(Control_Achizitii!$B498),Control_Achizitii!$B498&gt;=$E$5,Control_Achizitii!$B498&lt;$J$5+1,OR($O$5="Toate proiectele",Control_Achizitii!$Q498=$O$5)),1,0)))</f>
        <v>0</v>
      </c>
      <c r="W498" s="27">
        <f>IF(AND(V498=1,OR(Control_Achizitii!$J498&lt;&gt;"DOSAR COMPLET",Control_Achizitii!$K498&lt;&gt;"")),ROW(),1000000000)</f>
        <v>1000000000</v>
      </c>
      <c r="X498" s="27">
        <f>IF(AND(V498=1,LEFT(Control_Achizitii!$E498,4)="Fact",NOT(ISNUMBER(Control_Achizitii!$P498))),1,0)</f>
        <v>0</v>
      </c>
      <c r="Y498" s="27">
        <f>IF(V498=0,0,IF(Control_Achizitii!$J498="DOSAR COMPLET",1,IF(LEFT(Control_Achizitii!$J498,9)="INCOMPLET",2,3)))</f>
        <v>0</v>
      </c>
      <c r="Z498" s="27"/>
      <c r="AA498" s="27"/>
      <c r="AB498" s="27"/>
      <c r="AC498" s="27"/>
      <c r="AD498" s="27"/>
      <c r="AE498" s="27"/>
      <c r="AF498" s="27"/>
      <c r="AG498" s="27"/>
      <c r="AH498" s="27">
        <f>IF(AND(V498=1,Control_Achizitii!$J498="DOSAR COMPLET",Control_Achizitii!$K498&lt;&gt;""),1,0)</f>
        <v>0</v>
      </c>
    </row>
    <row r="499" spans="1:34">
      <c r="A499" s="27"/>
      <c r="B499" s="27"/>
      <c r="C499" s="27"/>
      <c r="D499" s="27"/>
      <c r="E499" s="27"/>
      <c r="F499" s="27"/>
      <c r="G499" s="27"/>
      <c r="H499" s="27"/>
      <c r="I499" s="27"/>
      <c r="J499" s="27"/>
      <c r="K499" s="27"/>
      <c r="L499" s="27"/>
      <c r="M499" s="27"/>
      <c r="N499" s="27"/>
      <c r="O499" s="27"/>
      <c r="P499" s="27"/>
      <c r="Q499" s="27"/>
      <c r="R499" s="27"/>
      <c r="S499" s="27"/>
      <c r="T499" s="27">
        <f>IF(LEFT(Control_Achizitii!$E499,4)="Fact",1,0)</f>
        <v>0</v>
      </c>
      <c r="U499" s="27">
        <f>IF(Control_Achizitii!$C499="",0,IF(ISNUMBER(Control_Achizitii!$B499),0,1))</f>
        <v>0</v>
      </c>
      <c r="V499" s="27">
        <f>IF(Control_Achizitii!$C499="",0,IF($Z$2&lt;&gt;"OK",0,IF(AND(ISNUMBER(Control_Achizitii!$B499),Control_Achizitii!$B499&gt;=$E$5,Control_Achizitii!$B499&lt;$J$5+1,OR($O$5="Toate proiectele",Control_Achizitii!$Q499=$O$5)),1,0)))</f>
        <v>0</v>
      </c>
      <c r="W499" s="27">
        <f>IF(AND(V499=1,OR(Control_Achizitii!$J499&lt;&gt;"DOSAR COMPLET",Control_Achizitii!$K499&lt;&gt;"")),ROW(),1000000000)</f>
        <v>1000000000</v>
      </c>
      <c r="X499" s="27">
        <f>IF(AND(V499=1,LEFT(Control_Achizitii!$E499,4)="Fact",NOT(ISNUMBER(Control_Achizitii!$P499))),1,0)</f>
        <v>0</v>
      </c>
      <c r="Y499" s="27">
        <f>IF(V499=0,0,IF(Control_Achizitii!$J499="DOSAR COMPLET",1,IF(LEFT(Control_Achizitii!$J499,9)="INCOMPLET",2,3)))</f>
        <v>0</v>
      </c>
      <c r="Z499" s="27"/>
      <c r="AA499" s="27"/>
      <c r="AB499" s="27"/>
      <c r="AC499" s="27"/>
      <c r="AD499" s="27"/>
      <c r="AE499" s="27"/>
      <c r="AF499" s="27"/>
      <c r="AG499" s="27"/>
      <c r="AH499" s="27">
        <f>IF(AND(V499=1,Control_Achizitii!$J499="DOSAR COMPLET",Control_Achizitii!$K499&lt;&gt;""),1,0)</f>
        <v>0</v>
      </c>
    </row>
    <row r="500" spans="1:34">
      <c r="A500" s="27"/>
      <c r="B500" s="27"/>
      <c r="C500" s="27"/>
      <c r="D500" s="27"/>
      <c r="E500" s="27"/>
      <c r="F500" s="27"/>
      <c r="G500" s="27"/>
      <c r="H500" s="27"/>
      <c r="I500" s="27"/>
      <c r="J500" s="27"/>
      <c r="K500" s="27"/>
      <c r="L500" s="27"/>
      <c r="M500" s="27"/>
      <c r="N500" s="27"/>
      <c r="O500" s="27"/>
      <c r="P500" s="27"/>
      <c r="Q500" s="27"/>
      <c r="R500" s="27"/>
      <c r="S500" s="27"/>
      <c r="T500" s="27">
        <f>IF(LEFT(Control_Achizitii!$E500,4)="Fact",1,0)</f>
        <v>0</v>
      </c>
      <c r="U500" s="27">
        <f>IF(Control_Achizitii!$C500="",0,IF(ISNUMBER(Control_Achizitii!$B500),0,1))</f>
        <v>0</v>
      </c>
      <c r="V500" s="27">
        <f>IF(Control_Achizitii!$C500="",0,IF($Z$2&lt;&gt;"OK",0,IF(AND(ISNUMBER(Control_Achizitii!$B500),Control_Achizitii!$B500&gt;=$E$5,Control_Achizitii!$B500&lt;$J$5+1,OR($O$5="Toate proiectele",Control_Achizitii!$Q500=$O$5)),1,0)))</f>
        <v>0</v>
      </c>
      <c r="W500" s="27">
        <f>IF(AND(V500=1,OR(Control_Achizitii!$J500&lt;&gt;"DOSAR COMPLET",Control_Achizitii!$K500&lt;&gt;"")),ROW(),1000000000)</f>
        <v>1000000000</v>
      </c>
      <c r="X500" s="27">
        <f>IF(AND(V500=1,LEFT(Control_Achizitii!$E500,4)="Fact",NOT(ISNUMBER(Control_Achizitii!$P500))),1,0)</f>
        <v>0</v>
      </c>
      <c r="Y500" s="27">
        <f>IF(V500=0,0,IF(Control_Achizitii!$J500="DOSAR COMPLET",1,IF(LEFT(Control_Achizitii!$J500,9)="INCOMPLET",2,3)))</f>
        <v>0</v>
      </c>
      <c r="Z500" s="27"/>
      <c r="AA500" s="27"/>
      <c r="AB500" s="27"/>
      <c r="AC500" s="27"/>
      <c r="AD500" s="27"/>
      <c r="AE500" s="27"/>
      <c r="AF500" s="27"/>
      <c r="AG500" s="27"/>
      <c r="AH500" s="27">
        <f>IF(AND(V500=1,Control_Achizitii!$J500="DOSAR COMPLET",Control_Achizitii!$K500&lt;&gt;""),1,0)</f>
        <v>0</v>
      </c>
    </row>
    <row r="501" spans="1:34">
      <c r="A501" s="27"/>
      <c r="B501" s="27"/>
      <c r="C501" s="27"/>
      <c r="D501" s="27"/>
      <c r="E501" s="27"/>
      <c r="F501" s="27"/>
      <c r="G501" s="27"/>
      <c r="H501" s="27"/>
      <c r="I501" s="27"/>
      <c r="J501" s="27"/>
      <c r="K501" s="27"/>
      <c r="L501" s="27"/>
      <c r="M501" s="27"/>
      <c r="N501" s="27"/>
      <c r="O501" s="27"/>
      <c r="P501" s="27"/>
      <c r="Q501" s="27"/>
      <c r="R501" s="27"/>
      <c r="S501" s="27"/>
      <c r="T501" s="27">
        <f>IF(LEFT(Control_Achizitii!$E501,4)="Fact",1,0)</f>
        <v>0</v>
      </c>
      <c r="U501" s="27">
        <f>IF(Control_Achizitii!$C501="",0,IF(ISNUMBER(Control_Achizitii!$B501),0,1))</f>
        <v>0</v>
      </c>
      <c r="V501" s="27">
        <f>IF(Control_Achizitii!$C501="",0,IF($Z$2&lt;&gt;"OK",0,IF(AND(ISNUMBER(Control_Achizitii!$B501),Control_Achizitii!$B501&gt;=$E$5,Control_Achizitii!$B501&lt;$J$5+1,OR($O$5="Toate proiectele",Control_Achizitii!$Q501=$O$5)),1,0)))</f>
        <v>0</v>
      </c>
      <c r="W501" s="27">
        <f>IF(AND(V501=1,OR(Control_Achizitii!$J501&lt;&gt;"DOSAR COMPLET",Control_Achizitii!$K501&lt;&gt;"")),ROW(),1000000000)</f>
        <v>1000000000</v>
      </c>
      <c r="X501" s="27">
        <f>IF(AND(V501=1,LEFT(Control_Achizitii!$E501,4)="Fact",NOT(ISNUMBER(Control_Achizitii!$P501))),1,0)</f>
        <v>0</v>
      </c>
      <c r="Y501" s="27">
        <f>IF(V501=0,0,IF(Control_Achizitii!$J501="DOSAR COMPLET",1,IF(LEFT(Control_Achizitii!$J501,9)="INCOMPLET",2,3)))</f>
        <v>0</v>
      </c>
      <c r="Z501" s="27"/>
      <c r="AA501" s="27"/>
      <c r="AB501" s="27"/>
      <c r="AC501" s="27"/>
      <c r="AD501" s="27"/>
      <c r="AE501" s="27"/>
      <c r="AF501" s="27"/>
      <c r="AG501" s="27"/>
      <c r="AH501" s="27">
        <f>IF(AND(V501=1,Control_Achizitii!$J501="DOSAR COMPLET",Control_Achizitii!$K501&lt;&gt;""),1,0)</f>
        <v>0</v>
      </c>
    </row>
    <row r="502" spans="1:34">
      <c r="A502" s="27"/>
      <c r="B502" s="27"/>
      <c r="C502" s="27"/>
      <c r="D502" s="27"/>
      <c r="E502" s="27"/>
      <c r="F502" s="27"/>
      <c r="G502" s="27"/>
      <c r="H502" s="27"/>
      <c r="I502" s="27"/>
      <c r="J502" s="27"/>
      <c r="K502" s="27"/>
      <c r="L502" s="27"/>
      <c r="M502" s="27"/>
      <c r="N502" s="27"/>
      <c r="O502" s="27"/>
      <c r="P502" s="27"/>
      <c r="Q502" s="27"/>
      <c r="R502" s="27"/>
      <c r="S502" s="27"/>
      <c r="T502" s="27">
        <f>IF(LEFT(Control_Achizitii!$E502,4)="Fact",1,0)</f>
        <v>0</v>
      </c>
      <c r="U502" s="27">
        <f>IF(Control_Achizitii!$C502="",0,IF(ISNUMBER(Control_Achizitii!$B502),0,1))</f>
        <v>0</v>
      </c>
      <c r="V502" s="27">
        <f>IF(Control_Achizitii!$C502="",0,IF($Z$2&lt;&gt;"OK",0,IF(AND(ISNUMBER(Control_Achizitii!$B502),Control_Achizitii!$B502&gt;=$E$5,Control_Achizitii!$B502&lt;$J$5+1,OR($O$5="Toate proiectele",Control_Achizitii!$Q502=$O$5)),1,0)))</f>
        <v>0</v>
      </c>
      <c r="W502" s="27">
        <f>IF(AND(V502=1,OR(Control_Achizitii!$J502&lt;&gt;"DOSAR COMPLET",Control_Achizitii!$K502&lt;&gt;"")),ROW(),1000000000)</f>
        <v>1000000000</v>
      </c>
      <c r="X502" s="27">
        <f>IF(AND(V502=1,LEFT(Control_Achizitii!$E502,4)="Fact",NOT(ISNUMBER(Control_Achizitii!$P502))),1,0)</f>
        <v>0</v>
      </c>
      <c r="Y502" s="27">
        <f>IF(V502=0,0,IF(Control_Achizitii!$J502="DOSAR COMPLET",1,IF(LEFT(Control_Achizitii!$J502,9)="INCOMPLET",2,3)))</f>
        <v>0</v>
      </c>
      <c r="Z502" s="27"/>
      <c r="AA502" s="27"/>
      <c r="AB502" s="27"/>
      <c r="AC502" s="27"/>
      <c r="AD502" s="27"/>
      <c r="AE502" s="27"/>
      <c r="AF502" s="27"/>
      <c r="AG502" s="27"/>
      <c r="AH502" s="27">
        <f>IF(AND(V502=1,Control_Achizitii!$J502="DOSAR COMPLET",Control_Achizitii!$K502&lt;&gt;""),1,0)</f>
        <v>0</v>
      </c>
    </row>
    <row r="503" spans="1:34">
      <c r="A503" s="27"/>
      <c r="B503" s="27"/>
      <c r="C503" s="27"/>
      <c r="D503" s="27"/>
      <c r="E503" s="27"/>
      <c r="F503" s="27"/>
      <c r="G503" s="27"/>
      <c r="H503" s="27"/>
      <c r="I503" s="27"/>
      <c r="J503" s="27"/>
      <c r="K503" s="27"/>
      <c r="L503" s="27"/>
      <c r="M503" s="27"/>
      <c r="N503" s="27"/>
      <c r="O503" s="27"/>
      <c r="P503" s="27"/>
      <c r="Q503" s="27"/>
      <c r="R503" s="27"/>
      <c r="S503" s="27"/>
      <c r="T503" s="27">
        <f>IF(LEFT(Control_Achizitii!$E503,4)="Fact",1,0)</f>
        <v>0</v>
      </c>
      <c r="U503" s="27">
        <f>IF(Control_Achizitii!$C503="",0,IF(ISNUMBER(Control_Achizitii!$B503),0,1))</f>
        <v>0</v>
      </c>
      <c r="V503" s="27">
        <f>IF(Control_Achizitii!$C503="",0,IF($Z$2&lt;&gt;"OK",0,IF(AND(ISNUMBER(Control_Achizitii!$B503),Control_Achizitii!$B503&gt;=$E$5,Control_Achizitii!$B503&lt;$J$5+1,OR($O$5="Toate proiectele",Control_Achizitii!$Q503=$O$5)),1,0)))</f>
        <v>0</v>
      </c>
      <c r="W503" s="27">
        <f>IF(AND(V503=1,OR(Control_Achizitii!$J503&lt;&gt;"DOSAR COMPLET",Control_Achizitii!$K503&lt;&gt;"")),ROW(),1000000000)</f>
        <v>1000000000</v>
      </c>
      <c r="X503" s="27">
        <f>IF(AND(V503=1,LEFT(Control_Achizitii!$E503,4)="Fact",NOT(ISNUMBER(Control_Achizitii!$P503))),1,0)</f>
        <v>0</v>
      </c>
      <c r="Y503" s="27">
        <f>IF(V503=0,0,IF(Control_Achizitii!$J503="DOSAR COMPLET",1,IF(LEFT(Control_Achizitii!$J503,9)="INCOMPLET",2,3)))</f>
        <v>0</v>
      </c>
      <c r="Z503" s="27"/>
      <c r="AA503" s="27"/>
      <c r="AB503" s="27"/>
      <c r="AC503" s="27"/>
      <c r="AD503" s="27"/>
      <c r="AE503" s="27"/>
      <c r="AF503" s="27"/>
      <c r="AG503" s="27"/>
      <c r="AH503" s="27">
        <f>IF(AND(V503=1,Control_Achizitii!$J503="DOSAR COMPLET",Control_Achizitii!$K503&lt;&gt;""),1,0)</f>
        <v>0</v>
      </c>
    </row>
    <row r="504" spans="1:34">
      <c r="A504" s="27"/>
      <c r="B504" s="27"/>
      <c r="C504" s="27"/>
      <c r="D504" s="27"/>
      <c r="E504" s="27"/>
      <c r="F504" s="27"/>
      <c r="G504" s="27"/>
      <c r="H504" s="27"/>
      <c r="I504" s="27"/>
      <c r="J504" s="27"/>
      <c r="K504" s="27"/>
      <c r="L504" s="27"/>
      <c r="M504" s="27"/>
      <c r="N504" s="27"/>
      <c r="O504" s="27"/>
      <c r="P504" s="27"/>
      <c r="Q504" s="27"/>
      <c r="R504" s="27"/>
      <c r="S504" s="27"/>
      <c r="T504" s="27">
        <f>IF(LEFT(Control_Achizitii!$E504,4)="Fact",1,0)</f>
        <v>0</v>
      </c>
      <c r="U504" s="27">
        <f>IF(Control_Achizitii!$C504="",0,IF(ISNUMBER(Control_Achizitii!$B504),0,1))</f>
        <v>0</v>
      </c>
      <c r="V504" s="27">
        <f>IF(Control_Achizitii!$C504="",0,IF($Z$2&lt;&gt;"OK",0,IF(AND(ISNUMBER(Control_Achizitii!$B504),Control_Achizitii!$B504&gt;=$E$5,Control_Achizitii!$B504&lt;$J$5+1,OR($O$5="Toate proiectele",Control_Achizitii!$Q504=$O$5)),1,0)))</f>
        <v>0</v>
      </c>
      <c r="W504" s="27">
        <f>IF(AND(V504=1,OR(Control_Achizitii!$J504&lt;&gt;"DOSAR COMPLET",Control_Achizitii!$K504&lt;&gt;"")),ROW(),1000000000)</f>
        <v>1000000000</v>
      </c>
      <c r="X504" s="27">
        <f>IF(AND(V504=1,LEFT(Control_Achizitii!$E504,4)="Fact",NOT(ISNUMBER(Control_Achizitii!$P504))),1,0)</f>
        <v>0</v>
      </c>
      <c r="Y504" s="27">
        <f>IF(V504=0,0,IF(Control_Achizitii!$J504="DOSAR COMPLET",1,IF(LEFT(Control_Achizitii!$J504,9)="INCOMPLET",2,3)))</f>
        <v>0</v>
      </c>
      <c r="Z504" s="27"/>
      <c r="AA504" s="27"/>
      <c r="AB504" s="27"/>
      <c r="AC504" s="27"/>
      <c r="AD504" s="27"/>
      <c r="AE504" s="27"/>
      <c r="AF504" s="27"/>
      <c r="AG504" s="27"/>
      <c r="AH504" s="27">
        <f>IF(AND(V504=1,Control_Achizitii!$J504="DOSAR COMPLET",Control_Achizitii!$K504&lt;&gt;""),1,0)</f>
        <v>0</v>
      </c>
    </row>
    <row r="505" spans="1:34">
      <c r="A505" s="27"/>
      <c r="B505" s="27"/>
      <c r="C505" s="27"/>
      <c r="D505" s="27"/>
      <c r="E505" s="27"/>
      <c r="F505" s="27"/>
      <c r="G505" s="27"/>
      <c r="H505" s="27"/>
      <c r="I505" s="27"/>
      <c r="J505" s="27"/>
      <c r="K505" s="27"/>
      <c r="L505" s="27"/>
      <c r="M505" s="27"/>
      <c r="N505" s="27"/>
      <c r="O505" s="27"/>
      <c r="P505" s="27"/>
      <c r="Q505" s="27"/>
      <c r="R505" s="27"/>
      <c r="S505" s="27"/>
      <c r="T505" s="27">
        <f>IF(LEFT(Control_Achizitii!$E505,4)="Fact",1,0)</f>
        <v>0</v>
      </c>
      <c r="U505" s="27">
        <f>IF(Control_Achizitii!$C505="",0,IF(ISNUMBER(Control_Achizitii!$B505),0,1))</f>
        <v>0</v>
      </c>
      <c r="V505" s="27">
        <f>IF(Control_Achizitii!$C505="",0,IF($Z$2&lt;&gt;"OK",0,IF(AND(ISNUMBER(Control_Achizitii!$B505),Control_Achizitii!$B505&gt;=$E$5,Control_Achizitii!$B505&lt;$J$5+1,OR($O$5="Toate proiectele",Control_Achizitii!$Q505=$O$5)),1,0)))</f>
        <v>0</v>
      </c>
      <c r="W505" s="27">
        <f>IF(AND(V505=1,OR(Control_Achizitii!$J505&lt;&gt;"DOSAR COMPLET",Control_Achizitii!$K505&lt;&gt;"")),ROW(),1000000000)</f>
        <v>1000000000</v>
      </c>
      <c r="X505" s="27">
        <f>IF(AND(V505=1,LEFT(Control_Achizitii!$E505,4)="Fact",NOT(ISNUMBER(Control_Achizitii!$P505))),1,0)</f>
        <v>0</v>
      </c>
      <c r="Y505" s="27">
        <f>IF(V505=0,0,IF(Control_Achizitii!$J505="DOSAR COMPLET",1,IF(LEFT(Control_Achizitii!$J505,9)="INCOMPLET",2,3)))</f>
        <v>0</v>
      </c>
      <c r="Z505" s="27"/>
      <c r="AA505" s="27"/>
      <c r="AB505" s="27"/>
      <c r="AC505" s="27"/>
      <c r="AD505" s="27"/>
      <c r="AE505" s="27"/>
      <c r="AF505" s="27"/>
      <c r="AG505" s="27"/>
      <c r="AH505" s="27">
        <f>IF(AND(V505=1,Control_Achizitii!$J505="DOSAR COMPLET",Control_Achizitii!$K505&lt;&gt;""),1,0)</f>
        <v>0</v>
      </c>
    </row>
    <row r="506" spans="1:34">
      <c r="A506" s="27"/>
      <c r="B506" s="27"/>
      <c r="C506" s="27"/>
      <c r="D506" s="27"/>
      <c r="E506" s="27"/>
      <c r="F506" s="27"/>
      <c r="G506" s="27"/>
      <c r="H506" s="27"/>
      <c r="I506" s="27"/>
      <c r="J506" s="27"/>
      <c r="K506" s="27"/>
      <c r="L506" s="27"/>
      <c r="M506" s="27"/>
      <c r="N506" s="27"/>
      <c r="O506" s="27"/>
      <c r="P506" s="27"/>
      <c r="Q506" s="27"/>
      <c r="R506" s="27"/>
      <c r="S506" s="27"/>
      <c r="T506" s="27">
        <f>IF(LEFT(Control_Achizitii!$E506,4)="Fact",1,0)</f>
        <v>0</v>
      </c>
      <c r="U506" s="27">
        <f>IF(Control_Achizitii!$C506="",0,IF(ISNUMBER(Control_Achizitii!$B506),0,1))</f>
        <v>0</v>
      </c>
      <c r="V506" s="27">
        <f>IF(Control_Achizitii!$C506="",0,IF($Z$2&lt;&gt;"OK",0,IF(AND(ISNUMBER(Control_Achizitii!$B506),Control_Achizitii!$B506&gt;=$E$5,Control_Achizitii!$B506&lt;$J$5+1,OR($O$5="Toate proiectele",Control_Achizitii!$Q506=$O$5)),1,0)))</f>
        <v>0</v>
      </c>
      <c r="W506" s="27">
        <f>IF(AND(V506=1,OR(Control_Achizitii!$J506&lt;&gt;"DOSAR COMPLET",Control_Achizitii!$K506&lt;&gt;"")),ROW(),1000000000)</f>
        <v>1000000000</v>
      </c>
      <c r="X506" s="27">
        <f>IF(AND(V506=1,LEFT(Control_Achizitii!$E506,4)="Fact",NOT(ISNUMBER(Control_Achizitii!$P506))),1,0)</f>
        <v>0</v>
      </c>
      <c r="Y506" s="27">
        <f>IF(V506=0,0,IF(Control_Achizitii!$J506="DOSAR COMPLET",1,IF(LEFT(Control_Achizitii!$J506,9)="INCOMPLET",2,3)))</f>
        <v>0</v>
      </c>
      <c r="Z506" s="27"/>
      <c r="AA506" s="27"/>
      <c r="AB506" s="27"/>
      <c r="AC506" s="27"/>
      <c r="AD506" s="27"/>
      <c r="AE506" s="27"/>
      <c r="AF506" s="27"/>
      <c r="AG506" s="27"/>
      <c r="AH506" s="27">
        <f>IF(AND(V506=1,Control_Achizitii!$J506="DOSAR COMPLET",Control_Achizitii!$K506&lt;&gt;""),1,0)</f>
        <v>0</v>
      </c>
    </row>
    <row r="507" spans="1:34">
      <c r="A507" s="27"/>
      <c r="B507" s="27"/>
      <c r="C507" s="27"/>
      <c r="D507" s="27"/>
      <c r="E507" s="27"/>
      <c r="F507" s="27"/>
      <c r="G507" s="27"/>
      <c r="H507" s="27"/>
      <c r="I507" s="27"/>
      <c r="J507" s="27"/>
      <c r="K507" s="27"/>
      <c r="L507" s="27"/>
      <c r="M507" s="27"/>
      <c r="N507" s="27"/>
      <c r="O507" s="27"/>
      <c r="P507" s="27"/>
      <c r="Q507" s="27"/>
      <c r="R507" s="27"/>
      <c r="S507" s="27"/>
      <c r="T507" s="27">
        <f>IF(LEFT(Control_Achizitii!$E507,4)="Fact",1,0)</f>
        <v>0</v>
      </c>
      <c r="U507" s="27">
        <f>IF(Control_Achizitii!$C507="",0,IF(ISNUMBER(Control_Achizitii!$B507),0,1))</f>
        <v>0</v>
      </c>
      <c r="V507" s="27">
        <f>IF(Control_Achizitii!$C507="",0,IF($Z$2&lt;&gt;"OK",0,IF(AND(ISNUMBER(Control_Achizitii!$B507),Control_Achizitii!$B507&gt;=$E$5,Control_Achizitii!$B507&lt;$J$5+1,OR($O$5="Toate proiectele",Control_Achizitii!$Q507=$O$5)),1,0)))</f>
        <v>0</v>
      </c>
      <c r="W507" s="27">
        <f>IF(AND(V507=1,OR(Control_Achizitii!$J507&lt;&gt;"DOSAR COMPLET",Control_Achizitii!$K507&lt;&gt;"")),ROW(),1000000000)</f>
        <v>1000000000</v>
      </c>
      <c r="X507" s="27">
        <f>IF(AND(V507=1,LEFT(Control_Achizitii!$E507,4)="Fact",NOT(ISNUMBER(Control_Achizitii!$P507))),1,0)</f>
        <v>0</v>
      </c>
      <c r="Y507" s="27">
        <f>IF(V507=0,0,IF(Control_Achizitii!$J507="DOSAR COMPLET",1,IF(LEFT(Control_Achizitii!$J507,9)="INCOMPLET",2,3)))</f>
        <v>0</v>
      </c>
      <c r="Z507" s="27"/>
      <c r="AA507" s="27"/>
      <c r="AB507" s="27"/>
      <c r="AC507" s="27"/>
      <c r="AD507" s="27"/>
      <c r="AE507" s="27"/>
      <c r="AF507" s="27"/>
      <c r="AG507" s="27"/>
      <c r="AH507" s="27">
        <f>IF(AND(V507=1,Control_Achizitii!$J507="DOSAR COMPLET",Control_Achizitii!$K507&lt;&gt;""),1,0)</f>
        <v>0</v>
      </c>
    </row>
    <row r="508" spans="1:34">
      <c r="A508" s="27"/>
      <c r="B508" s="27"/>
      <c r="C508" s="27"/>
      <c r="D508" s="27"/>
      <c r="E508" s="27"/>
      <c r="F508" s="27"/>
      <c r="G508" s="27"/>
      <c r="H508" s="27"/>
      <c r="I508" s="27"/>
      <c r="J508" s="27"/>
      <c r="K508" s="27"/>
      <c r="L508" s="27"/>
      <c r="M508" s="27"/>
      <c r="N508" s="27"/>
      <c r="O508" s="27"/>
      <c r="P508" s="27"/>
      <c r="Q508" s="27"/>
      <c r="R508" s="27"/>
      <c r="S508" s="27"/>
      <c r="T508" s="27">
        <f>IF(LEFT(Control_Achizitii!$E508,4)="Fact",1,0)</f>
        <v>0</v>
      </c>
      <c r="U508" s="27">
        <f>IF(Control_Achizitii!$C508="",0,IF(ISNUMBER(Control_Achizitii!$B508),0,1))</f>
        <v>0</v>
      </c>
      <c r="V508" s="27">
        <f>IF(Control_Achizitii!$C508="",0,IF($Z$2&lt;&gt;"OK",0,IF(AND(ISNUMBER(Control_Achizitii!$B508),Control_Achizitii!$B508&gt;=$E$5,Control_Achizitii!$B508&lt;$J$5+1,OR($O$5="Toate proiectele",Control_Achizitii!$Q508=$O$5)),1,0)))</f>
        <v>0</v>
      </c>
      <c r="W508" s="27">
        <f>IF(AND(V508=1,OR(Control_Achizitii!$J508&lt;&gt;"DOSAR COMPLET",Control_Achizitii!$K508&lt;&gt;"")),ROW(),1000000000)</f>
        <v>1000000000</v>
      </c>
      <c r="X508" s="27">
        <f>IF(AND(V508=1,LEFT(Control_Achizitii!$E508,4)="Fact",NOT(ISNUMBER(Control_Achizitii!$P508))),1,0)</f>
        <v>0</v>
      </c>
      <c r="Y508" s="27">
        <f>IF(V508=0,0,IF(Control_Achizitii!$J508="DOSAR COMPLET",1,IF(LEFT(Control_Achizitii!$J508,9)="INCOMPLET",2,3)))</f>
        <v>0</v>
      </c>
      <c r="Z508" s="27"/>
      <c r="AA508" s="27"/>
      <c r="AB508" s="27"/>
      <c r="AC508" s="27"/>
      <c r="AD508" s="27"/>
      <c r="AE508" s="27"/>
      <c r="AF508" s="27"/>
      <c r="AG508" s="27"/>
      <c r="AH508" s="27">
        <f>IF(AND(V508=1,Control_Achizitii!$J508="DOSAR COMPLET",Control_Achizitii!$K508&lt;&gt;""),1,0)</f>
        <v>0</v>
      </c>
    </row>
    <row r="509" spans="1:34">
      <c r="A509" s="27"/>
      <c r="B509" s="27"/>
      <c r="C509" s="27"/>
      <c r="D509" s="27"/>
      <c r="E509" s="27"/>
      <c r="F509" s="27"/>
      <c r="G509" s="27"/>
      <c r="H509" s="27"/>
      <c r="I509" s="27"/>
      <c r="J509" s="27"/>
      <c r="K509" s="27"/>
      <c r="L509" s="27"/>
      <c r="M509" s="27"/>
      <c r="N509" s="27"/>
      <c r="O509" s="27"/>
      <c r="P509" s="27"/>
      <c r="Q509" s="27"/>
      <c r="R509" s="27"/>
      <c r="S509" s="27"/>
      <c r="T509" s="27">
        <f>IF(LEFT(Control_Achizitii!$E509,4)="Fact",1,0)</f>
        <v>0</v>
      </c>
      <c r="U509" s="27">
        <f>IF(Control_Achizitii!$C509="",0,IF(ISNUMBER(Control_Achizitii!$B509),0,1))</f>
        <v>0</v>
      </c>
      <c r="V509" s="27">
        <f>IF(Control_Achizitii!$C509="",0,IF($Z$2&lt;&gt;"OK",0,IF(AND(ISNUMBER(Control_Achizitii!$B509),Control_Achizitii!$B509&gt;=$E$5,Control_Achizitii!$B509&lt;$J$5+1,OR($O$5="Toate proiectele",Control_Achizitii!$Q509=$O$5)),1,0)))</f>
        <v>0</v>
      </c>
      <c r="W509" s="27">
        <f>IF(AND(V509=1,OR(Control_Achizitii!$J509&lt;&gt;"DOSAR COMPLET",Control_Achizitii!$K509&lt;&gt;"")),ROW(),1000000000)</f>
        <v>1000000000</v>
      </c>
      <c r="X509" s="27">
        <f>IF(AND(V509=1,LEFT(Control_Achizitii!$E509,4)="Fact",NOT(ISNUMBER(Control_Achizitii!$P509))),1,0)</f>
        <v>0</v>
      </c>
      <c r="Y509" s="27">
        <f>IF(V509=0,0,IF(Control_Achizitii!$J509="DOSAR COMPLET",1,IF(LEFT(Control_Achizitii!$J509,9)="INCOMPLET",2,3)))</f>
        <v>0</v>
      </c>
      <c r="Z509" s="27"/>
      <c r="AA509" s="27"/>
      <c r="AB509" s="27"/>
      <c r="AC509" s="27"/>
      <c r="AD509" s="27"/>
      <c r="AE509" s="27"/>
      <c r="AF509" s="27"/>
      <c r="AG509" s="27"/>
      <c r="AH509" s="27">
        <f>IF(AND(V509=1,Control_Achizitii!$J509="DOSAR COMPLET",Control_Achizitii!$K509&lt;&gt;""),1,0)</f>
        <v>0</v>
      </c>
    </row>
    <row r="510" spans="1:34">
      <c r="A510" s="27"/>
      <c r="B510" s="27"/>
      <c r="C510" s="27"/>
      <c r="D510" s="27"/>
      <c r="E510" s="27"/>
      <c r="F510" s="27"/>
      <c r="G510" s="27"/>
      <c r="H510" s="27"/>
      <c r="I510" s="27"/>
      <c r="J510" s="27"/>
      <c r="K510" s="27"/>
      <c r="L510" s="27"/>
      <c r="M510" s="27"/>
      <c r="N510" s="27"/>
      <c r="O510" s="27"/>
      <c r="P510" s="27"/>
      <c r="Q510" s="27"/>
      <c r="R510" s="27"/>
      <c r="S510" s="27"/>
      <c r="T510" s="27">
        <f>IF(LEFT(Control_Achizitii!$E510,4)="Fact",1,0)</f>
        <v>0</v>
      </c>
      <c r="U510" s="27">
        <f>IF(Control_Achizitii!$C510="",0,IF(ISNUMBER(Control_Achizitii!$B510),0,1))</f>
        <v>0</v>
      </c>
      <c r="V510" s="27">
        <f>IF(Control_Achizitii!$C510="",0,IF($Z$2&lt;&gt;"OK",0,IF(AND(ISNUMBER(Control_Achizitii!$B510),Control_Achizitii!$B510&gt;=$E$5,Control_Achizitii!$B510&lt;$J$5+1,OR($O$5="Toate proiectele",Control_Achizitii!$Q510=$O$5)),1,0)))</f>
        <v>0</v>
      </c>
      <c r="W510" s="27">
        <f>IF(AND(V510=1,OR(Control_Achizitii!$J510&lt;&gt;"DOSAR COMPLET",Control_Achizitii!$K510&lt;&gt;"")),ROW(),1000000000)</f>
        <v>1000000000</v>
      </c>
      <c r="X510" s="27">
        <f>IF(AND(V510=1,LEFT(Control_Achizitii!$E510,4)="Fact",NOT(ISNUMBER(Control_Achizitii!$P510))),1,0)</f>
        <v>0</v>
      </c>
      <c r="Y510" s="27">
        <f>IF(V510=0,0,IF(Control_Achizitii!$J510="DOSAR COMPLET",1,IF(LEFT(Control_Achizitii!$J510,9)="INCOMPLET",2,3)))</f>
        <v>0</v>
      </c>
      <c r="Z510" s="27"/>
      <c r="AA510" s="27"/>
      <c r="AB510" s="27"/>
      <c r="AC510" s="27"/>
      <c r="AD510" s="27"/>
      <c r="AE510" s="27"/>
      <c r="AF510" s="27"/>
      <c r="AG510" s="27"/>
      <c r="AH510" s="27">
        <f>IF(AND(V510=1,Control_Achizitii!$J510="DOSAR COMPLET",Control_Achizitii!$K510&lt;&gt;""),1,0)</f>
        <v>0</v>
      </c>
    </row>
    <row r="511" spans="1:34">
      <c r="A511" s="27"/>
      <c r="B511" s="27"/>
      <c r="C511" s="27"/>
      <c r="D511" s="27"/>
      <c r="E511" s="27"/>
      <c r="F511" s="27"/>
      <c r="G511" s="27"/>
      <c r="H511" s="27"/>
      <c r="I511" s="27"/>
      <c r="J511" s="27"/>
      <c r="K511" s="27"/>
      <c r="L511" s="27"/>
      <c r="M511" s="27"/>
      <c r="N511" s="27"/>
      <c r="O511" s="27"/>
      <c r="P511" s="27"/>
      <c r="Q511" s="27"/>
      <c r="R511" s="27"/>
      <c r="S511" s="27"/>
      <c r="T511" s="27">
        <f>IF(LEFT(Control_Achizitii!$E511,4)="Fact",1,0)</f>
        <v>0</v>
      </c>
      <c r="U511" s="27">
        <f>IF(Control_Achizitii!$C511="",0,IF(ISNUMBER(Control_Achizitii!$B511),0,1))</f>
        <v>0</v>
      </c>
      <c r="V511" s="27">
        <f>IF(Control_Achizitii!$C511="",0,IF($Z$2&lt;&gt;"OK",0,IF(AND(ISNUMBER(Control_Achizitii!$B511),Control_Achizitii!$B511&gt;=$E$5,Control_Achizitii!$B511&lt;$J$5+1,OR($O$5="Toate proiectele",Control_Achizitii!$Q511=$O$5)),1,0)))</f>
        <v>0</v>
      </c>
      <c r="W511" s="27">
        <f>IF(AND(V511=1,OR(Control_Achizitii!$J511&lt;&gt;"DOSAR COMPLET",Control_Achizitii!$K511&lt;&gt;"")),ROW(),1000000000)</f>
        <v>1000000000</v>
      </c>
      <c r="X511" s="27">
        <f>IF(AND(V511=1,LEFT(Control_Achizitii!$E511,4)="Fact",NOT(ISNUMBER(Control_Achizitii!$P511))),1,0)</f>
        <v>0</v>
      </c>
      <c r="Y511" s="27">
        <f>IF(V511=0,0,IF(Control_Achizitii!$J511="DOSAR COMPLET",1,IF(LEFT(Control_Achizitii!$J511,9)="INCOMPLET",2,3)))</f>
        <v>0</v>
      </c>
      <c r="Z511" s="27"/>
      <c r="AA511" s="27"/>
      <c r="AB511" s="27"/>
      <c r="AC511" s="27"/>
      <c r="AD511" s="27"/>
      <c r="AE511" s="27"/>
      <c r="AF511" s="27"/>
      <c r="AG511" s="27"/>
      <c r="AH511" s="27">
        <f>IF(AND(V511=1,Control_Achizitii!$J511="DOSAR COMPLET",Control_Achizitii!$K511&lt;&gt;""),1,0)</f>
        <v>0</v>
      </c>
    </row>
    <row r="512" spans="1:34">
      <c r="A512" s="27"/>
      <c r="B512" s="27"/>
      <c r="C512" s="27"/>
      <c r="D512" s="27"/>
      <c r="E512" s="27"/>
      <c r="F512" s="27"/>
      <c r="G512" s="27"/>
      <c r="H512" s="27"/>
      <c r="I512" s="27"/>
      <c r="J512" s="27"/>
      <c r="K512" s="27"/>
      <c r="L512" s="27"/>
      <c r="M512" s="27"/>
      <c r="N512" s="27"/>
      <c r="O512" s="27"/>
      <c r="P512" s="27"/>
      <c r="Q512" s="27"/>
      <c r="R512" s="27"/>
      <c r="S512" s="27"/>
      <c r="T512" s="27">
        <f>IF(LEFT(Control_Achizitii!$E512,4)="Fact",1,0)</f>
        <v>0</v>
      </c>
      <c r="U512" s="27">
        <f>IF(Control_Achizitii!$C512="",0,IF(ISNUMBER(Control_Achizitii!$B512),0,1))</f>
        <v>0</v>
      </c>
      <c r="V512" s="27">
        <f>IF(Control_Achizitii!$C512="",0,IF($Z$2&lt;&gt;"OK",0,IF(AND(ISNUMBER(Control_Achizitii!$B512),Control_Achizitii!$B512&gt;=$E$5,Control_Achizitii!$B512&lt;$J$5+1,OR($O$5="Toate proiectele",Control_Achizitii!$Q512=$O$5)),1,0)))</f>
        <v>0</v>
      </c>
      <c r="W512" s="27">
        <f>IF(AND(V512=1,OR(Control_Achizitii!$J512&lt;&gt;"DOSAR COMPLET",Control_Achizitii!$K512&lt;&gt;"")),ROW(),1000000000)</f>
        <v>1000000000</v>
      </c>
      <c r="X512" s="27">
        <f>IF(AND(V512=1,LEFT(Control_Achizitii!$E512,4)="Fact",NOT(ISNUMBER(Control_Achizitii!$P512))),1,0)</f>
        <v>0</v>
      </c>
      <c r="Y512" s="27">
        <f>IF(V512=0,0,IF(Control_Achizitii!$J512="DOSAR COMPLET",1,IF(LEFT(Control_Achizitii!$J512,9)="INCOMPLET",2,3)))</f>
        <v>0</v>
      </c>
      <c r="Z512" s="27"/>
      <c r="AA512" s="27"/>
      <c r="AB512" s="27"/>
      <c r="AC512" s="27"/>
      <c r="AD512" s="27"/>
      <c r="AE512" s="27"/>
      <c r="AF512" s="27"/>
      <c r="AG512" s="27"/>
      <c r="AH512" s="27">
        <f>IF(AND(V512=1,Control_Achizitii!$J512="DOSAR COMPLET",Control_Achizitii!$K512&lt;&gt;""),1,0)</f>
        <v>0</v>
      </c>
    </row>
    <row r="513" spans="1:34">
      <c r="A513" s="27"/>
      <c r="B513" s="27"/>
      <c r="C513" s="27"/>
      <c r="D513" s="27"/>
      <c r="E513" s="27"/>
      <c r="F513" s="27"/>
      <c r="G513" s="27"/>
      <c r="H513" s="27"/>
      <c r="I513" s="27"/>
      <c r="J513" s="27"/>
      <c r="K513" s="27"/>
      <c r="L513" s="27"/>
      <c r="M513" s="27"/>
      <c r="N513" s="27"/>
      <c r="O513" s="27"/>
      <c r="P513" s="27"/>
      <c r="Q513" s="27"/>
      <c r="R513" s="27"/>
      <c r="S513" s="27"/>
      <c r="T513" s="27">
        <f>IF(LEFT(Control_Achizitii!$E513,4)="Fact",1,0)</f>
        <v>0</v>
      </c>
      <c r="U513" s="27">
        <f>IF(Control_Achizitii!$C513="",0,IF(ISNUMBER(Control_Achizitii!$B513),0,1))</f>
        <v>0</v>
      </c>
      <c r="V513" s="27">
        <f>IF(Control_Achizitii!$C513="",0,IF($Z$2&lt;&gt;"OK",0,IF(AND(ISNUMBER(Control_Achizitii!$B513),Control_Achizitii!$B513&gt;=$E$5,Control_Achizitii!$B513&lt;$J$5+1,OR($O$5="Toate proiectele",Control_Achizitii!$Q513=$O$5)),1,0)))</f>
        <v>0</v>
      </c>
      <c r="W513" s="27">
        <f>IF(AND(V513=1,OR(Control_Achizitii!$J513&lt;&gt;"DOSAR COMPLET",Control_Achizitii!$K513&lt;&gt;"")),ROW(),1000000000)</f>
        <v>1000000000</v>
      </c>
      <c r="X513" s="27">
        <f>IF(AND(V513=1,LEFT(Control_Achizitii!$E513,4)="Fact",NOT(ISNUMBER(Control_Achizitii!$P513))),1,0)</f>
        <v>0</v>
      </c>
      <c r="Y513" s="27">
        <f>IF(V513=0,0,IF(Control_Achizitii!$J513="DOSAR COMPLET",1,IF(LEFT(Control_Achizitii!$J513,9)="INCOMPLET",2,3)))</f>
        <v>0</v>
      </c>
      <c r="Z513" s="27"/>
      <c r="AA513" s="27"/>
      <c r="AB513" s="27"/>
      <c r="AC513" s="27"/>
      <c r="AD513" s="27"/>
      <c r="AE513" s="27"/>
      <c r="AF513" s="27"/>
      <c r="AG513" s="27"/>
      <c r="AH513" s="27">
        <f>IF(AND(V513=1,Control_Achizitii!$J513="DOSAR COMPLET",Control_Achizitii!$K513&lt;&gt;""),1,0)</f>
        <v>0</v>
      </c>
    </row>
    <row r="514" spans="1:34">
      <c r="A514" s="27"/>
      <c r="B514" s="27"/>
      <c r="C514" s="27"/>
      <c r="D514" s="27"/>
      <c r="E514" s="27"/>
      <c r="F514" s="27"/>
      <c r="G514" s="27"/>
      <c r="H514" s="27"/>
      <c r="I514" s="27"/>
      <c r="J514" s="27"/>
      <c r="K514" s="27"/>
      <c r="L514" s="27"/>
      <c r="M514" s="27"/>
      <c r="N514" s="27"/>
      <c r="O514" s="27"/>
      <c r="P514" s="27"/>
      <c r="Q514" s="27"/>
      <c r="R514" s="27"/>
      <c r="S514" s="27"/>
      <c r="T514" s="27">
        <f>IF(LEFT(Control_Achizitii!$E514,4)="Fact",1,0)</f>
        <v>0</v>
      </c>
      <c r="U514" s="27">
        <f>IF(Control_Achizitii!$C514="",0,IF(ISNUMBER(Control_Achizitii!$B514),0,1))</f>
        <v>0</v>
      </c>
      <c r="V514" s="27">
        <f>IF(Control_Achizitii!$C514="",0,IF($Z$2&lt;&gt;"OK",0,IF(AND(ISNUMBER(Control_Achizitii!$B514),Control_Achizitii!$B514&gt;=$E$5,Control_Achizitii!$B514&lt;$J$5+1,OR($O$5="Toate proiectele",Control_Achizitii!$Q514=$O$5)),1,0)))</f>
        <v>0</v>
      </c>
      <c r="W514" s="27">
        <f>IF(AND(V514=1,OR(Control_Achizitii!$J514&lt;&gt;"DOSAR COMPLET",Control_Achizitii!$K514&lt;&gt;"")),ROW(),1000000000)</f>
        <v>1000000000</v>
      </c>
      <c r="X514" s="27">
        <f>IF(AND(V514=1,LEFT(Control_Achizitii!$E514,4)="Fact",NOT(ISNUMBER(Control_Achizitii!$P514))),1,0)</f>
        <v>0</v>
      </c>
      <c r="Y514" s="27">
        <f>IF(V514=0,0,IF(Control_Achizitii!$J514="DOSAR COMPLET",1,IF(LEFT(Control_Achizitii!$J514,9)="INCOMPLET",2,3)))</f>
        <v>0</v>
      </c>
      <c r="Z514" s="27"/>
      <c r="AA514" s="27"/>
      <c r="AB514" s="27"/>
      <c r="AC514" s="27"/>
      <c r="AD514" s="27"/>
      <c r="AE514" s="27"/>
      <c r="AF514" s="27"/>
      <c r="AG514" s="27"/>
      <c r="AH514" s="27">
        <f>IF(AND(V514=1,Control_Achizitii!$J514="DOSAR COMPLET",Control_Achizitii!$K514&lt;&gt;""),1,0)</f>
        <v>0</v>
      </c>
    </row>
    <row r="515" spans="1:34">
      <c r="A515" s="27"/>
      <c r="B515" s="27"/>
      <c r="C515" s="27"/>
      <c r="D515" s="27"/>
      <c r="E515" s="27"/>
      <c r="F515" s="27"/>
      <c r="G515" s="27"/>
      <c r="H515" s="27"/>
      <c r="I515" s="27"/>
      <c r="J515" s="27"/>
      <c r="K515" s="27"/>
      <c r="L515" s="27"/>
      <c r="M515" s="27"/>
      <c r="N515" s="27"/>
      <c r="O515" s="27"/>
      <c r="P515" s="27"/>
      <c r="Q515" s="27"/>
      <c r="R515" s="27"/>
      <c r="S515" s="27"/>
      <c r="T515" s="27">
        <f>IF(LEFT(Control_Achizitii!$E515,4)="Fact",1,0)</f>
        <v>0</v>
      </c>
      <c r="U515" s="27">
        <f>IF(Control_Achizitii!$C515="",0,IF(ISNUMBER(Control_Achizitii!$B515),0,1))</f>
        <v>0</v>
      </c>
      <c r="V515" s="27">
        <f>IF(Control_Achizitii!$C515="",0,IF($Z$2&lt;&gt;"OK",0,IF(AND(ISNUMBER(Control_Achizitii!$B515),Control_Achizitii!$B515&gt;=$E$5,Control_Achizitii!$B515&lt;$J$5+1,OR($O$5="Toate proiectele",Control_Achizitii!$Q515=$O$5)),1,0)))</f>
        <v>0</v>
      </c>
      <c r="W515" s="27">
        <f>IF(AND(V515=1,OR(Control_Achizitii!$J515&lt;&gt;"DOSAR COMPLET",Control_Achizitii!$K515&lt;&gt;"")),ROW(),1000000000)</f>
        <v>1000000000</v>
      </c>
      <c r="X515" s="27">
        <f>IF(AND(V515=1,LEFT(Control_Achizitii!$E515,4)="Fact",NOT(ISNUMBER(Control_Achizitii!$P515))),1,0)</f>
        <v>0</v>
      </c>
      <c r="Y515" s="27">
        <f>IF(V515=0,0,IF(Control_Achizitii!$J515="DOSAR COMPLET",1,IF(LEFT(Control_Achizitii!$J515,9)="INCOMPLET",2,3)))</f>
        <v>0</v>
      </c>
      <c r="Z515" s="27"/>
      <c r="AA515" s="27"/>
      <c r="AB515" s="27"/>
      <c r="AC515" s="27"/>
      <c r="AD515" s="27"/>
      <c r="AE515" s="27"/>
      <c r="AF515" s="27"/>
      <c r="AG515" s="27"/>
      <c r="AH515" s="27">
        <f>IF(AND(V515=1,Control_Achizitii!$J515="DOSAR COMPLET",Control_Achizitii!$K515&lt;&gt;""),1,0)</f>
        <v>0</v>
      </c>
    </row>
    <row r="516" spans="1:34">
      <c r="A516" s="27"/>
      <c r="B516" s="27"/>
      <c r="C516" s="27"/>
      <c r="D516" s="27"/>
      <c r="E516" s="27"/>
      <c r="F516" s="27"/>
      <c r="G516" s="27"/>
      <c r="H516" s="27"/>
      <c r="I516" s="27"/>
      <c r="J516" s="27"/>
      <c r="K516" s="27"/>
      <c r="L516" s="27"/>
      <c r="M516" s="27"/>
      <c r="N516" s="27"/>
      <c r="O516" s="27"/>
      <c r="P516" s="27"/>
      <c r="Q516" s="27"/>
      <c r="R516" s="27"/>
      <c r="S516" s="27"/>
      <c r="T516" s="27">
        <f>IF(LEFT(Control_Achizitii!$E516,4)="Fact",1,0)</f>
        <v>0</v>
      </c>
      <c r="U516" s="27">
        <f>IF(Control_Achizitii!$C516="",0,IF(ISNUMBER(Control_Achizitii!$B516),0,1))</f>
        <v>0</v>
      </c>
      <c r="V516" s="27">
        <f>IF(Control_Achizitii!$C516="",0,IF($Z$2&lt;&gt;"OK",0,IF(AND(ISNUMBER(Control_Achizitii!$B516),Control_Achizitii!$B516&gt;=$E$5,Control_Achizitii!$B516&lt;$J$5+1,OR($O$5="Toate proiectele",Control_Achizitii!$Q516=$O$5)),1,0)))</f>
        <v>0</v>
      </c>
      <c r="W516" s="27">
        <f>IF(AND(V516=1,OR(Control_Achizitii!$J516&lt;&gt;"DOSAR COMPLET",Control_Achizitii!$K516&lt;&gt;"")),ROW(),1000000000)</f>
        <v>1000000000</v>
      </c>
      <c r="X516" s="27">
        <f>IF(AND(V516=1,LEFT(Control_Achizitii!$E516,4)="Fact",NOT(ISNUMBER(Control_Achizitii!$P516))),1,0)</f>
        <v>0</v>
      </c>
      <c r="Y516" s="27">
        <f>IF(V516=0,0,IF(Control_Achizitii!$J516="DOSAR COMPLET",1,IF(LEFT(Control_Achizitii!$J516,9)="INCOMPLET",2,3)))</f>
        <v>0</v>
      </c>
      <c r="Z516" s="27"/>
      <c r="AA516" s="27"/>
      <c r="AB516" s="27"/>
      <c r="AC516" s="27"/>
      <c r="AD516" s="27"/>
      <c r="AE516" s="27"/>
      <c r="AF516" s="27"/>
      <c r="AG516" s="27"/>
      <c r="AH516" s="27">
        <f>IF(AND(V516=1,Control_Achizitii!$J516="DOSAR COMPLET",Control_Achizitii!$K516&lt;&gt;""),1,0)</f>
        <v>0</v>
      </c>
    </row>
    <row r="517" spans="1:34">
      <c r="A517" s="27"/>
      <c r="B517" s="27"/>
      <c r="C517" s="27"/>
      <c r="D517" s="27"/>
      <c r="E517" s="27"/>
      <c r="F517" s="27"/>
      <c r="G517" s="27"/>
      <c r="H517" s="27"/>
      <c r="I517" s="27"/>
      <c r="J517" s="27"/>
      <c r="K517" s="27"/>
      <c r="L517" s="27"/>
      <c r="M517" s="27"/>
      <c r="N517" s="27"/>
      <c r="O517" s="27"/>
      <c r="P517" s="27"/>
      <c r="Q517" s="27"/>
      <c r="R517" s="27"/>
      <c r="S517" s="27"/>
      <c r="T517" s="27">
        <f>IF(LEFT(Control_Achizitii!$E517,4)="Fact",1,0)</f>
        <v>0</v>
      </c>
      <c r="U517" s="27">
        <f>IF(Control_Achizitii!$C517="",0,IF(ISNUMBER(Control_Achizitii!$B517),0,1))</f>
        <v>0</v>
      </c>
      <c r="V517" s="27">
        <f>IF(Control_Achizitii!$C517="",0,IF($Z$2&lt;&gt;"OK",0,IF(AND(ISNUMBER(Control_Achizitii!$B517),Control_Achizitii!$B517&gt;=$E$5,Control_Achizitii!$B517&lt;$J$5+1,OR($O$5="Toate proiectele",Control_Achizitii!$Q517=$O$5)),1,0)))</f>
        <v>0</v>
      </c>
      <c r="W517" s="27">
        <f>IF(AND(V517=1,OR(Control_Achizitii!$J517&lt;&gt;"DOSAR COMPLET",Control_Achizitii!$K517&lt;&gt;"")),ROW(),1000000000)</f>
        <v>1000000000</v>
      </c>
      <c r="X517" s="27">
        <f>IF(AND(V517=1,LEFT(Control_Achizitii!$E517,4)="Fact",NOT(ISNUMBER(Control_Achizitii!$P517))),1,0)</f>
        <v>0</v>
      </c>
      <c r="Y517" s="27">
        <f>IF(V517=0,0,IF(Control_Achizitii!$J517="DOSAR COMPLET",1,IF(LEFT(Control_Achizitii!$J517,9)="INCOMPLET",2,3)))</f>
        <v>0</v>
      </c>
      <c r="Z517" s="27"/>
      <c r="AA517" s="27"/>
      <c r="AB517" s="27"/>
      <c r="AC517" s="27"/>
      <c r="AD517" s="27"/>
      <c r="AE517" s="27"/>
      <c r="AF517" s="27"/>
      <c r="AG517" s="27"/>
      <c r="AH517" s="27">
        <f>IF(AND(V517=1,Control_Achizitii!$J517="DOSAR COMPLET",Control_Achizitii!$K517&lt;&gt;""),1,0)</f>
        <v>0</v>
      </c>
    </row>
    <row r="518" spans="1:34">
      <c r="A518" s="27"/>
      <c r="B518" s="27"/>
      <c r="C518" s="27"/>
      <c r="D518" s="27"/>
      <c r="E518" s="27"/>
      <c r="F518" s="27"/>
      <c r="G518" s="27"/>
      <c r="H518" s="27"/>
      <c r="I518" s="27"/>
      <c r="J518" s="27"/>
      <c r="K518" s="27"/>
      <c r="L518" s="27"/>
      <c r="M518" s="27"/>
      <c r="N518" s="27"/>
      <c r="O518" s="27"/>
      <c r="P518" s="27"/>
      <c r="Q518" s="27"/>
      <c r="R518" s="27"/>
      <c r="S518" s="27"/>
      <c r="T518" s="27">
        <f>IF(LEFT(Control_Achizitii!$E518,4)="Fact",1,0)</f>
        <v>0</v>
      </c>
      <c r="U518" s="27">
        <f>IF(Control_Achizitii!$C518="",0,IF(ISNUMBER(Control_Achizitii!$B518),0,1))</f>
        <v>0</v>
      </c>
      <c r="V518" s="27">
        <f>IF(Control_Achizitii!$C518="",0,IF($Z$2&lt;&gt;"OK",0,IF(AND(ISNUMBER(Control_Achizitii!$B518),Control_Achizitii!$B518&gt;=$E$5,Control_Achizitii!$B518&lt;$J$5+1,OR($O$5="Toate proiectele",Control_Achizitii!$Q518=$O$5)),1,0)))</f>
        <v>0</v>
      </c>
      <c r="W518" s="27">
        <f>IF(AND(V518=1,OR(Control_Achizitii!$J518&lt;&gt;"DOSAR COMPLET",Control_Achizitii!$K518&lt;&gt;"")),ROW(),1000000000)</f>
        <v>1000000000</v>
      </c>
      <c r="X518" s="27">
        <f>IF(AND(V518=1,LEFT(Control_Achizitii!$E518,4)="Fact",NOT(ISNUMBER(Control_Achizitii!$P518))),1,0)</f>
        <v>0</v>
      </c>
      <c r="Y518" s="27">
        <f>IF(V518=0,0,IF(Control_Achizitii!$J518="DOSAR COMPLET",1,IF(LEFT(Control_Achizitii!$J518,9)="INCOMPLET",2,3)))</f>
        <v>0</v>
      </c>
      <c r="Z518" s="27"/>
      <c r="AA518" s="27"/>
      <c r="AB518" s="27"/>
      <c r="AC518" s="27"/>
      <c r="AD518" s="27"/>
      <c r="AE518" s="27"/>
      <c r="AF518" s="27"/>
      <c r="AG518" s="27"/>
      <c r="AH518" s="27">
        <f>IF(AND(V518=1,Control_Achizitii!$J518="DOSAR COMPLET",Control_Achizitii!$K518&lt;&gt;""),1,0)</f>
        <v>0</v>
      </c>
    </row>
    <row r="519" spans="1:34">
      <c r="A519" s="27"/>
      <c r="B519" s="27"/>
      <c r="C519" s="27"/>
      <c r="D519" s="27"/>
      <c r="E519" s="27"/>
      <c r="F519" s="27"/>
      <c r="G519" s="27"/>
      <c r="H519" s="27"/>
      <c r="I519" s="27"/>
      <c r="J519" s="27"/>
      <c r="K519" s="27"/>
      <c r="L519" s="27"/>
      <c r="M519" s="27"/>
      <c r="N519" s="27"/>
      <c r="O519" s="27"/>
      <c r="P519" s="27"/>
      <c r="Q519" s="27"/>
      <c r="R519" s="27"/>
      <c r="S519" s="27"/>
      <c r="T519" s="27">
        <f>IF(LEFT(Control_Achizitii!$E519,4)="Fact",1,0)</f>
        <v>0</v>
      </c>
      <c r="U519" s="27">
        <f>IF(Control_Achizitii!$C519="",0,IF(ISNUMBER(Control_Achizitii!$B519),0,1))</f>
        <v>0</v>
      </c>
      <c r="V519" s="27">
        <f>IF(Control_Achizitii!$C519="",0,IF($Z$2&lt;&gt;"OK",0,IF(AND(ISNUMBER(Control_Achizitii!$B519),Control_Achizitii!$B519&gt;=$E$5,Control_Achizitii!$B519&lt;$J$5+1,OR($O$5="Toate proiectele",Control_Achizitii!$Q519=$O$5)),1,0)))</f>
        <v>0</v>
      </c>
      <c r="W519" s="27">
        <f>IF(AND(V519=1,OR(Control_Achizitii!$J519&lt;&gt;"DOSAR COMPLET",Control_Achizitii!$K519&lt;&gt;"")),ROW(),1000000000)</f>
        <v>1000000000</v>
      </c>
      <c r="X519" s="27">
        <f>IF(AND(V519=1,LEFT(Control_Achizitii!$E519,4)="Fact",NOT(ISNUMBER(Control_Achizitii!$P519))),1,0)</f>
        <v>0</v>
      </c>
      <c r="Y519" s="27">
        <f>IF(V519=0,0,IF(Control_Achizitii!$J519="DOSAR COMPLET",1,IF(LEFT(Control_Achizitii!$J519,9)="INCOMPLET",2,3)))</f>
        <v>0</v>
      </c>
      <c r="Z519" s="27"/>
      <c r="AA519" s="27"/>
      <c r="AB519" s="27"/>
      <c r="AC519" s="27"/>
      <c r="AD519" s="27"/>
      <c r="AE519" s="27"/>
      <c r="AF519" s="27"/>
      <c r="AG519" s="27"/>
      <c r="AH519" s="27">
        <f>IF(AND(V519=1,Control_Achizitii!$J519="DOSAR COMPLET",Control_Achizitii!$K519&lt;&gt;""),1,0)</f>
        <v>0</v>
      </c>
    </row>
    <row r="520" spans="1:34">
      <c r="A520" s="27"/>
      <c r="B520" s="27"/>
      <c r="C520" s="27"/>
      <c r="D520" s="27"/>
      <c r="E520" s="27"/>
      <c r="F520" s="27"/>
      <c r="G520" s="27"/>
      <c r="H520" s="27"/>
      <c r="I520" s="27"/>
      <c r="J520" s="27"/>
      <c r="K520" s="27"/>
      <c r="L520" s="27"/>
      <c r="M520" s="27"/>
      <c r="N520" s="27"/>
      <c r="O520" s="27"/>
      <c r="P520" s="27"/>
      <c r="Q520" s="27"/>
      <c r="R520" s="27"/>
      <c r="S520" s="27"/>
      <c r="T520" s="27">
        <f>IF(LEFT(Control_Achizitii!$E520,4)="Fact",1,0)</f>
        <v>0</v>
      </c>
      <c r="U520" s="27">
        <f>IF(Control_Achizitii!$C520="",0,IF(ISNUMBER(Control_Achizitii!$B520),0,1))</f>
        <v>0</v>
      </c>
      <c r="V520" s="27">
        <f>IF(Control_Achizitii!$C520="",0,IF($Z$2&lt;&gt;"OK",0,IF(AND(ISNUMBER(Control_Achizitii!$B520),Control_Achizitii!$B520&gt;=$E$5,Control_Achizitii!$B520&lt;$J$5+1,OR($O$5="Toate proiectele",Control_Achizitii!$Q520=$O$5)),1,0)))</f>
        <v>0</v>
      </c>
      <c r="W520" s="27">
        <f>IF(AND(V520=1,OR(Control_Achizitii!$J520&lt;&gt;"DOSAR COMPLET",Control_Achizitii!$K520&lt;&gt;"")),ROW(),1000000000)</f>
        <v>1000000000</v>
      </c>
      <c r="X520" s="27">
        <f>IF(AND(V520=1,LEFT(Control_Achizitii!$E520,4)="Fact",NOT(ISNUMBER(Control_Achizitii!$P520))),1,0)</f>
        <v>0</v>
      </c>
      <c r="Y520" s="27">
        <f>IF(V520=0,0,IF(Control_Achizitii!$J520="DOSAR COMPLET",1,IF(LEFT(Control_Achizitii!$J520,9)="INCOMPLET",2,3)))</f>
        <v>0</v>
      </c>
      <c r="Z520" s="27"/>
      <c r="AA520" s="27"/>
      <c r="AB520" s="27"/>
      <c r="AC520" s="27"/>
      <c r="AD520" s="27"/>
      <c r="AE520" s="27"/>
      <c r="AF520" s="27"/>
      <c r="AG520" s="27"/>
      <c r="AH520" s="27">
        <f>IF(AND(V520=1,Control_Achizitii!$J520="DOSAR COMPLET",Control_Achizitii!$K520&lt;&gt;""),1,0)</f>
        <v>0</v>
      </c>
    </row>
    <row r="521" spans="1:34">
      <c r="A521" s="27"/>
      <c r="B521" s="27"/>
      <c r="C521" s="27"/>
      <c r="D521" s="27"/>
      <c r="E521" s="27"/>
      <c r="F521" s="27"/>
      <c r="G521" s="27"/>
      <c r="H521" s="27"/>
      <c r="I521" s="27"/>
      <c r="J521" s="27"/>
      <c r="K521" s="27"/>
      <c r="L521" s="27"/>
      <c r="M521" s="27"/>
      <c r="N521" s="27"/>
      <c r="O521" s="27"/>
      <c r="P521" s="27"/>
      <c r="Q521" s="27"/>
      <c r="R521" s="27"/>
      <c r="S521" s="27"/>
      <c r="T521" s="27">
        <f>IF(LEFT(Control_Achizitii!$E521,4)="Fact",1,0)</f>
        <v>0</v>
      </c>
      <c r="U521" s="27">
        <f>IF(Control_Achizitii!$C521="",0,IF(ISNUMBER(Control_Achizitii!$B521),0,1))</f>
        <v>0</v>
      </c>
      <c r="V521" s="27">
        <f>IF(Control_Achizitii!$C521="",0,IF($Z$2&lt;&gt;"OK",0,IF(AND(ISNUMBER(Control_Achizitii!$B521),Control_Achizitii!$B521&gt;=$E$5,Control_Achizitii!$B521&lt;$J$5+1,OR($O$5="Toate proiectele",Control_Achizitii!$Q521=$O$5)),1,0)))</f>
        <v>0</v>
      </c>
      <c r="W521" s="27">
        <f>IF(AND(V521=1,OR(Control_Achizitii!$J521&lt;&gt;"DOSAR COMPLET",Control_Achizitii!$K521&lt;&gt;"")),ROW(),1000000000)</f>
        <v>1000000000</v>
      </c>
      <c r="X521" s="27">
        <f>IF(AND(V521=1,LEFT(Control_Achizitii!$E521,4)="Fact",NOT(ISNUMBER(Control_Achizitii!$P521))),1,0)</f>
        <v>0</v>
      </c>
      <c r="Y521" s="27">
        <f>IF(V521=0,0,IF(Control_Achizitii!$J521="DOSAR COMPLET",1,IF(LEFT(Control_Achizitii!$J521,9)="INCOMPLET",2,3)))</f>
        <v>0</v>
      </c>
      <c r="Z521" s="27"/>
      <c r="AA521" s="27"/>
      <c r="AB521" s="27"/>
      <c r="AC521" s="27"/>
      <c r="AD521" s="27"/>
      <c r="AE521" s="27"/>
      <c r="AF521" s="27"/>
      <c r="AG521" s="27"/>
      <c r="AH521" s="27">
        <f>IF(AND(V521=1,Control_Achizitii!$J521="DOSAR COMPLET",Control_Achizitii!$K521&lt;&gt;""),1,0)</f>
        <v>0</v>
      </c>
    </row>
    <row r="522" spans="1:34">
      <c r="A522" s="27"/>
      <c r="B522" s="27"/>
      <c r="C522" s="27"/>
      <c r="D522" s="27"/>
      <c r="E522" s="27"/>
      <c r="F522" s="27"/>
      <c r="G522" s="27"/>
      <c r="H522" s="27"/>
      <c r="I522" s="27"/>
      <c r="J522" s="27"/>
      <c r="K522" s="27"/>
      <c r="L522" s="27"/>
      <c r="M522" s="27"/>
      <c r="N522" s="27"/>
      <c r="O522" s="27"/>
      <c r="P522" s="27"/>
      <c r="Q522" s="27"/>
      <c r="R522" s="27"/>
      <c r="S522" s="27"/>
      <c r="T522" s="27">
        <f>IF(LEFT(Control_Achizitii!$E522,4)="Fact",1,0)</f>
        <v>0</v>
      </c>
      <c r="U522" s="27">
        <f>IF(Control_Achizitii!$C522="",0,IF(ISNUMBER(Control_Achizitii!$B522),0,1))</f>
        <v>0</v>
      </c>
      <c r="V522" s="27">
        <f>IF(Control_Achizitii!$C522="",0,IF($Z$2&lt;&gt;"OK",0,IF(AND(ISNUMBER(Control_Achizitii!$B522),Control_Achizitii!$B522&gt;=$E$5,Control_Achizitii!$B522&lt;$J$5+1,OR($O$5="Toate proiectele",Control_Achizitii!$Q522=$O$5)),1,0)))</f>
        <v>0</v>
      </c>
      <c r="W522" s="27">
        <f>IF(AND(V522=1,OR(Control_Achizitii!$J522&lt;&gt;"DOSAR COMPLET",Control_Achizitii!$K522&lt;&gt;"")),ROW(),1000000000)</f>
        <v>1000000000</v>
      </c>
      <c r="X522" s="27">
        <f>IF(AND(V522=1,LEFT(Control_Achizitii!$E522,4)="Fact",NOT(ISNUMBER(Control_Achizitii!$P522))),1,0)</f>
        <v>0</v>
      </c>
      <c r="Y522" s="27">
        <f>IF(V522=0,0,IF(Control_Achizitii!$J522="DOSAR COMPLET",1,IF(LEFT(Control_Achizitii!$J522,9)="INCOMPLET",2,3)))</f>
        <v>0</v>
      </c>
      <c r="Z522" s="27"/>
      <c r="AA522" s="27"/>
      <c r="AB522" s="27"/>
      <c r="AC522" s="27"/>
      <c r="AD522" s="27"/>
      <c r="AE522" s="27"/>
      <c r="AF522" s="27"/>
      <c r="AG522" s="27"/>
      <c r="AH522" s="27">
        <f>IF(AND(V522=1,Control_Achizitii!$J522="DOSAR COMPLET",Control_Achizitii!$K522&lt;&gt;""),1,0)</f>
        <v>0</v>
      </c>
    </row>
    <row r="523" spans="1:34">
      <c r="A523" s="27"/>
      <c r="B523" s="27"/>
      <c r="C523" s="27"/>
      <c r="D523" s="27"/>
      <c r="E523" s="27"/>
      <c r="F523" s="27"/>
      <c r="G523" s="27"/>
      <c r="H523" s="27"/>
      <c r="I523" s="27"/>
      <c r="J523" s="27"/>
      <c r="K523" s="27"/>
      <c r="L523" s="27"/>
      <c r="M523" s="27"/>
      <c r="N523" s="27"/>
      <c r="O523" s="27"/>
      <c r="P523" s="27"/>
      <c r="Q523" s="27"/>
      <c r="R523" s="27"/>
      <c r="S523" s="27"/>
      <c r="T523" s="27">
        <f>IF(LEFT(Control_Achizitii!$E523,4)="Fact",1,0)</f>
        <v>0</v>
      </c>
      <c r="U523" s="27">
        <f>IF(Control_Achizitii!$C523="",0,IF(ISNUMBER(Control_Achizitii!$B523),0,1))</f>
        <v>0</v>
      </c>
      <c r="V523" s="27">
        <f>IF(Control_Achizitii!$C523="",0,IF($Z$2&lt;&gt;"OK",0,IF(AND(ISNUMBER(Control_Achizitii!$B523),Control_Achizitii!$B523&gt;=$E$5,Control_Achizitii!$B523&lt;$J$5+1,OR($O$5="Toate proiectele",Control_Achizitii!$Q523=$O$5)),1,0)))</f>
        <v>0</v>
      </c>
      <c r="W523" s="27">
        <f>IF(AND(V523=1,OR(Control_Achizitii!$J523&lt;&gt;"DOSAR COMPLET",Control_Achizitii!$K523&lt;&gt;"")),ROW(),1000000000)</f>
        <v>1000000000</v>
      </c>
      <c r="X523" s="27">
        <f>IF(AND(V523=1,LEFT(Control_Achizitii!$E523,4)="Fact",NOT(ISNUMBER(Control_Achizitii!$P523))),1,0)</f>
        <v>0</v>
      </c>
      <c r="Y523" s="27">
        <f>IF(V523=0,0,IF(Control_Achizitii!$J523="DOSAR COMPLET",1,IF(LEFT(Control_Achizitii!$J523,9)="INCOMPLET",2,3)))</f>
        <v>0</v>
      </c>
      <c r="Z523" s="27"/>
      <c r="AA523" s="27"/>
      <c r="AB523" s="27"/>
      <c r="AC523" s="27"/>
      <c r="AD523" s="27"/>
      <c r="AE523" s="27"/>
      <c r="AF523" s="27"/>
      <c r="AG523" s="27"/>
      <c r="AH523" s="27">
        <f>IF(AND(V523=1,Control_Achizitii!$J523="DOSAR COMPLET",Control_Achizitii!$K523&lt;&gt;""),1,0)</f>
        <v>0</v>
      </c>
    </row>
    <row r="524" spans="1:34">
      <c r="A524" s="27"/>
      <c r="B524" s="27"/>
      <c r="C524" s="27"/>
      <c r="D524" s="27"/>
      <c r="E524" s="27"/>
      <c r="F524" s="27"/>
      <c r="G524" s="27"/>
      <c r="H524" s="27"/>
      <c r="I524" s="27"/>
      <c r="J524" s="27"/>
      <c r="K524" s="27"/>
      <c r="L524" s="27"/>
      <c r="M524" s="27"/>
      <c r="N524" s="27"/>
      <c r="O524" s="27"/>
      <c r="P524" s="27"/>
      <c r="Q524" s="27"/>
      <c r="R524" s="27"/>
      <c r="S524" s="27"/>
      <c r="T524" s="27">
        <f>IF(LEFT(Control_Achizitii!$E524,4)="Fact",1,0)</f>
        <v>0</v>
      </c>
      <c r="U524" s="27">
        <f>IF(Control_Achizitii!$C524="",0,IF(ISNUMBER(Control_Achizitii!$B524),0,1))</f>
        <v>0</v>
      </c>
      <c r="V524" s="27">
        <f>IF(Control_Achizitii!$C524="",0,IF($Z$2&lt;&gt;"OK",0,IF(AND(ISNUMBER(Control_Achizitii!$B524),Control_Achizitii!$B524&gt;=$E$5,Control_Achizitii!$B524&lt;$J$5+1,OR($O$5="Toate proiectele",Control_Achizitii!$Q524=$O$5)),1,0)))</f>
        <v>0</v>
      </c>
      <c r="W524" s="27">
        <f>IF(AND(V524=1,OR(Control_Achizitii!$J524&lt;&gt;"DOSAR COMPLET",Control_Achizitii!$K524&lt;&gt;"")),ROW(),1000000000)</f>
        <v>1000000000</v>
      </c>
      <c r="X524" s="27">
        <f>IF(AND(V524=1,LEFT(Control_Achizitii!$E524,4)="Fact",NOT(ISNUMBER(Control_Achizitii!$P524))),1,0)</f>
        <v>0</v>
      </c>
      <c r="Y524" s="27">
        <f>IF(V524=0,0,IF(Control_Achizitii!$J524="DOSAR COMPLET",1,IF(LEFT(Control_Achizitii!$J524,9)="INCOMPLET",2,3)))</f>
        <v>0</v>
      </c>
      <c r="Z524" s="27"/>
      <c r="AA524" s="27"/>
      <c r="AB524" s="27"/>
      <c r="AC524" s="27"/>
      <c r="AD524" s="27"/>
      <c r="AE524" s="27"/>
      <c r="AF524" s="27"/>
      <c r="AG524" s="27"/>
      <c r="AH524" s="27">
        <f>IF(AND(V524=1,Control_Achizitii!$J524="DOSAR COMPLET",Control_Achizitii!$K524&lt;&gt;""),1,0)</f>
        <v>0</v>
      </c>
    </row>
    <row r="525" spans="1:34">
      <c r="A525" s="27"/>
      <c r="B525" s="27"/>
      <c r="C525" s="27"/>
      <c r="D525" s="27"/>
      <c r="E525" s="27"/>
      <c r="F525" s="27"/>
      <c r="G525" s="27"/>
      <c r="H525" s="27"/>
      <c r="I525" s="27"/>
      <c r="J525" s="27"/>
      <c r="K525" s="27"/>
      <c r="L525" s="27"/>
      <c r="M525" s="27"/>
      <c r="N525" s="27"/>
      <c r="O525" s="27"/>
      <c r="P525" s="27"/>
      <c r="Q525" s="27"/>
      <c r="R525" s="27"/>
      <c r="S525" s="27"/>
      <c r="T525" s="27">
        <f>IF(LEFT(Control_Achizitii!$E525,4)="Fact",1,0)</f>
        <v>0</v>
      </c>
      <c r="U525" s="27">
        <f>IF(Control_Achizitii!$C525="",0,IF(ISNUMBER(Control_Achizitii!$B525),0,1))</f>
        <v>0</v>
      </c>
      <c r="V525" s="27">
        <f>IF(Control_Achizitii!$C525="",0,IF($Z$2&lt;&gt;"OK",0,IF(AND(ISNUMBER(Control_Achizitii!$B525),Control_Achizitii!$B525&gt;=$E$5,Control_Achizitii!$B525&lt;$J$5+1,OR($O$5="Toate proiectele",Control_Achizitii!$Q525=$O$5)),1,0)))</f>
        <v>0</v>
      </c>
      <c r="W525" s="27">
        <f>IF(AND(V525=1,OR(Control_Achizitii!$J525&lt;&gt;"DOSAR COMPLET",Control_Achizitii!$K525&lt;&gt;"")),ROW(),1000000000)</f>
        <v>1000000000</v>
      </c>
      <c r="X525" s="27">
        <f>IF(AND(V525=1,LEFT(Control_Achizitii!$E525,4)="Fact",NOT(ISNUMBER(Control_Achizitii!$P525))),1,0)</f>
        <v>0</v>
      </c>
      <c r="Y525" s="27">
        <f>IF(V525=0,0,IF(Control_Achizitii!$J525="DOSAR COMPLET",1,IF(LEFT(Control_Achizitii!$J525,9)="INCOMPLET",2,3)))</f>
        <v>0</v>
      </c>
      <c r="Z525" s="27"/>
      <c r="AA525" s="27"/>
      <c r="AB525" s="27"/>
      <c r="AC525" s="27"/>
      <c r="AD525" s="27"/>
      <c r="AE525" s="27"/>
      <c r="AF525" s="27"/>
      <c r="AG525" s="27"/>
      <c r="AH525" s="27">
        <f>IF(AND(V525=1,Control_Achizitii!$J525="DOSAR COMPLET",Control_Achizitii!$K525&lt;&gt;""),1,0)</f>
        <v>0</v>
      </c>
    </row>
    <row r="526" spans="1:34">
      <c r="A526" s="27"/>
      <c r="B526" s="27"/>
      <c r="C526" s="27"/>
      <c r="D526" s="27"/>
      <c r="E526" s="27"/>
      <c r="F526" s="27"/>
      <c r="G526" s="27"/>
      <c r="H526" s="27"/>
      <c r="I526" s="27"/>
      <c r="J526" s="27"/>
      <c r="K526" s="27"/>
      <c r="L526" s="27"/>
      <c r="M526" s="27"/>
      <c r="N526" s="27"/>
      <c r="O526" s="27"/>
      <c r="P526" s="27"/>
      <c r="Q526" s="27"/>
      <c r="R526" s="27"/>
      <c r="S526" s="27"/>
      <c r="T526" s="27">
        <f>IF(LEFT(Control_Achizitii!$E526,4)="Fact",1,0)</f>
        <v>0</v>
      </c>
      <c r="U526" s="27">
        <f>IF(Control_Achizitii!$C526="",0,IF(ISNUMBER(Control_Achizitii!$B526),0,1))</f>
        <v>0</v>
      </c>
      <c r="V526" s="27">
        <f>IF(Control_Achizitii!$C526="",0,IF($Z$2&lt;&gt;"OK",0,IF(AND(ISNUMBER(Control_Achizitii!$B526),Control_Achizitii!$B526&gt;=$E$5,Control_Achizitii!$B526&lt;$J$5+1,OR($O$5="Toate proiectele",Control_Achizitii!$Q526=$O$5)),1,0)))</f>
        <v>0</v>
      </c>
      <c r="W526" s="27">
        <f>IF(AND(V526=1,OR(Control_Achizitii!$J526&lt;&gt;"DOSAR COMPLET",Control_Achizitii!$K526&lt;&gt;"")),ROW(),1000000000)</f>
        <v>1000000000</v>
      </c>
      <c r="X526" s="27">
        <f>IF(AND(V526=1,LEFT(Control_Achizitii!$E526,4)="Fact",NOT(ISNUMBER(Control_Achizitii!$P526))),1,0)</f>
        <v>0</v>
      </c>
      <c r="Y526" s="27">
        <f>IF(V526=0,0,IF(Control_Achizitii!$J526="DOSAR COMPLET",1,IF(LEFT(Control_Achizitii!$J526,9)="INCOMPLET",2,3)))</f>
        <v>0</v>
      </c>
      <c r="Z526" s="27"/>
      <c r="AA526" s="27"/>
      <c r="AB526" s="27"/>
      <c r="AC526" s="27"/>
      <c r="AD526" s="27"/>
      <c r="AE526" s="27"/>
      <c r="AF526" s="27"/>
      <c r="AG526" s="27"/>
      <c r="AH526" s="27">
        <f>IF(AND(V526=1,Control_Achizitii!$J526="DOSAR COMPLET",Control_Achizitii!$K526&lt;&gt;""),1,0)</f>
        <v>0</v>
      </c>
    </row>
    <row r="527" spans="1:34">
      <c r="A527" s="27"/>
      <c r="B527" s="27"/>
      <c r="C527" s="27"/>
      <c r="D527" s="27"/>
      <c r="E527" s="27"/>
      <c r="F527" s="27"/>
      <c r="G527" s="27"/>
      <c r="H527" s="27"/>
      <c r="I527" s="27"/>
      <c r="J527" s="27"/>
      <c r="K527" s="27"/>
      <c r="L527" s="27"/>
      <c r="M527" s="27"/>
      <c r="N527" s="27"/>
      <c r="O527" s="27"/>
      <c r="P527" s="27"/>
      <c r="Q527" s="27"/>
      <c r="R527" s="27"/>
      <c r="S527" s="27"/>
      <c r="T527" s="27">
        <f>IF(LEFT(Control_Achizitii!$E527,4)="Fact",1,0)</f>
        <v>0</v>
      </c>
      <c r="U527" s="27">
        <f>IF(Control_Achizitii!$C527="",0,IF(ISNUMBER(Control_Achizitii!$B527),0,1))</f>
        <v>0</v>
      </c>
      <c r="V527" s="27">
        <f>IF(Control_Achizitii!$C527="",0,IF($Z$2&lt;&gt;"OK",0,IF(AND(ISNUMBER(Control_Achizitii!$B527),Control_Achizitii!$B527&gt;=$E$5,Control_Achizitii!$B527&lt;$J$5+1,OR($O$5="Toate proiectele",Control_Achizitii!$Q527=$O$5)),1,0)))</f>
        <v>0</v>
      </c>
      <c r="W527" s="27">
        <f>IF(AND(V527=1,OR(Control_Achizitii!$J527&lt;&gt;"DOSAR COMPLET",Control_Achizitii!$K527&lt;&gt;"")),ROW(),1000000000)</f>
        <v>1000000000</v>
      </c>
      <c r="X527" s="27">
        <f>IF(AND(V527=1,LEFT(Control_Achizitii!$E527,4)="Fact",NOT(ISNUMBER(Control_Achizitii!$P527))),1,0)</f>
        <v>0</v>
      </c>
      <c r="Y527" s="27">
        <f>IF(V527=0,0,IF(Control_Achizitii!$J527="DOSAR COMPLET",1,IF(LEFT(Control_Achizitii!$J527,9)="INCOMPLET",2,3)))</f>
        <v>0</v>
      </c>
      <c r="Z527" s="27"/>
      <c r="AA527" s="27"/>
      <c r="AB527" s="27"/>
      <c r="AC527" s="27"/>
      <c r="AD527" s="27"/>
      <c r="AE527" s="27"/>
      <c r="AF527" s="27"/>
      <c r="AG527" s="27"/>
      <c r="AH527" s="27">
        <f>IF(AND(V527=1,Control_Achizitii!$J527="DOSAR COMPLET",Control_Achizitii!$K527&lt;&gt;""),1,0)</f>
        <v>0</v>
      </c>
    </row>
    <row r="528" spans="1:34">
      <c r="A528" s="27"/>
      <c r="B528" s="27"/>
      <c r="C528" s="27"/>
      <c r="D528" s="27"/>
      <c r="E528" s="27"/>
      <c r="F528" s="27"/>
      <c r="G528" s="27"/>
      <c r="H528" s="27"/>
      <c r="I528" s="27"/>
      <c r="J528" s="27"/>
      <c r="K528" s="27"/>
      <c r="L528" s="27"/>
      <c r="M528" s="27"/>
      <c r="N528" s="27"/>
      <c r="O528" s="27"/>
      <c r="P528" s="27"/>
      <c r="Q528" s="27"/>
      <c r="R528" s="27"/>
      <c r="S528" s="27"/>
      <c r="T528" s="27">
        <f>IF(LEFT(Control_Achizitii!$E528,4)="Fact",1,0)</f>
        <v>0</v>
      </c>
      <c r="U528" s="27">
        <f>IF(Control_Achizitii!$C528="",0,IF(ISNUMBER(Control_Achizitii!$B528),0,1))</f>
        <v>0</v>
      </c>
      <c r="V528" s="27">
        <f>IF(Control_Achizitii!$C528="",0,IF($Z$2&lt;&gt;"OK",0,IF(AND(ISNUMBER(Control_Achizitii!$B528),Control_Achizitii!$B528&gt;=$E$5,Control_Achizitii!$B528&lt;$J$5+1,OR($O$5="Toate proiectele",Control_Achizitii!$Q528=$O$5)),1,0)))</f>
        <v>0</v>
      </c>
      <c r="W528" s="27">
        <f>IF(AND(V528=1,OR(Control_Achizitii!$J528&lt;&gt;"DOSAR COMPLET",Control_Achizitii!$K528&lt;&gt;"")),ROW(),1000000000)</f>
        <v>1000000000</v>
      </c>
      <c r="X528" s="27">
        <f>IF(AND(V528=1,LEFT(Control_Achizitii!$E528,4)="Fact",NOT(ISNUMBER(Control_Achizitii!$P528))),1,0)</f>
        <v>0</v>
      </c>
      <c r="Y528" s="27">
        <f>IF(V528=0,0,IF(Control_Achizitii!$J528="DOSAR COMPLET",1,IF(LEFT(Control_Achizitii!$J528,9)="INCOMPLET",2,3)))</f>
        <v>0</v>
      </c>
      <c r="Z528" s="27"/>
      <c r="AA528" s="27"/>
      <c r="AB528" s="27"/>
      <c r="AC528" s="27"/>
      <c r="AD528" s="27"/>
      <c r="AE528" s="27"/>
      <c r="AF528" s="27"/>
      <c r="AG528" s="27"/>
      <c r="AH528" s="27">
        <f>IF(AND(V528=1,Control_Achizitii!$J528="DOSAR COMPLET",Control_Achizitii!$K528&lt;&gt;""),1,0)</f>
        <v>0</v>
      </c>
    </row>
    <row r="529" spans="1:34">
      <c r="A529" s="27"/>
      <c r="B529" s="27"/>
      <c r="C529" s="27"/>
      <c r="D529" s="27"/>
      <c r="E529" s="27"/>
      <c r="F529" s="27"/>
      <c r="G529" s="27"/>
      <c r="H529" s="27"/>
      <c r="I529" s="27"/>
      <c r="J529" s="27"/>
      <c r="K529" s="27"/>
      <c r="L529" s="27"/>
      <c r="M529" s="27"/>
      <c r="N529" s="27"/>
      <c r="O529" s="27"/>
      <c r="P529" s="27"/>
      <c r="Q529" s="27"/>
      <c r="R529" s="27"/>
      <c r="S529" s="27"/>
      <c r="T529" s="27">
        <f>IF(LEFT(Control_Achizitii!$E529,4)="Fact",1,0)</f>
        <v>0</v>
      </c>
      <c r="U529" s="27">
        <f>IF(Control_Achizitii!$C529="",0,IF(ISNUMBER(Control_Achizitii!$B529),0,1))</f>
        <v>0</v>
      </c>
      <c r="V529" s="27">
        <f>IF(Control_Achizitii!$C529="",0,IF($Z$2&lt;&gt;"OK",0,IF(AND(ISNUMBER(Control_Achizitii!$B529),Control_Achizitii!$B529&gt;=$E$5,Control_Achizitii!$B529&lt;$J$5+1,OR($O$5="Toate proiectele",Control_Achizitii!$Q529=$O$5)),1,0)))</f>
        <v>0</v>
      </c>
      <c r="W529" s="27">
        <f>IF(AND(V529=1,OR(Control_Achizitii!$J529&lt;&gt;"DOSAR COMPLET",Control_Achizitii!$K529&lt;&gt;"")),ROW(),1000000000)</f>
        <v>1000000000</v>
      </c>
      <c r="X529" s="27">
        <f>IF(AND(V529=1,LEFT(Control_Achizitii!$E529,4)="Fact",NOT(ISNUMBER(Control_Achizitii!$P529))),1,0)</f>
        <v>0</v>
      </c>
      <c r="Y529" s="27">
        <f>IF(V529=0,0,IF(Control_Achizitii!$J529="DOSAR COMPLET",1,IF(LEFT(Control_Achizitii!$J529,9)="INCOMPLET",2,3)))</f>
        <v>0</v>
      </c>
      <c r="Z529" s="27"/>
      <c r="AA529" s="27"/>
      <c r="AB529" s="27"/>
      <c r="AC529" s="27"/>
      <c r="AD529" s="27"/>
      <c r="AE529" s="27"/>
      <c r="AF529" s="27"/>
      <c r="AG529" s="27"/>
      <c r="AH529" s="27">
        <f>IF(AND(V529=1,Control_Achizitii!$J529="DOSAR COMPLET",Control_Achizitii!$K529&lt;&gt;""),1,0)</f>
        <v>0</v>
      </c>
    </row>
    <row r="530" spans="1:34">
      <c r="A530" s="27"/>
      <c r="B530" s="27"/>
      <c r="C530" s="27"/>
      <c r="D530" s="27"/>
      <c r="E530" s="27"/>
      <c r="F530" s="27"/>
      <c r="G530" s="27"/>
      <c r="H530" s="27"/>
      <c r="I530" s="27"/>
      <c r="J530" s="27"/>
      <c r="K530" s="27"/>
      <c r="L530" s="27"/>
      <c r="M530" s="27"/>
      <c r="N530" s="27"/>
      <c r="O530" s="27"/>
      <c r="P530" s="27"/>
      <c r="Q530" s="27"/>
      <c r="R530" s="27"/>
      <c r="S530" s="27"/>
      <c r="T530" s="27">
        <f>IF(LEFT(Control_Achizitii!$E530,4)="Fact",1,0)</f>
        <v>0</v>
      </c>
      <c r="U530" s="27">
        <f>IF(Control_Achizitii!$C530="",0,IF(ISNUMBER(Control_Achizitii!$B530),0,1))</f>
        <v>0</v>
      </c>
      <c r="V530" s="27">
        <f>IF(Control_Achizitii!$C530="",0,IF($Z$2&lt;&gt;"OK",0,IF(AND(ISNUMBER(Control_Achizitii!$B530),Control_Achizitii!$B530&gt;=$E$5,Control_Achizitii!$B530&lt;$J$5+1,OR($O$5="Toate proiectele",Control_Achizitii!$Q530=$O$5)),1,0)))</f>
        <v>0</v>
      </c>
      <c r="W530" s="27">
        <f>IF(AND(V530=1,OR(Control_Achizitii!$J530&lt;&gt;"DOSAR COMPLET",Control_Achizitii!$K530&lt;&gt;"")),ROW(),1000000000)</f>
        <v>1000000000</v>
      </c>
      <c r="X530" s="27">
        <f>IF(AND(V530=1,LEFT(Control_Achizitii!$E530,4)="Fact",NOT(ISNUMBER(Control_Achizitii!$P530))),1,0)</f>
        <v>0</v>
      </c>
      <c r="Y530" s="27">
        <f>IF(V530=0,0,IF(Control_Achizitii!$J530="DOSAR COMPLET",1,IF(LEFT(Control_Achizitii!$J530,9)="INCOMPLET",2,3)))</f>
        <v>0</v>
      </c>
      <c r="Z530" s="27"/>
      <c r="AA530" s="27"/>
      <c r="AB530" s="27"/>
      <c r="AC530" s="27"/>
      <c r="AD530" s="27"/>
      <c r="AE530" s="27"/>
      <c r="AF530" s="27"/>
      <c r="AG530" s="27"/>
      <c r="AH530" s="27">
        <f>IF(AND(V530=1,Control_Achizitii!$J530="DOSAR COMPLET",Control_Achizitii!$K530&lt;&gt;""),1,0)</f>
        <v>0</v>
      </c>
    </row>
    <row r="531" spans="1:34">
      <c r="A531" s="27"/>
      <c r="B531" s="27"/>
      <c r="C531" s="27"/>
      <c r="D531" s="27"/>
      <c r="E531" s="27"/>
      <c r="F531" s="27"/>
      <c r="G531" s="27"/>
      <c r="H531" s="27"/>
      <c r="I531" s="27"/>
      <c r="J531" s="27"/>
      <c r="K531" s="27"/>
      <c r="L531" s="27"/>
      <c r="M531" s="27"/>
      <c r="N531" s="27"/>
      <c r="O531" s="27"/>
      <c r="P531" s="27"/>
      <c r="Q531" s="27"/>
      <c r="R531" s="27"/>
      <c r="S531" s="27"/>
      <c r="T531" s="27">
        <f>IF(LEFT(Control_Achizitii!$E531,4)="Fact",1,0)</f>
        <v>0</v>
      </c>
      <c r="U531" s="27">
        <f>IF(Control_Achizitii!$C531="",0,IF(ISNUMBER(Control_Achizitii!$B531),0,1))</f>
        <v>0</v>
      </c>
      <c r="V531" s="27">
        <f>IF(Control_Achizitii!$C531="",0,IF($Z$2&lt;&gt;"OK",0,IF(AND(ISNUMBER(Control_Achizitii!$B531),Control_Achizitii!$B531&gt;=$E$5,Control_Achizitii!$B531&lt;$J$5+1,OR($O$5="Toate proiectele",Control_Achizitii!$Q531=$O$5)),1,0)))</f>
        <v>0</v>
      </c>
      <c r="W531" s="27">
        <f>IF(AND(V531=1,OR(Control_Achizitii!$J531&lt;&gt;"DOSAR COMPLET",Control_Achizitii!$K531&lt;&gt;"")),ROW(),1000000000)</f>
        <v>1000000000</v>
      </c>
      <c r="X531" s="27">
        <f>IF(AND(V531=1,LEFT(Control_Achizitii!$E531,4)="Fact",NOT(ISNUMBER(Control_Achizitii!$P531))),1,0)</f>
        <v>0</v>
      </c>
      <c r="Y531" s="27">
        <f>IF(V531=0,0,IF(Control_Achizitii!$J531="DOSAR COMPLET",1,IF(LEFT(Control_Achizitii!$J531,9)="INCOMPLET",2,3)))</f>
        <v>0</v>
      </c>
      <c r="Z531" s="27"/>
      <c r="AA531" s="27"/>
      <c r="AB531" s="27"/>
      <c r="AC531" s="27"/>
      <c r="AD531" s="27"/>
      <c r="AE531" s="27"/>
      <c r="AF531" s="27"/>
      <c r="AG531" s="27"/>
      <c r="AH531" s="27">
        <f>IF(AND(V531=1,Control_Achizitii!$J531="DOSAR COMPLET",Control_Achizitii!$K531&lt;&gt;""),1,0)</f>
        <v>0</v>
      </c>
    </row>
    <row r="532" spans="1:34">
      <c r="A532" s="27"/>
      <c r="B532" s="27"/>
      <c r="C532" s="27"/>
      <c r="D532" s="27"/>
      <c r="E532" s="27"/>
      <c r="F532" s="27"/>
      <c r="G532" s="27"/>
      <c r="H532" s="27"/>
      <c r="I532" s="27"/>
      <c r="J532" s="27"/>
      <c r="K532" s="27"/>
      <c r="L532" s="27"/>
      <c r="M532" s="27"/>
      <c r="N532" s="27"/>
      <c r="O532" s="27"/>
      <c r="P532" s="27"/>
      <c r="Q532" s="27"/>
      <c r="R532" s="27"/>
      <c r="S532" s="27"/>
      <c r="T532" s="27">
        <f>IF(LEFT(Control_Achizitii!$E532,4)="Fact",1,0)</f>
        <v>0</v>
      </c>
      <c r="U532" s="27">
        <f>IF(Control_Achizitii!$C532="",0,IF(ISNUMBER(Control_Achizitii!$B532),0,1))</f>
        <v>0</v>
      </c>
      <c r="V532" s="27">
        <f>IF(Control_Achizitii!$C532="",0,IF($Z$2&lt;&gt;"OK",0,IF(AND(ISNUMBER(Control_Achizitii!$B532),Control_Achizitii!$B532&gt;=$E$5,Control_Achizitii!$B532&lt;$J$5+1,OR($O$5="Toate proiectele",Control_Achizitii!$Q532=$O$5)),1,0)))</f>
        <v>0</v>
      </c>
      <c r="W532" s="27">
        <f>IF(AND(V532=1,OR(Control_Achizitii!$J532&lt;&gt;"DOSAR COMPLET",Control_Achizitii!$K532&lt;&gt;"")),ROW(),1000000000)</f>
        <v>1000000000</v>
      </c>
      <c r="X532" s="27">
        <f>IF(AND(V532=1,LEFT(Control_Achizitii!$E532,4)="Fact",NOT(ISNUMBER(Control_Achizitii!$P532))),1,0)</f>
        <v>0</v>
      </c>
      <c r="Y532" s="27">
        <f>IF(V532=0,0,IF(Control_Achizitii!$J532="DOSAR COMPLET",1,IF(LEFT(Control_Achizitii!$J532,9)="INCOMPLET",2,3)))</f>
        <v>0</v>
      </c>
      <c r="Z532" s="27"/>
      <c r="AA532" s="27"/>
      <c r="AB532" s="27"/>
      <c r="AC532" s="27"/>
      <c r="AD532" s="27"/>
      <c r="AE532" s="27"/>
      <c r="AF532" s="27"/>
      <c r="AG532" s="27"/>
      <c r="AH532" s="27">
        <f>IF(AND(V532=1,Control_Achizitii!$J532="DOSAR COMPLET",Control_Achizitii!$K532&lt;&gt;""),1,0)</f>
        <v>0</v>
      </c>
    </row>
    <row r="533" spans="1:34">
      <c r="A533" s="27"/>
      <c r="B533" s="27"/>
      <c r="C533" s="27"/>
      <c r="D533" s="27"/>
      <c r="E533" s="27"/>
      <c r="F533" s="27"/>
      <c r="G533" s="27"/>
      <c r="H533" s="27"/>
      <c r="I533" s="27"/>
      <c r="J533" s="27"/>
      <c r="K533" s="27"/>
      <c r="L533" s="27"/>
      <c r="M533" s="27"/>
      <c r="N533" s="27"/>
      <c r="O533" s="27"/>
      <c r="P533" s="27"/>
      <c r="Q533" s="27"/>
      <c r="R533" s="27"/>
      <c r="S533" s="27"/>
      <c r="T533" s="27">
        <f>IF(LEFT(Control_Achizitii!$E533,4)="Fact",1,0)</f>
        <v>0</v>
      </c>
      <c r="U533" s="27">
        <f>IF(Control_Achizitii!$C533="",0,IF(ISNUMBER(Control_Achizitii!$B533),0,1))</f>
        <v>0</v>
      </c>
      <c r="V533" s="27">
        <f>IF(Control_Achizitii!$C533="",0,IF($Z$2&lt;&gt;"OK",0,IF(AND(ISNUMBER(Control_Achizitii!$B533),Control_Achizitii!$B533&gt;=$E$5,Control_Achizitii!$B533&lt;$J$5+1,OR($O$5="Toate proiectele",Control_Achizitii!$Q533=$O$5)),1,0)))</f>
        <v>0</v>
      </c>
      <c r="W533" s="27">
        <f>IF(AND(V533=1,OR(Control_Achizitii!$J533&lt;&gt;"DOSAR COMPLET",Control_Achizitii!$K533&lt;&gt;"")),ROW(),1000000000)</f>
        <v>1000000000</v>
      </c>
      <c r="X533" s="27">
        <f>IF(AND(V533=1,LEFT(Control_Achizitii!$E533,4)="Fact",NOT(ISNUMBER(Control_Achizitii!$P533))),1,0)</f>
        <v>0</v>
      </c>
      <c r="Y533" s="27">
        <f>IF(V533=0,0,IF(Control_Achizitii!$J533="DOSAR COMPLET",1,IF(LEFT(Control_Achizitii!$J533,9)="INCOMPLET",2,3)))</f>
        <v>0</v>
      </c>
      <c r="Z533" s="27"/>
      <c r="AA533" s="27"/>
      <c r="AB533" s="27"/>
      <c r="AC533" s="27"/>
      <c r="AD533" s="27"/>
      <c r="AE533" s="27"/>
      <c r="AF533" s="27"/>
      <c r="AG533" s="27"/>
      <c r="AH533" s="27">
        <f>IF(AND(V533=1,Control_Achizitii!$J533="DOSAR COMPLET",Control_Achizitii!$K533&lt;&gt;""),1,0)</f>
        <v>0</v>
      </c>
    </row>
    <row r="534" spans="1:34">
      <c r="A534" s="27"/>
      <c r="B534" s="27"/>
      <c r="C534" s="27"/>
      <c r="D534" s="27"/>
      <c r="E534" s="27"/>
      <c r="F534" s="27"/>
      <c r="G534" s="27"/>
      <c r="H534" s="27"/>
      <c r="I534" s="27"/>
      <c r="J534" s="27"/>
      <c r="K534" s="27"/>
      <c r="L534" s="27"/>
      <c r="M534" s="27"/>
      <c r="N534" s="27"/>
      <c r="O534" s="27"/>
      <c r="P534" s="27"/>
      <c r="Q534" s="27"/>
      <c r="R534" s="27"/>
      <c r="S534" s="27"/>
      <c r="T534" s="27">
        <f>IF(LEFT(Control_Achizitii!$E534,4)="Fact",1,0)</f>
        <v>0</v>
      </c>
      <c r="U534" s="27">
        <f>IF(Control_Achizitii!$C534="",0,IF(ISNUMBER(Control_Achizitii!$B534),0,1))</f>
        <v>0</v>
      </c>
      <c r="V534" s="27">
        <f>IF(Control_Achizitii!$C534="",0,IF($Z$2&lt;&gt;"OK",0,IF(AND(ISNUMBER(Control_Achizitii!$B534),Control_Achizitii!$B534&gt;=$E$5,Control_Achizitii!$B534&lt;$J$5+1,OR($O$5="Toate proiectele",Control_Achizitii!$Q534=$O$5)),1,0)))</f>
        <v>0</v>
      </c>
      <c r="W534" s="27">
        <f>IF(AND(V534=1,OR(Control_Achizitii!$J534&lt;&gt;"DOSAR COMPLET",Control_Achizitii!$K534&lt;&gt;"")),ROW(),1000000000)</f>
        <v>1000000000</v>
      </c>
      <c r="X534" s="27">
        <f>IF(AND(V534=1,LEFT(Control_Achizitii!$E534,4)="Fact",NOT(ISNUMBER(Control_Achizitii!$P534))),1,0)</f>
        <v>0</v>
      </c>
      <c r="Y534" s="27">
        <f>IF(V534=0,0,IF(Control_Achizitii!$J534="DOSAR COMPLET",1,IF(LEFT(Control_Achizitii!$J534,9)="INCOMPLET",2,3)))</f>
        <v>0</v>
      </c>
      <c r="Z534" s="27"/>
      <c r="AA534" s="27"/>
      <c r="AB534" s="27"/>
      <c r="AC534" s="27"/>
      <c r="AD534" s="27"/>
      <c r="AE534" s="27"/>
      <c r="AF534" s="27"/>
      <c r="AG534" s="27"/>
      <c r="AH534" s="27">
        <f>IF(AND(V534=1,Control_Achizitii!$J534="DOSAR COMPLET",Control_Achizitii!$K534&lt;&gt;""),1,0)</f>
        <v>0</v>
      </c>
    </row>
    <row r="535" spans="1:34">
      <c r="A535" s="27"/>
      <c r="B535" s="27"/>
      <c r="C535" s="27"/>
      <c r="D535" s="27"/>
      <c r="E535" s="27"/>
      <c r="F535" s="27"/>
      <c r="G535" s="27"/>
      <c r="H535" s="27"/>
      <c r="I535" s="27"/>
      <c r="J535" s="27"/>
      <c r="K535" s="27"/>
      <c r="L535" s="27"/>
      <c r="M535" s="27"/>
      <c r="N535" s="27"/>
      <c r="O535" s="27"/>
      <c r="P535" s="27"/>
      <c r="Q535" s="27"/>
      <c r="R535" s="27"/>
      <c r="S535" s="27"/>
      <c r="T535" s="27">
        <f>IF(LEFT(Control_Achizitii!$E535,4)="Fact",1,0)</f>
        <v>0</v>
      </c>
      <c r="U535" s="27">
        <f>IF(Control_Achizitii!$C535="",0,IF(ISNUMBER(Control_Achizitii!$B535),0,1))</f>
        <v>0</v>
      </c>
      <c r="V535" s="27">
        <f>IF(Control_Achizitii!$C535="",0,IF($Z$2&lt;&gt;"OK",0,IF(AND(ISNUMBER(Control_Achizitii!$B535),Control_Achizitii!$B535&gt;=$E$5,Control_Achizitii!$B535&lt;$J$5+1,OR($O$5="Toate proiectele",Control_Achizitii!$Q535=$O$5)),1,0)))</f>
        <v>0</v>
      </c>
      <c r="W535" s="27">
        <f>IF(AND(V535=1,OR(Control_Achizitii!$J535&lt;&gt;"DOSAR COMPLET",Control_Achizitii!$K535&lt;&gt;"")),ROW(),1000000000)</f>
        <v>1000000000</v>
      </c>
      <c r="X535" s="27">
        <f>IF(AND(V535=1,LEFT(Control_Achizitii!$E535,4)="Fact",NOT(ISNUMBER(Control_Achizitii!$P535))),1,0)</f>
        <v>0</v>
      </c>
      <c r="Y535" s="27">
        <f>IF(V535=0,0,IF(Control_Achizitii!$J535="DOSAR COMPLET",1,IF(LEFT(Control_Achizitii!$J535,9)="INCOMPLET",2,3)))</f>
        <v>0</v>
      </c>
      <c r="Z535" s="27"/>
      <c r="AA535" s="27"/>
      <c r="AB535" s="27"/>
      <c r="AC535" s="27"/>
      <c r="AD535" s="27"/>
      <c r="AE535" s="27"/>
      <c r="AF535" s="27"/>
      <c r="AG535" s="27"/>
      <c r="AH535" s="27">
        <f>IF(AND(V535=1,Control_Achizitii!$J535="DOSAR COMPLET",Control_Achizitii!$K535&lt;&gt;""),1,0)</f>
        <v>0</v>
      </c>
    </row>
    <row r="536" spans="1:34">
      <c r="A536" s="27"/>
      <c r="B536" s="27"/>
      <c r="C536" s="27"/>
      <c r="D536" s="27"/>
      <c r="E536" s="27"/>
      <c r="F536" s="27"/>
      <c r="G536" s="27"/>
      <c r="H536" s="27"/>
      <c r="I536" s="27"/>
      <c r="J536" s="27"/>
      <c r="K536" s="27"/>
      <c r="L536" s="27"/>
      <c r="M536" s="27"/>
      <c r="N536" s="27"/>
      <c r="O536" s="27"/>
      <c r="P536" s="27"/>
      <c r="Q536" s="27"/>
      <c r="R536" s="27"/>
      <c r="S536" s="27"/>
      <c r="T536" s="27">
        <f>IF(LEFT(Control_Achizitii!$E536,4)="Fact",1,0)</f>
        <v>0</v>
      </c>
      <c r="U536" s="27">
        <f>IF(Control_Achizitii!$C536="",0,IF(ISNUMBER(Control_Achizitii!$B536),0,1))</f>
        <v>0</v>
      </c>
      <c r="V536" s="27">
        <f>IF(Control_Achizitii!$C536="",0,IF($Z$2&lt;&gt;"OK",0,IF(AND(ISNUMBER(Control_Achizitii!$B536),Control_Achizitii!$B536&gt;=$E$5,Control_Achizitii!$B536&lt;$J$5+1,OR($O$5="Toate proiectele",Control_Achizitii!$Q536=$O$5)),1,0)))</f>
        <v>0</v>
      </c>
      <c r="W536" s="27">
        <f>IF(AND(V536=1,OR(Control_Achizitii!$J536&lt;&gt;"DOSAR COMPLET",Control_Achizitii!$K536&lt;&gt;"")),ROW(),1000000000)</f>
        <v>1000000000</v>
      </c>
      <c r="X536" s="27">
        <f>IF(AND(V536=1,LEFT(Control_Achizitii!$E536,4)="Fact",NOT(ISNUMBER(Control_Achizitii!$P536))),1,0)</f>
        <v>0</v>
      </c>
      <c r="Y536" s="27">
        <f>IF(V536=0,0,IF(Control_Achizitii!$J536="DOSAR COMPLET",1,IF(LEFT(Control_Achizitii!$J536,9)="INCOMPLET",2,3)))</f>
        <v>0</v>
      </c>
      <c r="Z536" s="27"/>
      <c r="AA536" s="27"/>
      <c r="AB536" s="27"/>
      <c r="AC536" s="27"/>
      <c r="AD536" s="27"/>
      <c r="AE536" s="27"/>
      <c r="AF536" s="27"/>
      <c r="AG536" s="27"/>
      <c r="AH536" s="27">
        <f>IF(AND(V536=1,Control_Achizitii!$J536="DOSAR COMPLET",Control_Achizitii!$K536&lt;&gt;""),1,0)</f>
        <v>0</v>
      </c>
    </row>
    <row r="537" spans="1:34">
      <c r="A537" s="27"/>
      <c r="B537" s="27"/>
      <c r="C537" s="27"/>
      <c r="D537" s="27"/>
      <c r="E537" s="27"/>
      <c r="F537" s="27"/>
      <c r="G537" s="27"/>
      <c r="H537" s="27"/>
      <c r="I537" s="27"/>
      <c r="J537" s="27"/>
      <c r="K537" s="27"/>
      <c r="L537" s="27"/>
      <c r="M537" s="27"/>
      <c r="N537" s="27"/>
      <c r="O537" s="27"/>
      <c r="P537" s="27"/>
      <c r="Q537" s="27"/>
      <c r="R537" s="27"/>
      <c r="S537" s="27"/>
      <c r="T537" s="27">
        <f>IF(LEFT(Control_Achizitii!$E537,4)="Fact",1,0)</f>
        <v>0</v>
      </c>
      <c r="U537" s="27">
        <f>IF(Control_Achizitii!$C537="",0,IF(ISNUMBER(Control_Achizitii!$B537),0,1))</f>
        <v>0</v>
      </c>
      <c r="V537" s="27">
        <f>IF(Control_Achizitii!$C537="",0,IF($Z$2&lt;&gt;"OK",0,IF(AND(ISNUMBER(Control_Achizitii!$B537),Control_Achizitii!$B537&gt;=$E$5,Control_Achizitii!$B537&lt;$J$5+1,OR($O$5="Toate proiectele",Control_Achizitii!$Q537=$O$5)),1,0)))</f>
        <v>0</v>
      </c>
      <c r="W537" s="27">
        <f>IF(AND(V537=1,OR(Control_Achizitii!$J537&lt;&gt;"DOSAR COMPLET",Control_Achizitii!$K537&lt;&gt;"")),ROW(),1000000000)</f>
        <v>1000000000</v>
      </c>
      <c r="X537" s="27">
        <f>IF(AND(V537=1,LEFT(Control_Achizitii!$E537,4)="Fact",NOT(ISNUMBER(Control_Achizitii!$P537))),1,0)</f>
        <v>0</v>
      </c>
      <c r="Y537" s="27">
        <f>IF(V537=0,0,IF(Control_Achizitii!$J537="DOSAR COMPLET",1,IF(LEFT(Control_Achizitii!$J537,9)="INCOMPLET",2,3)))</f>
        <v>0</v>
      </c>
      <c r="Z537" s="27"/>
      <c r="AA537" s="27"/>
      <c r="AB537" s="27"/>
      <c r="AC537" s="27"/>
      <c r="AD537" s="27"/>
      <c r="AE537" s="27"/>
      <c r="AF537" s="27"/>
      <c r="AG537" s="27"/>
      <c r="AH537" s="27">
        <f>IF(AND(V537=1,Control_Achizitii!$J537="DOSAR COMPLET",Control_Achizitii!$K537&lt;&gt;""),1,0)</f>
        <v>0</v>
      </c>
    </row>
    <row r="538" spans="1:34">
      <c r="A538" s="27"/>
      <c r="B538" s="27"/>
      <c r="C538" s="27"/>
      <c r="D538" s="27"/>
      <c r="E538" s="27"/>
      <c r="F538" s="27"/>
      <c r="G538" s="27"/>
      <c r="H538" s="27"/>
      <c r="I538" s="27"/>
      <c r="J538" s="27"/>
      <c r="K538" s="27"/>
      <c r="L538" s="27"/>
      <c r="M538" s="27"/>
      <c r="N538" s="27"/>
      <c r="O538" s="27"/>
      <c r="P538" s="27"/>
      <c r="Q538" s="27"/>
      <c r="R538" s="27"/>
      <c r="S538" s="27"/>
      <c r="T538" s="27">
        <f>IF(LEFT(Control_Achizitii!$E538,4)="Fact",1,0)</f>
        <v>0</v>
      </c>
      <c r="U538" s="27">
        <f>IF(Control_Achizitii!$C538="",0,IF(ISNUMBER(Control_Achizitii!$B538),0,1))</f>
        <v>0</v>
      </c>
      <c r="V538" s="27">
        <f>IF(Control_Achizitii!$C538="",0,IF($Z$2&lt;&gt;"OK",0,IF(AND(ISNUMBER(Control_Achizitii!$B538),Control_Achizitii!$B538&gt;=$E$5,Control_Achizitii!$B538&lt;$J$5+1,OR($O$5="Toate proiectele",Control_Achizitii!$Q538=$O$5)),1,0)))</f>
        <v>0</v>
      </c>
      <c r="W538" s="27">
        <f>IF(AND(V538=1,OR(Control_Achizitii!$J538&lt;&gt;"DOSAR COMPLET",Control_Achizitii!$K538&lt;&gt;"")),ROW(),1000000000)</f>
        <v>1000000000</v>
      </c>
      <c r="X538" s="27">
        <f>IF(AND(V538=1,LEFT(Control_Achizitii!$E538,4)="Fact",NOT(ISNUMBER(Control_Achizitii!$P538))),1,0)</f>
        <v>0</v>
      </c>
      <c r="Y538" s="27">
        <f>IF(V538=0,0,IF(Control_Achizitii!$J538="DOSAR COMPLET",1,IF(LEFT(Control_Achizitii!$J538,9)="INCOMPLET",2,3)))</f>
        <v>0</v>
      </c>
      <c r="Z538" s="27"/>
      <c r="AA538" s="27"/>
      <c r="AB538" s="27"/>
      <c r="AC538" s="27"/>
      <c r="AD538" s="27"/>
      <c r="AE538" s="27"/>
      <c r="AF538" s="27"/>
      <c r="AG538" s="27"/>
      <c r="AH538" s="27">
        <f>IF(AND(V538=1,Control_Achizitii!$J538="DOSAR COMPLET",Control_Achizitii!$K538&lt;&gt;""),1,0)</f>
        <v>0</v>
      </c>
    </row>
    <row r="539" spans="1:34">
      <c r="A539" s="27"/>
      <c r="B539" s="27"/>
      <c r="C539" s="27"/>
      <c r="D539" s="27"/>
      <c r="E539" s="27"/>
      <c r="F539" s="27"/>
      <c r="G539" s="27"/>
      <c r="H539" s="27"/>
      <c r="I539" s="27"/>
      <c r="J539" s="27"/>
      <c r="K539" s="27"/>
      <c r="L539" s="27"/>
      <c r="M539" s="27"/>
      <c r="N539" s="27"/>
      <c r="O539" s="27"/>
      <c r="P539" s="27"/>
      <c r="Q539" s="27"/>
      <c r="R539" s="27"/>
      <c r="S539" s="27"/>
      <c r="T539" s="27">
        <f>IF(LEFT(Control_Achizitii!$E539,4)="Fact",1,0)</f>
        <v>0</v>
      </c>
      <c r="U539" s="27">
        <f>IF(Control_Achizitii!$C539="",0,IF(ISNUMBER(Control_Achizitii!$B539),0,1))</f>
        <v>0</v>
      </c>
      <c r="V539" s="27">
        <f>IF(Control_Achizitii!$C539="",0,IF($Z$2&lt;&gt;"OK",0,IF(AND(ISNUMBER(Control_Achizitii!$B539),Control_Achizitii!$B539&gt;=$E$5,Control_Achizitii!$B539&lt;$J$5+1,OR($O$5="Toate proiectele",Control_Achizitii!$Q539=$O$5)),1,0)))</f>
        <v>0</v>
      </c>
      <c r="W539" s="27">
        <f>IF(AND(V539=1,OR(Control_Achizitii!$J539&lt;&gt;"DOSAR COMPLET",Control_Achizitii!$K539&lt;&gt;"")),ROW(),1000000000)</f>
        <v>1000000000</v>
      </c>
      <c r="X539" s="27">
        <f>IF(AND(V539=1,LEFT(Control_Achizitii!$E539,4)="Fact",NOT(ISNUMBER(Control_Achizitii!$P539))),1,0)</f>
        <v>0</v>
      </c>
      <c r="Y539" s="27">
        <f>IF(V539=0,0,IF(Control_Achizitii!$J539="DOSAR COMPLET",1,IF(LEFT(Control_Achizitii!$J539,9)="INCOMPLET",2,3)))</f>
        <v>0</v>
      </c>
      <c r="Z539" s="27"/>
      <c r="AA539" s="27"/>
      <c r="AB539" s="27"/>
      <c r="AC539" s="27"/>
      <c r="AD539" s="27"/>
      <c r="AE539" s="27"/>
      <c r="AF539" s="27"/>
      <c r="AG539" s="27"/>
      <c r="AH539" s="27">
        <f>IF(AND(V539=1,Control_Achizitii!$J539="DOSAR COMPLET",Control_Achizitii!$K539&lt;&gt;""),1,0)</f>
        <v>0</v>
      </c>
    </row>
    <row r="540" spans="1:34">
      <c r="A540" s="27"/>
      <c r="B540" s="27"/>
      <c r="C540" s="27"/>
      <c r="D540" s="27"/>
      <c r="E540" s="27"/>
      <c r="F540" s="27"/>
      <c r="G540" s="27"/>
      <c r="H540" s="27"/>
      <c r="I540" s="27"/>
      <c r="J540" s="27"/>
      <c r="K540" s="27"/>
      <c r="L540" s="27"/>
      <c r="M540" s="27"/>
      <c r="N540" s="27"/>
      <c r="O540" s="27"/>
      <c r="P540" s="27"/>
      <c r="Q540" s="27"/>
      <c r="R540" s="27"/>
      <c r="S540" s="27"/>
      <c r="T540" s="27">
        <f>IF(LEFT(Control_Achizitii!$E540,4)="Fact",1,0)</f>
        <v>0</v>
      </c>
      <c r="U540" s="27">
        <f>IF(Control_Achizitii!$C540="",0,IF(ISNUMBER(Control_Achizitii!$B540),0,1))</f>
        <v>0</v>
      </c>
      <c r="V540" s="27">
        <f>IF(Control_Achizitii!$C540="",0,IF($Z$2&lt;&gt;"OK",0,IF(AND(ISNUMBER(Control_Achizitii!$B540),Control_Achizitii!$B540&gt;=$E$5,Control_Achizitii!$B540&lt;$J$5+1,OR($O$5="Toate proiectele",Control_Achizitii!$Q540=$O$5)),1,0)))</f>
        <v>0</v>
      </c>
      <c r="W540" s="27">
        <f>IF(AND(V540=1,OR(Control_Achizitii!$J540&lt;&gt;"DOSAR COMPLET",Control_Achizitii!$K540&lt;&gt;"")),ROW(),1000000000)</f>
        <v>1000000000</v>
      </c>
      <c r="X540" s="27">
        <f>IF(AND(V540=1,LEFT(Control_Achizitii!$E540,4)="Fact",NOT(ISNUMBER(Control_Achizitii!$P540))),1,0)</f>
        <v>0</v>
      </c>
      <c r="Y540" s="27">
        <f>IF(V540=0,0,IF(Control_Achizitii!$J540="DOSAR COMPLET",1,IF(LEFT(Control_Achizitii!$J540,9)="INCOMPLET",2,3)))</f>
        <v>0</v>
      </c>
      <c r="Z540" s="27"/>
      <c r="AA540" s="27"/>
      <c r="AB540" s="27"/>
      <c r="AC540" s="27"/>
      <c r="AD540" s="27"/>
      <c r="AE540" s="27"/>
      <c r="AF540" s="27"/>
      <c r="AG540" s="27"/>
      <c r="AH540" s="27">
        <f>IF(AND(V540=1,Control_Achizitii!$J540="DOSAR COMPLET",Control_Achizitii!$K540&lt;&gt;""),1,0)</f>
        <v>0</v>
      </c>
    </row>
    <row r="541" spans="1:34">
      <c r="A541" s="27"/>
      <c r="B541" s="27"/>
      <c r="C541" s="27"/>
      <c r="D541" s="27"/>
      <c r="E541" s="27"/>
      <c r="F541" s="27"/>
      <c r="G541" s="27"/>
      <c r="H541" s="27"/>
      <c r="I541" s="27"/>
      <c r="J541" s="27"/>
      <c r="K541" s="27"/>
      <c r="L541" s="27"/>
      <c r="M541" s="27"/>
      <c r="N541" s="27"/>
      <c r="O541" s="27"/>
      <c r="P541" s="27"/>
      <c r="Q541" s="27"/>
      <c r="R541" s="27"/>
      <c r="S541" s="27"/>
      <c r="T541" s="27">
        <f>IF(LEFT(Control_Achizitii!$E541,4)="Fact",1,0)</f>
        <v>0</v>
      </c>
      <c r="U541" s="27">
        <f>IF(Control_Achizitii!$C541="",0,IF(ISNUMBER(Control_Achizitii!$B541),0,1))</f>
        <v>0</v>
      </c>
      <c r="V541" s="27">
        <f>IF(Control_Achizitii!$C541="",0,IF($Z$2&lt;&gt;"OK",0,IF(AND(ISNUMBER(Control_Achizitii!$B541),Control_Achizitii!$B541&gt;=$E$5,Control_Achizitii!$B541&lt;$J$5+1,OR($O$5="Toate proiectele",Control_Achizitii!$Q541=$O$5)),1,0)))</f>
        <v>0</v>
      </c>
      <c r="W541" s="27">
        <f>IF(AND(V541=1,OR(Control_Achizitii!$J541&lt;&gt;"DOSAR COMPLET",Control_Achizitii!$K541&lt;&gt;"")),ROW(),1000000000)</f>
        <v>1000000000</v>
      </c>
      <c r="X541" s="27">
        <f>IF(AND(V541=1,LEFT(Control_Achizitii!$E541,4)="Fact",NOT(ISNUMBER(Control_Achizitii!$P541))),1,0)</f>
        <v>0</v>
      </c>
      <c r="Y541" s="27">
        <f>IF(V541=0,0,IF(Control_Achizitii!$J541="DOSAR COMPLET",1,IF(LEFT(Control_Achizitii!$J541,9)="INCOMPLET",2,3)))</f>
        <v>0</v>
      </c>
      <c r="Z541" s="27"/>
      <c r="AA541" s="27"/>
      <c r="AB541" s="27"/>
      <c r="AC541" s="27"/>
      <c r="AD541" s="27"/>
      <c r="AE541" s="27"/>
      <c r="AF541" s="27"/>
      <c r="AG541" s="27"/>
      <c r="AH541" s="27">
        <f>IF(AND(V541=1,Control_Achizitii!$J541="DOSAR COMPLET",Control_Achizitii!$K541&lt;&gt;""),1,0)</f>
        <v>0</v>
      </c>
    </row>
    <row r="542" spans="1:34">
      <c r="A542" s="27"/>
      <c r="B542" s="27"/>
      <c r="C542" s="27"/>
      <c r="D542" s="27"/>
      <c r="E542" s="27"/>
      <c r="F542" s="27"/>
      <c r="G542" s="27"/>
      <c r="H542" s="27"/>
      <c r="I542" s="27"/>
      <c r="J542" s="27"/>
      <c r="K542" s="27"/>
      <c r="L542" s="27"/>
      <c r="M542" s="27"/>
      <c r="N542" s="27"/>
      <c r="O542" s="27"/>
      <c r="P542" s="27"/>
      <c r="Q542" s="27"/>
      <c r="R542" s="27"/>
      <c r="S542" s="27"/>
      <c r="T542" s="27">
        <f>IF(LEFT(Control_Achizitii!$E542,4)="Fact",1,0)</f>
        <v>0</v>
      </c>
      <c r="U542" s="27">
        <f>IF(Control_Achizitii!$C542="",0,IF(ISNUMBER(Control_Achizitii!$B542),0,1))</f>
        <v>0</v>
      </c>
      <c r="V542" s="27">
        <f>IF(Control_Achizitii!$C542="",0,IF($Z$2&lt;&gt;"OK",0,IF(AND(ISNUMBER(Control_Achizitii!$B542),Control_Achizitii!$B542&gt;=$E$5,Control_Achizitii!$B542&lt;$J$5+1,OR($O$5="Toate proiectele",Control_Achizitii!$Q542=$O$5)),1,0)))</f>
        <v>0</v>
      </c>
      <c r="W542" s="27">
        <f>IF(AND(V542=1,OR(Control_Achizitii!$J542&lt;&gt;"DOSAR COMPLET",Control_Achizitii!$K542&lt;&gt;"")),ROW(),1000000000)</f>
        <v>1000000000</v>
      </c>
      <c r="X542" s="27">
        <f>IF(AND(V542=1,LEFT(Control_Achizitii!$E542,4)="Fact",NOT(ISNUMBER(Control_Achizitii!$P542))),1,0)</f>
        <v>0</v>
      </c>
      <c r="Y542" s="27">
        <f>IF(V542=0,0,IF(Control_Achizitii!$J542="DOSAR COMPLET",1,IF(LEFT(Control_Achizitii!$J542,9)="INCOMPLET",2,3)))</f>
        <v>0</v>
      </c>
      <c r="Z542" s="27"/>
      <c r="AA542" s="27"/>
      <c r="AB542" s="27"/>
      <c r="AC542" s="27"/>
      <c r="AD542" s="27"/>
      <c r="AE542" s="27"/>
      <c r="AF542" s="27"/>
      <c r="AG542" s="27"/>
      <c r="AH542" s="27">
        <f>IF(AND(V542=1,Control_Achizitii!$J542="DOSAR COMPLET",Control_Achizitii!$K542&lt;&gt;""),1,0)</f>
        <v>0</v>
      </c>
    </row>
    <row r="543" spans="1:34">
      <c r="A543" s="27"/>
      <c r="B543" s="27"/>
      <c r="C543" s="27"/>
      <c r="D543" s="27"/>
      <c r="E543" s="27"/>
      <c r="F543" s="27"/>
      <c r="G543" s="27"/>
      <c r="H543" s="27"/>
      <c r="I543" s="27"/>
      <c r="J543" s="27"/>
      <c r="K543" s="27"/>
      <c r="L543" s="27"/>
      <c r="M543" s="27"/>
      <c r="N543" s="27"/>
      <c r="O543" s="27"/>
      <c r="P543" s="27"/>
      <c r="Q543" s="27"/>
      <c r="R543" s="27"/>
      <c r="S543" s="27"/>
      <c r="T543" s="27">
        <f>IF(LEFT(Control_Achizitii!$E543,4)="Fact",1,0)</f>
        <v>0</v>
      </c>
      <c r="U543" s="27">
        <f>IF(Control_Achizitii!$C543="",0,IF(ISNUMBER(Control_Achizitii!$B543),0,1))</f>
        <v>0</v>
      </c>
      <c r="V543" s="27">
        <f>IF(Control_Achizitii!$C543="",0,IF($Z$2&lt;&gt;"OK",0,IF(AND(ISNUMBER(Control_Achizitii!$B543),Control_Achizitii!$B543&gt;=$E$5,Control_Achizitii!$B543&lt;$J$5+1,OR($O$5="Toate proiectele",Control_Achizitii!$Q543=$O$5)),1,0)))</f>
        <v>0</v>
      </c>
      <c r="W543" s="27">
        <f>IF(AND(V543=1,OR(Control_Achizitii!$J543&lt;&gt;"DOSAR COMPLET",Control_Achizitii!$K543&lt;&gt;"")),ROW(),1000000000)</f>
        <v>1000000000</v>
      </c>
      <c r="X543" s="27">
        <f>IF(AND(V543=1,LEFT(Control_Achizitii!$E543,4)="Fact",NOT(ISNUMBER(Control_Achizitii!$P543))),1,0)</f>
        <v>0</v>
      </c>
      <c r="Y543" s="27">
        <f>IF(V543=0,0,IF(Control_Achizitii!$J543="DOSAR COMPLET",1,IF(LEFT(Control_Achizitii!$J543,9)="INCOMPLET",2,3)))</f>
        <v>0</v>
      </c>
      <c r="Z543" s="27"/>
      <c r="AA543" s="27"/>
      <c r="AB543" s="27"/>
      <c r="AC543" s="27"/>
      <c r="AD543" s="27"/>
      <c r="AE543" s="27"/>
      <c r="AF543" s="27"/>
      <c r="AG543" s="27"/>
      <c r="AH543" s="27">
        <f>IF(AND(V543=1,Control_Achizitii!$J543="DOSAR COMPLET",Control_Achizitii!$K543&lt;&gt;""),1,0)</f>
        <v>0</v>
      </c>
    </row>
    <row r="544" spans="1:34">
      <c r="A544" s="27"/>
      <c r="B544" s="27"/>
      <c r="C544" s="27"/>
      <c r="D544" s="27"/>
      <c r="E544" s="27"/>
      <c r="F544" s="27"/>
      <c r="G544" s="27"/>
      <c r="H544" s="27"/>
      <c r="I544" s="27"/>
      <c r="J544" s="27"/>
      <c r="K544" s="27"/>
      <c r="L544" s="27"/>
      <c r="M544" s="27"/>
      <c r="N544" s="27"/>
      <c r="O544" s="27"/>
      <c r="P544" s="27"/>
      <c r="Q544" s="27"/>
      <c r="R544" s="27"/>
      <c r="S544" s="27"/>
      <c r="T544" s="27">
        <f>IF(LEFT(Control_Achizitii!$E544,4)="Fact",1,0)</f>
        <v>0</v>
      </c>
      <c r="U544" s="27">
        <f>IF(Control_Achizitii!$C544="",0,IF(ISNUMBER(Control_Achizitii!$B544),0,1))</f>
        <v>0</v>
      </c>
      <c r="V544" s="27">
        <f>IF(Control_Achizitii!$C544="",0,IF($Z$2&lt;&gt;"OK",0,IF(AND(ISNUMBER(Control_Achizitii!$B544),Control_Achizitii!$B544&gt;=$E$5,Control_Achizitii!$B544&lt;$J$5+1,OR($O$5="Toate proiectele",Control_Achizitii!$Q544=$O$5)),1,0)))</f>
        <v>0</v>
      </c>
      <c r="W544" s="27">
        <f>IF(AND(V544=1,OR(Control_Achizitii!$J544&lt;&gt;"DOSAR COMPLET",Control_Achizitii!$K544&lt;&gt;"")),ROW(),1000000000)</f>
        <v>1000000000</v>
      </c>
      <c r="X544" s="27">
        <f>IF(AND(V544=1,LEFT(Control_Achizitii!$E544,4)="Fact",NOT(ISNUMBER(Control_Achizitii!$P544))),1,0)</f>
        <v>0</v>
      </c>
      <c r="Y544" s="27">
        <f>IF(V544=0,0,IF(Control_Achizitii!$J544="DOSAR COMPLET",1,IF(LEFT(Control_Achizitii!$J544,9)="INCOMPLET",2,3)))</f>
        <v>0</v>
      </c>
      <c r="Z544" s="27"/>
      <c r="AA544" s="27"/>
      <c r="AB544" s="27"/>
      <c r="AC544" s="27"/>
      <c r="AD544" s="27"/>
      <c r="AE544" s="27"/>
      <c r="AF544" s="27"/>
      <c r="AG544" s="27"/>
      <c r="AH544" s="27">
        <f>IF(AND(V544=1,Control_Achizitii!$J544="DOSAR COMPLET",Control_Achizitii!$K544&lt;&gt;""),1,0)</f>
        <v>0</v>
      </c>
    </row>
    <row r="545" spans="1:34">
      <c r="A545" s="27"/>
      <c r="B545" s="27"/>
      <c r="C545" s="27"/>
      <c r="D545" s="27"/>
      <c r="E545" s="27"/>
      <c r="F545" s="27"/>
      <c r="G545" s="27"/>
      <c r="H545" s="27"/>
      <c r="I545" s="27"/>
      <c r="J545" s="27"/>
      <c r="K545" s="27"/>
      <c r="L545" s="27"/>
      <c r="M545" s="27"/>
      <c r="N545" s="27"/>
      <c r="O545" s="27"/>
      <c r="P545" s="27"/>
      <c r="Q545" s="27"/>
      <c r="R545" s="27"/>
      <c r="S545" s="27"/>
      <c r="T545" s="27">
        <f>IF(LEFT(Control_Achizitii!$E545,4)="Fact",1,0)</f>
        <v>0</v>
      </c>
      <c r="U545" s="27">
        <f>IF(Control_Achizitii!$C545="",0,IF(ISNUMBER(Control_Achizitii!$B545),0,1))</f>
        <v>0</v>
      </c>
      <c r="V545" s="27">
        <f>IF(Control_Achizitii!$C545="",0,IF($Z$2&lt;&gt;"OK",0,IF(AND(ISNUMBER(Control_Achizitii!$B545),Control_Achizitii!$B545&gt;=$E$5,Control_Achizitii!$B545&lt;$J$5+1,OR($O$5="Toate proiectele",Control_Achizitii!$Q545=$O$5)),1,0)))</f>
        <v>0</v>
      </c>
      <c r="W545" s="27">
        <f>IF(AND(V545=1,OR(Control_Achizitii!$J545&lt;&gt;"DOSAR COMPLET",Control_Achizitii!$K545&lt;&gt;"")),ROW(),1000000000)</f>
        <v>1000000000</v>
      </c>
      <c r="X545" s="27">
        <f>IF(AND(V545=1,LEFT(Control_Achizitii!$E545,4)="Fact",NOT(ISNUMBER(Control_Achizitii!$P545))),1,0)</f>
        <v>0</v>
      </c>
      <c r="Y545" s="27">
        <f>IF(V545=0,0,IF(Control_Achizitii!$J545="DOSAR COMPLET",1,IF(LEFT(Control_Achizitii!$J545,9)="INCOMPLET",2,3)))</f>
        <v>0</v>
      </c>
      <c r="Z545" s="27"/>
      <c r="AA545" s="27"/>
      <c r="AB545" s="27"/>
      <c r="AC545" s="27"/>
      <c r="AD545" s="27"/>
      <c r="AE545" s="27"/>
      <c r="AF545" s="27"/>
      <c r="AG545" s="27"/>
      <c r="AH545" s="27">
        <f>IF(AND(V545=1,Control_Achizitii!$J545="DOSAR COMPLET",Control_Achizitii!$K545&lt;&gt;""),1,0)</f>
        <v>0</v>
      </c>
    </row>
    <row r="546" spans="1:34">
      <c r="A546" s="27"/>
      <c r="B546" s="27"/>
      <c r="C546" s="27"/>
      <c r="D546" s="27"/>
      <c r="E546" s="27"/>
      <c r="F546" s="27"/>
      <c r="G546" s="27"/>
      <c r="H546" s="27"/>
      <c r="I546" s="27"/>
      <c r="J546" s="27"/>
      <c r="K546" s="27"/>
      <c r="L546" s="27"/>
      <c r="M546" s="27"/>
      <c r="N546" s="27"/>
      <c r="O546" s="27"/>
      <c r="P546" s="27"/>
      <c r="Q546" s="27"/>
      <c r="R546" s="27"/>
      <c r="S546" s="27"/>
      <c r="T546" s="27">
        <f>IF(LEFT(Control_Achizitii!$E546,4)="Fact",1,0)</f>
        <v>0</v>
      </c>
      <c r="U546" s="27">
        <f>IF(Control_Achizitii!$C546="",0,IF(ISNUMBER(Control_Achizitii!$B546),0,1))</f>
        <v>0</v>
      </c>
      <c r="V546" s="27">
        <f>IF(Control_Achizitii!$C546="",0,IF($Z$2&lt;&gt;"OK",0,IF(AND(ISNUMBER(Control_Achizitii!$B546),Control_Achizitii!$B546&gt;=$E$5,Control_Achizitii!$B546&lt;$J$5+1,OR($O$5="Toate proiectele",Control_Achizitii!$Q546=$O$5)),1,0)))</f>
        <v>0</v>
      </c>
      <c r="W546" s="27">
        <f>IF(AND(V546=1,OR(Control_Achizitii!$J546&lt;&gt;"DOSAR COMPLET",Control_Achizitii!$K546&lt;&gt;"")),ROW(),1000000000)</f>
        <v>1000000000</v>
      </c>
      <c r="X546" s="27">
        <f>IF(AND(V546=1,LEFT(Control_Achizitii!$E546,4)="Fact",NOT(ISNUMBER(Control_Achizitii!$P546))),1,0)</f>
        <v>0</v>
      </c>
      <c r="Y546" s="27">
        <f>IF(V546=0,0,IF(Control_Achizitii!$J546="DOSAR COMPLET",1,IF(LEFT(Control_Achizitii!$J546,9)="INCOMPLET",2,3)))</f>
        <v>0</v>
      </c>
      <c r="Z546" s="27"/>
      <c r="AA546" s="27"/>
      <c r="AB546" s="27"/>
      <c r="AC546" s="27"/>
      <c r="AD546" s="27"/>
      <c r="AE546" s="27"/>
      <c r="AF546" s="27"/>
      <c r="AG546" s="27"/>
      <c r="AH546" s="27">
        <f>IF(AND(V546=1,Control_Achizitii!$J546="DOSAR COMPLET",Control_Achizitii!$K546&lt;&gt;""),1,0)</f>
        <v>0</v>
      </c>
    </row>
    <row r="547" spans="1:34">
      <c r="A547" s="27"/>
      <c r="B547" s="27"/>
      <c r="C547" s="27"/>
      <c r="D547" s="27"/>
      <c r="E547" s="27"/>
      <c r="F547" s="27"/>
      <c r="G547" s="27"/>
      <c r="H547" s="27"/>
      <c r="I547" s="27"/>
      <c r="J547" s="27"/>
      <c r="K547" s="27"/>
      <c r="L547" s="27"/>
      <c r="M547" s="27"/>
      <c r="N547" s="27"/>
      <c r="O547" s="27"/>
      <c r="P547" s="27"/>
      <c r="Q547" s="27"/>
      <c r="R547" s="27"/>
      <c r="S547" s="27"/>
      <c r="T547" s="27">
        <f>IF(LEFT(Control_Achizitii!$E547,4)="Fact",1,0)</f>
        <v>0</v>
      </c>
      <c r="U547" s="27">
        <f>IF(Control_Achizitii!$C547="",0,IF(ISNUMBER(Control_Achizitii!$B547),0,1))</f>
        <v>0</v>
      </c>
      <c r="V547" s="27">
        <f>IF(Control_Achizitii!$C547="",0,IF($Z$2&lt;&gt;"OK",0,IF(AND(ISNUMBER(Control_Achizitii!$B547),Control_Achizitii!$B547&gt;=$E$5,Control_Achizitii!$B547&lt;$J$5+1,OR($O$5="Toate proiectele",Control_Achizitii!$Q547=$O$5)),1,0)))</f>
        <v>0</v>
      </c>
      <c r="W547" s="27">
        <f>IF(AND(V547=1,OR(Control_Achizitii!$J547&lt;&gt;"DOSAR COMPLET",Control_Achizitii!$K547&lt;&gt;"")),ROW(),1000000000)</f>
        <v>1000000000</v>
      </c>
      <c r="X547" s="27">
        <f>IF(AND(V547=1,LEFT(Control_Achizitii!$E547,4)="Fact",NOT(ISNUMBER(Control_Achizitii!$P547))),1,0)</f>
        <v>0</v>
      </c>
      <c r="Y547" s="27">
        <f>IF(V547=0,0,IF(Control_Achizitii!$J547="DOSAR COMPLET",1,IF(LEFT(Control_Achizitii!$J547,9)="INCOMPLET",2,3)))</f>
        <v>0</v>
      </c>
      <c r="Z547" s="27"/>
      <c r="AA547" s="27"/>
      <c r="AB547" s="27"/>
      <c r="AC547" s="27"/>
      <c r="AD547" s="27"/>
      <c r="AE547" s="27"/>
      <c r="AF547" s="27"/>
      <c r="AG547" s="27"/>
      <c r="AH547" s="27">
        <f>IF(AND(V547=1,Control_Achizitii!$J547="DOSAR COMPLET",Control_Achizitii!$K547&lt;&gt;""),1,0)</f>
        <v>0</v>
      </c>
    </row>
    <row r="548" spans="1:34">
      <c r="A548" s="27"/>
      <c r="B548" s="27"/>
      <c r="C548" s="27"/>
      <c r="D548" s="27"/>
      <c r="E548" s="27"/>
      <c r="F548" s="27"/>
      <c r="G548" s="27"/>
      <c r="H548" s="27"/>
      <c r="I548" s="27"/>
      <c r="J548" s="27"/>
      <c r="K548" s="27"/>
      <c r="L548" s="27"/>
      <c r="M548" s="27"/>
      <c r="N548" s="27"/>
      <c r="O548" s="27"/>
      <c r="P548" s="27"/>
      <c r="Q548" s="27"/>
      <c r="R548" s="27"/>
      <c r="S548" s="27"/>
      <c r="T548" s="27">
        <f>IF(LEFT(Control_Achizitii!$E548,4)="Fact",1,0)</f>
        <v>0</v>
      </c>
      <c r="U548" s="27">
        <f>IF(Control_Achizitii!$C548="",0,IF(ISNUMBER(Control_Achizitii!$B548),0,1))</f>
        <v>0</v>
      </c>
      <c r="V548" s="27">
        <f>IF(Control_Achizitii!$C548="",0,IF($Z$2&lt;&gt;"OK",0,IF(AND(ISNUMBER(Control_Achizitii!$B548),Control_Achizitii!$B548&gt;=$E$5,Control_Achizitii!$B548&lt;$J$5+1,OR($O$5="Toate proiectele",Control_Achizitii!$Q548=$O$5)),1,0)))</f>
        <v>0</v>
      </c>
      <c r="W548" s="27">
        <f>IF(AND(V548=1,OR(Control_Achizitii!$J548&lt;&gt;"DOSAR COMPLET",Control_Achizitii!$K548&lt;&gt;"")),ROW(),1000000000)</f>
        <v>1000000000</v>
      </c>
      <c r="X548" s="27">
        <f>IF(AND(V548=1,LEFT(Control_Achizitii!$E548,4)="Fact",NOT(ISNUMBER(Control_Achizitii!$P548))),1,0)</f>
        <v>0</v>
      </c>
      <c r="Y548" s="27">
        <f>IF(V548=0,0,IF(Control_Achizitii!$J548="DOSAR COMPLET",1,IF(LEFT(Control_Achizitii!$J548,9)="INCOMPLET",2,3)))</f>
        <v>0</v>
      </c>
      <c r="Z548" s="27"/>
      <c r="AA548" s="27"/>
      <c r="AB548" s="27"/>
      <c r="AC548" s="27"/>
      <c r="AD548" s="27"/>
      <c r="AE548" s="27"/>
      <c r="AF548" s="27"/>
      <c r="AG548" s="27"/>
      <c r="AH548" s="27">
        <f>IF(AND(V548=1,Control_Achizitii!$J548="DOSAR COMPLET",Control_Achizitii!$K548&lt;&gt;""),1,0)</f>
        <v>0</v>
      </c>
    </row>
    <row r="549" spans="1:34">
      <c r="A549" s="27"/>
      <c r="B549" s="27"/>
      <c r="C549" s="27"/>
      <c r="D549" s="27"/>
      <c r="E549" s="27"/>
      <c r="F549" s="27"/>
      <c r="G549" s="27"/>
      <c r="H549" s="27"/>
      <c r="I549" s="27"/>
      <c r="J549" s="27"/>
      <c r="K549" s="27"/>
      <c r="L549" s="27"/>
      <c r="M549" s="27"/>
      <c r="N549" s="27"/>
      <c r="O549" s="27"/>
      <c r="P549" s="27"/>
      <c r="Q549" s="27"/>
      <c r="R549" s="27"/>
      <c r="S549" s="27"/>
      <c r="T549" s="27">
        <f>IF(LEFT(Control_Achizitii!$E549,4)="Fact",1,0)</f>
        <v>0</v>
      </c>
      <c r="U549" s="27">
        <f>IF(Control_Achizitii!$C549="",0,IF(ISNUMBER(Control_Achizitii!$B549),0,1))</f>
        <v>0</v>
      </c>
      <c r="V549" s="27">
        <f>IF(Control_Achizitii!$C549="",0,IF($Z$2&lt;&gt;"OK",0,IF(AND(ISNUMBER(Control_Achizitii!$B549),Control_Achizitii!$B549&gt;=$E$5,Control_Achizitii!$B549&lt;$J$5+1,OR($O$5="Toate proiectele",Control_Achizitii!$Q549=$O$5)),1,0)))</f>
        <v>0</v>
      </c>
      <c r="W549" s="27">
        <f>IF(AND(V549=1,OR(Control_Achizitii!$J549&lt;&gt;"DOSAR COMPLET",Control_Achizitii!$K549&lt;&gt;"")),ROW(),1000000000)</f>
        <v>1000000000</v>
      </c>
      <c r="X549" s="27">
        <f>IF(AND(V549=1,LEFT(Control_Achizitii!$E549,4)="Fact",NOT(ISNUMBER(Control_Achizitii!$P549))),1,0)</f>
        <v>0</v>
      </c>
      <c r="Y549" s="27">
        <f>IF(V549=0,0,IF(Control_Achizitii!$J549="DOSAR COMPLET",1,IF(LEFT(Control_Achizitii!$J549,9)="INCOMPLET",2,3)))</f>
        <v>0</v>
      </c>
      <c r="Z549" s="27"/>
      <c r="AA549" s="27"/>
      <c r="AB549" s="27"/>
      <c r="AC549" s="27"/>
      <c r="AD549" s="27"/>
      <c r="AE549" s="27"/>
      <c r="AF549" s="27"/>
      <c r="AG549" s="27"/>
      <c r="AH549" s="27">
        <f>IF(AND(V549=1,Control_Achizitii!$J549="DOSAR COMPLET",Control_Achizitii!$K549&lt;&gt;""),1,0)</f>
        <v>0</v>
      </c>
    </row>
    <row r="550" spans="1:34">
      <c r="A550" s="27"/>
      <c r="B550" s="27"/>
      <c r="C550" s="27"/>
      <c r="D550" s="27"/>
      <c r="E550" s="27"/>
      <c r="F550" s="27"/>
      <c r="G550" s="27"/>
      <c r="H550" s="27"/>
      <c r="I550" s="27"/>
      <c r="J550" s="27"/>
      <c r="K550" s="27"/>
      <c r="L550" s="27"/>
      <c r="M550" s="27"/>
      <c r="N550" s="27"/>
      <c r="O550" s="27"/>
      <c r="P550" s="27"/>
      <c r="Q550" s="27"/>
      <c r="R550" s="27"/>
      <c r="S550" s="27"/>
      <c r="T550" s="27">
        <f>IF(LEFT(Control_Achizitii!$E550,4)="Fact",1,0)</f>
        <v>0</v>
      </c>
      <c r="U550" s="27">
        <f>IF(Control_Achizitii!$C550="",0,IF(ISNUMBER(Control_Achizitii!$B550),0,1))</f>
        <v>0</v>
      </c>
      <c r="V550" s="27">
        <f>IF(Control_Achizitii!$C550="",0,IF($Z$2&lt;&gt;"OK",0,IF(AND(ISNUMBER(Control_Achizitii!$B550),Control_Achizitii!$B550&gt;=$E$5,Control_Achizitii!$B550&lt;$J$5+1,OR($O$5="Toate proiectele",Control_Achizitii!$Q550=$O$5)),1,0)))</f>
        <v>0</v>
      </c>
      <c r="W550" s="27">
        <f>IF(AND(V550=1,OR(Control_Achizitii!$J550&lt;&gt;"DOSAR COMPLET",Control_Achizitii!$K550&lt;&gt;"")),ROW(),1000000000)</f>
        <v>1000000000</v>
      </c>
      <c r="X550" s="27">
        <f>IF(AND(V550=1,LEFT(Control_Achizitii!$E550,4)="Fact",NOT(ISNUMBER(Control_Achizitii!$P550))),1,0)</f>
        <v>0</v>
      </c>
      <c r="Y550" s="27">
        <f>IF(V550=0,0,IF(Control_Achizitii!$J550="DOSAR COMPLET",1,IF(LEFT(Control_Achizitii!$J550,9)="INCOMPLET",2,3)))</f>
        <v>0</v>
      </c>
      <c r="Z550" s="27"/>
      <c r="AA550" s="27"/>
      <c r="AB550" s="27"/>
      <c r="AC550" s="27"/>
      <c r="AD550" s="27"/>
      <c r="AE550" s="27"/>
      <c r="AF550" s="27"/>
      <c r="AG550" s="27"/>
      <c r="AH550" s="27">
        <f>IF(AND(V550=1,Control_Achizitii!$J550="DOSAR COMPLET",Control_Achizitii!$K550&lt;&gt;""),1,0)</f>
        <v>0</v>
      </c>
    </row>
    <row r="551" spans="1:34">
      <c r="A551" s="27"/>
      <c r="B551" s="27"/>
      <c r="C551" s="27"/>
      <c r="D551" s="27"/>
      <c r="E551" s="27"/>
      <c r="F551" s="27"/>
      <c r="G551" s="27"/>
      <c r="H551" s="27"/>
      <c r="I551" s="27"/>
      <c r="J551" s="27"/>
      <c r="K551" s="27"/>
      <c r="L551" s="27"/>
      <c r="M551" s="27"/>
      <c r="N551" s="27"/>
      <c r="O551" s="27"/>
      <c r="P551" s="27"/>
      <c r="Q551" s="27"/>
      <c r="R551" s="27"/>
      <c r="S551" s="27"/>
      <c r="T551" s="27">
        <f>IF(LEFT(Control_Achizitii!$E551,4)="Fact",1,0)</f>
        <v>0</v>
      </c>
      <c r="U551" s="27">
        <f>IF(Control_Achizitii!$C551="",0,IF(ISNUMBER(Control_Achizitii!$B551),0,1))</f>
        <v>0</v>
      </c>
      <c r="V551" s="27">
        <f>IF(Control_Achizitii!$C551="",0,IF($Z$2&lt;&gt;"OK",0,IF(AND(ISNUMBER(Control_Achizitii!$B551),Control_Achizitii!$B551&gt;=$E$5,Control_Achizitii!$B551&lt;$J$5+1,OR($O$5="Toate proiectele",Control_Achizitii!$Q551=$O$5)),1,0)))</f>
        <v>0</v>
      </c>
      <c r="W551" s="27">
        <f>IF(AND(V551=1,OR(Control_Achizitii!$J551&lt;&gt;"DOSAR COMPLET",Control_Achizitii!$K551&lt;&gt;"")),ROW(),1000000000)</f>
        <v>1000000000</v>
      </c>
      <c r="X551" s="27">
        <f>IF(AND(V551=1,LEFT(Control_Achizitii!$E551,4)="Fact",NOT(ISNUMBER(Control_Achizitii!$P551))),1,0)</f>
        <v>0</v>
      </c>
      <c r="Y551" s="27">
        <f>IF(V551=0,0,IF(Control_Achizitii!$J551="DOSAR COMPLET",1,IF(LEFT(Control_Achizitii!$J551,9)="INCOMPLET",2,3)))</f>
        <v>0</v>
      </c>
      <c r="Z551" s="27"/>
      <c r="AA551" s="27"/>
      <c r="AB551" s="27"/>
      <c r="AC551" s="27"/>
      <c r="AD551" s="27"/>
      <c r="AE551" s="27"/>
      <c r="AF551" s="27"/>
      <c r="AG551" s="27"/>
      <c r="AH551" s="27">
        <f>IF(AND(V551=1,Control_Achizitii!$J551="DOSAR COMPLET",Control_Achizitii!$K551&lt;&gt;""),1,0)</f>
        <v>0</v>
      </c>
    </row>
    <row r="552" spans="1:34">
      <c r="A552" s="27"/>
      <c r="B552" s="27"/>
      <c r="C552" s="27"/>
      <c r="D552" s="27"/>
      <c r="E552" s="27"/>
      <c r="F552" s="27"/>
      <c r="G552" s="27"/>
      <c r="H552" s="27"/>
      <c r="I552" s="27"/>
      <c r="J552" s="27"/>
      <c r="K552" s="27"/>
      <c r="L552" s="27"/>
      <c r="M552" s="27"/>
      <c r="N552" s="27"/>
      <c r="O552" s="27"/>
      <c r="P552" s="27"/>
      <c r="Q552" s="27"/>
      <c r="R552" s="27"/>
      <c r="S552" s="27"/>
      <c r="T552" s="27">
        <f>IF(LEFT(Control_Achizitii!$E552,4)="Fact",1,0)</f>
        <v>0</v>
      </c>
      <c r="U552" s="27">
        <f>IF(Control_Achizitii!$C552="",0,IF(ISNUMBER(Control_Achizitii!$B552),0,1))</f>
        <v>0</v>
      </c>
      <c r="V552" s="27">
        <f>IF(Control_Achizitii!$C552="",0,IF($Z$2&lt;&gt;"OK",0,IF(AND(ISNUMBER(Control_Achizitii!$B552),Control_Achizitii!$B552&gt;=$E$5,Control_Achizitii!$B552&lt;$J$5+1,OR($O$5="Toate proiectele",Control_Achizitii!$Q552=$O$5)),1,0)))</f>
        <v>0</v>
      </c>
      <c r="W552" s="27">
        <f>IF(AND(V552=1,OR(Control_Achizitii!$J552&lt;&gt;"DOSAR COMPLET",Control_Achizitii!$K552&lt;&gt;"")),ROW(),1000000000)</f>
        <v>1000000000</v>
      </c>
      <c r="X552" s="27">
        <f>IF(AND(V552=1,LEFT(Control_Achizitii!$E552,4)="Fact",NOT(ISNUMBER(Control_Achizitii!$P552))),1,0)</f>
        <v>0</v>
      </c>
      <c r="Y552" s="27">
        <f>IF(V552=0,0,IF(Control_Achizitii!$J552="DOSAR COMPLET",1,IF(LEFT(Control_Achizitii!$J552,9)="INCOMPLET",2,3)))</f>
        <v>0</v>
      </c>
      <c r="Z552" s="27"/>
      <c r="AA552" s="27"/>
      <c r="AB552" s="27"/>
      <c r="AC552" s="27"/>
      <c r="AD552" s="27"/>
      <c r="AE552" s="27"/>
      <c r="AF552" s="27"/>
      <c r="AG552" s="27"/>
      <c r="AH552" s="27">
        <f>IF(AND(V552=1,Control_Achizitii!$J552="DOSAR COMPLET",Control_Achizitii!$K552&lt;&gt;""),1,0)</f>
        <v>0</v>
      </c>
    </row>
    <row r="553" spans="1:34">
      <c r="A553" s="27"/>
      <c r="B553" s="27"/>
      <c r="C553" s="27"/>
      <c r="D553" s="27"/>
      <c r="E553" s="27"/>
      <c r="F553" s="27"/>
      <c r="G553" s="27"/>
      <c r="H553" s="27"/>
      <c r="I553" s="27"/>
      <c r="J553" s="27"/>
      <c r="K553" s="27"/>
      <c r="L553" s="27"/>
      <c r="M553" s="27"/>
      <c r="N553" s="27"/>
      <c r="O553" s="27"/>
      <c r="P553" s="27"/>
      <c r="Q553" s="27"/>
      <c r="R553" s="27"/>
      <c r="S553" s="27"/>
      <c r="T553" s="27">
        <f>IF(LEFT(Control_Achizitii!$E553,4)="Fact",1,0)</f>
        <v>0</v>
      </c>
      <c r="U553" s="27">
        <f>IF(Control_Achizitii!$C553="",0,IF(ISNUMBER(Control_Achizitii!$B553),0,1))</f>
        <v>0</v>
      </c>
      <c r="V553" s="27">
        <f>IF(Control_Achizitii!$C553="",0,IF($Z$2&lt;&gt;"OK",0,IF(AND(ISNUMBER(Control_Achizitii!$B553),Control_Achizitii!$B553&gt;=$E$5,Control_Achizitii!$B553&lt;$J$5+1,OR($O$5="Toate proiectele",Control_Achizitii!$Q553=$O$5)),1,0)))</f>
        <v>0</v>
      </c>
      <c r="W553" s="27">
        <f>IF(AND(V553=1,OR(Control_Achizitii!$J553&lt;&gt;"DOSAR COMPLET",Control_Achizitii!$K553&lt;&gt;"")),ROW(),1000000000)</f>
        <v>1000000000</v>
      </c>
      <c r="X553" s="27">
        <f>IF(AND(V553=1,LEFT(Control_Achizitii!$E553,4)="Fact",NOT(ISNUMBER(Control_Achizitii!$P553))),1,0)</f>
        <v>0</v>
      </c>
      <c r="Y553" s="27">
        <f>IF(V553=0,0,IF(Control_Achizitii!$J553="DOSAR COMPLET",1,IF(LEFT(Control_Achizitii!$J553,9)="INCOMPLET",2,3)))</f>
        <v>0</v>
      </c>
      <c r="Z553" s="27"/>
      <c r="AA553" s="27"/>
      <c r="AB553" s="27"/>
      <c r="AC553" s="27"/>
      <c r="AD553" s="27"/>
      <c r="AE553" s="27"/>
      <c r="AF553" s="27"/>
      <c r="AG553" s="27"/>
      <c r="AH553" s="27">
        <f>IF(AND(V553=1,Control_Achizitii!$J553="DOSAR COMPLET",Control_Achizitii!$K553&lt;&gt;""),1,0)</f>
        <v>0</v>
      </c>
    </row>
    <row r="554" spans="1:34">
      <c r="A554" s="27"/>
      <c r="B554" s="27"/>
      <c r="C554" s="27"/>
      <c r="D554" s="27"/>
      <c r="E554" s="27"/>
      <c r="F554" s="27"/>
      <c r="G554" s="27"/>
      <c r="H554" s="27"/>
      <c r="I554" s="27"/>
      <c r="J554" s="27"/>
      <c r="K554" s="27"/>
      <c r="L554" s="27"/>
      <c r="M554" s="27"/>
      <c r="N554" s="27"/>
      <c r="O554" s="27"/>
      <c r="P554" s="27"/>
      <c r="Q554" s="27"/>
      <c r="R554" s="27"/>
      <c r="S554" s="27"/>
      <c r="T554" s="27">
        <f>IF(LEFT(Control_Achizitii!$E554,4)="Fact",1,0)</f>
        <v>0</v>
      </c>
      <c r="U554" s="27">
        <f>IF(Control_Achizitii!$C554="",0,IF(ISNUMBER(Control_Achizitii!$B554),0,1))</f>
        <v>0</v>
      </c>
      <c r="V554" s="27">
        <f>IF(Control_Achizitii!$C554="",0,IF($Z$2&lt;&gt;"OK",0,IF(AND(ISNUMBER(Control_Achizitii!$B554),Control_Achizitii!$B554&gt;=$E$5,Control_Achizitii!$B554&lt;$J$5+1,OR($O$5="Toate proiectele",Control_Achizitii!$Q554=$O$5)),1,0)))</f>
        <v>0</v>
      </c>
      <c r="W554" s="27">
        <f>IF(AND(V554=1,OR(Control_Achizitii!$J554&lt;&gt;"DOSAR COMPLET",Control_Achizitii!$K554&lt;&gt;"")),ROW(),1000000000)</f>
        <v>1000000000</v>
      </c>
      <c r="X554" s="27">
        <f>IF(AND(V554=1,LEFT(Control_Achizitii!$E554,4)="Fact",NOT(ISNUMBER(Control_Achizitii!$P554))),1,0)</f>
        <v>0</v>
      </c>
      <c r="Y554" s="27">
        <f>IF(V554=0,0,IF(Control_Achizitii!$J554="DOSAR COMPLET",1,IF(LEFT(Control_Achizitii!$J554,9)="INCOMPLET",2,3)))</f>
        <v>0</v>
      </c>
      <c r="Z554" s="27"/>
      <c r="AA554" s="27"/>
      <c r="AB554" s="27"/>
      <c r="AC554" s="27"/>
      <c r="AD554" s="27"/>
      <c r="AE554" s="27"/>
      <c r="AF554" s="27"/>
      <c r="AG554" s="27"/>
      <c r="AH554" s="27">
        <f>IF(AND(V554=1,Control_Achizitii!$J554="DOSAR COMPLET",Control_Achizitii!$K554&lt;&gt;""),1,0)</f>
        <v>0</v>
      </c>
    </row>
    <row r="555" spans="1:34">
      <c r="A555" s="27"/>
      <c r="B555" s="27"/>
      <c r="C555" s="27"/>
      <c r="D555" s="27"/>
      <c r="E555" s="27"/>
      <c r="F555" s="27"/>
      <c r="G555" s="27"/>
      <c r="H555" s="27"/>
      <c r="I555" s="27"/>
      <c r="J555" s="27"/>
      <c r="K555" s="27"/>
      <c r="L555" s="27"/>
      <c r="M555" s="27"/>
      <c r="N555" s="27"/>
      <c r="O555" s="27"/>
      <c r="P555" s="27"/>
      <c r="Q555" s="27"/>
      <c r="R555" s="27"/>
      <c r="S555" s="27"/>
      <c r="T555" s="27">
        <f>IF(LEFT(Control_Achizitii!$E555,4)="Fact",1,0)</f>
        <v>0</v>
      </c>
      <c r="U555" s="27">
        <f>IF(Control_Achizitii!$C555="",0,IF(ISNUMBER(Control_Achizitii!$B555),0,1))</f>
        <v>0</v>
      </c>
      <c r="V555" s="27">
        <f>IF(Control_Achizitii!$C555="",0,IF($Z$2&lt;&gt;"OK",0,IF(AND(ISNUMBER(Control_Achizitii!$B555),Control_Achizitii!$B555&gt;=$E$5,Control_Achizitii!$B555&lt;$J$5+1,OR($O$5="Toate proiectele",Control_Achizitii!$Q555=$O$5)),1,0)))</f>
        <v>0</v>
      </c>
      <c r="W555" s="27">
        <f>IF(AND(V555=1,OR(Control_Achizitii!$J555&lt;&gt;"DOSAR COMPLET",Control_Achizitii!$K555&lt;&gt;"")),ROW(),1000000000)</f>
        <v>1000000000</v>
      </c>
      <c r="X555" s="27">
        <f>IF(AND(V555=1,LEFT(Control_Achizitii!$E555,4)="Fact",NOT(ISNUMBER(Control_Achizitii!$P555))),1,0)</f>
        <v>0</v>
      </c>
      <c r="Y555" s="27">
        <f>IF(V555=0,0,IF(Control_Achizitii!$J555="DOSAR COMPLET",1,IF(LEFT(Control_Achizitii!$J555,9)="INCOMPLET",2,3)))</f>
        <v>0</v>
      </c>
      <c r="Z555" s="27"/>
      <c r="AA555" s="27"/>
      <c r="AB555" s="27"/>
      <c r="AC555" s="27"/>
      <c r="AD555" s="27"/>
      <c r="AE555" s="27"/>
      <c r="AF555" s="27"/>
      <c r="AG555" s="27"/>
      <c r="AH555" s="27">
        <f>IF(AND(V555=1,Control_Achizitii!$J555="DOSAR COMPLET",Control_Achizitii!$K555&lt;&gt;""),1,0)</f>
        <v>0</v>
      </c>
    </row>
    <row r="556" spans="1:34">
      <c r="A556" s="27"/>
      <c r="B556" s="27"/>
      <c r="C556" s="27"/>
      <c r="D556" s="27"/>
      <c r="E556" s="27"/>
      <c r="F556" s="27"/>
      <c r="G556" s="27"/>
      <c r="H556" s="27"/>
      <c r="I556" s="27"/>
      <c r="J556" s="27"/>
      <c r="K556" s="27"/>
      <c r="L556" s="27"/>
      <c r="M556" s="27"/>
      <c r="N556" s="27"/>
      <c r="O556" s="27"/>
      <c r="P556" s="27"/>
      <c r="Q556" s="27"/>
      <c r="R556" s="27"/>
      <c r="S556" s="27"/>
      <c r="T556" s="27">
        <f>IF(LEFT(Control_Achizitii!$E556,4)="Fact",1,0)</f>
        <v>0</v>
      </c>
      <c r="U556" s="27">
        <f>IF(Control_Achizitii!$C556="",0,IF(ISNUMBER(Control_Achizitii!$B556),0,1))</f>
        <v>0</v>
      </c>
      <c r="V556" s="27">
        <f>IF(Control_Achizitii!$C556="",0,IF($Z$2&lt;&gt;"OK",0,IF(AND(ISNUMBER(Control_Achizitii!$B556),Control_Achizitii!$B556&gt;=$E$5,Control_Achizitii!$B556&lt;$J$5+1,OR($O$5="Toate proiectele",Control_Achizitii!$Q556=$O$5)),1,0)))</f>
        <v>0</v>
      </c>
      <c r="W556" s="27">
        <f>IF(AND(V556=1,OR(Control_Achizitii!$J556&lt;&gt;"DOSAR COMPLET",Control_Achizitii!$K556&lt;&gt;"")),ROW(),1000000000)</f>
        <v>1000000000</v>
      </c>
      <c r="X556" s="27">
        <f>IF(AND(V556=1,LEFT(Control_Achizitii!$E556,4)="Fact",NOT(ISNUMBER(Control_Achizitii!$P556))),1,0)</f>
        <v>0</v>
      </c>
      <c r="Y556" s="27">
        <f>IF(V556=0,0,IF(Control_Achizitii!$J556="DOSAR COMPLET",1,IF(LEFT(Control_Achizitii!$J556,9)="INCOMPLET",2,3)))</f>
        <v>0</v>
      </c>
      <c r="Z556" s="27"/>
      <c r="AA556" s="27"/>
      <c r="AB556" s="27"/>
      <c r="AC556" s="27"/>
      <c r="AD556" s="27"/>
      <c r="AE556" s="27"/>
      <c r="AF556" s="27"/>
      <c r="AG556" s="27"/>
      <c r="AH556" s="27">
        <f>IF(AND(V556=1,Control_Achizitii!$J556="DOSAR COMPLET",Control_Achizitii!$K556&lt;&gt;""),1,0)</f>
        <v>0</v>
      </c>
    </row>
    <row r="557" spans="1:34">
      <c r="A557" s="27"/>
      <c r="B557" s="27"/>
      <c r="C557" s="27"/>
      <c r="D557" s="27"/>
      <c r="E557" s="27"/>
      <c r="F557" s="27"/>
      <c r="G557" s="27"/>
      <c r="H557" s="27"/>
      <c r="I557" s="27"/>
      <c r="J557" s="27"/>
      <c r="K557" s="27"/>
      <c r="L557" s="27"/>
      <c r="M557" s="27"/>
      <c r="N557" s="27"/>
      <c r="O557" s="27"/>
      <c r="P557" s="27"/>
      <c r="Q557" s="27"/>
      <c r="R557" s="27"/>
      <c r="S557" s="27"/>
      <c r="T557" s="27">
        <f>IF(LEFT(Control_Achizitii!$E557,4)="Fact",1,0)</f>
        <v>0</v>
      </c>
      <c r="U557" s="27">
        <f>IF(Control_Achizitii!$C557="",0,IF(ISNUMBER(Control_Achizitii!$B557),0,1))</f>
        <v>0</v>
      </c>
      <c r="V557" s="27">
        <f>IF(Control_Achizitii!$C557="",0,IF($Z$2&lt;&gt;"OK",0,IF(AND(ISNUMBER(Control_Achizitii!$B557),Control_Achizitii!$B557&gt;=$E$5,Control_Achizitii!$B557&lt;$J$5+1,OR($O$5="Toate proiectele",Control_Achizitii!$Q557=$O$5)),1,0)))</f>
        <v>0</v>
      </c>
      <c r="W557" s="27">
        <f>IF(AND(V557=1,OR(Control_Achizitii!$J557&lt;&gt;"DOSAR COMPLET",Control_Achizitii!$K557&lt;&gt;"")),ROW(),1000000000)</f>
        <v>1000000000</v>
      </c>
      <c r="X557" s="27">
        <f>IF(AND(V557=1,LEFT(Control_Achizitii!$E557,4)="Fact",NOT(ISNUMBER(Control_Achizitii!$P557))),1,0)</f>
        <v>0</v>
      </c>
      <c r="Y557" s="27">
        <f>IF(V557=0,0,IF(Control_Achizitii!$J557="DOSAR COMPLET",1,IF(LEFT(Control_Achizitii!$J557,9)="INCOMPLET",2,3)))</f>
        <v>0</v>
      </c>
      <c r="Z557" s="27"/>
      <c r="AA557" s="27"/>
      <c r="AB557" s="27"/>
      <c r="AC557" s="27"/>
      <c r="AD557" s="27"/>
      <c r="AE557" s="27"/>
      <c r="AF557" s="27"/>
      <c r="AG557" s="27"/>
      <c r="AH557" s="27">
        <f>IF(AND(V557=1,Control_Achizitii!$J557="DOSAR COMPLET",Control_Achizitii!$K557&lt;&gt;""),1,0)</f>
        <v>0</v>
      </c>
    </row>
    <row r="558" spans="1:34">
      <c r="A558" s="27"/>
      <c r="B558" s="27"/>
      <c r="C558" s="27"/>
      <c r="D558" s="27"/>
      <c r="E558" s="27"/>
      <c r="F558" s="27"/>
      <c r="G558" s="27"/>
      <c r="H558" s="27"/>
      <c r="I558" s="27"/>
      <c r="J558" s="27"/>
      <c r="K558" s="27"/>
      <c r="L558" s="27"/>
      <c r="M558" s="27"/>
      <c r="N558" s="27"/>
      <c r="O558" s="27"/>
      <c r="P558" s="27"/>
      <c r="Q558" s="27"/>
      <c r="R558" s="27"/>
      <c r="S558" s="27"/>
      <c r="T558" s="27">
        <f>IF(LEFT(Control_Achizitii!$E558,4)="Fact",1,0)</f>
        <v>0</v>
      </c>
      <c r="U558" s="27">
        <f>IF(Control_Achizitii!$C558="",0,IF(ISNUMBER(Control_Achizitii!$B558),0,1))</f>
        <v>0</v>
      </c>
      <c r="V558" s="27">
        <f>IF(Control_Achizitii!$C558="",0,IF($Z$2&lt;&gt;"OK",0,IF(AND(ISNUMBER(Control_Achizitii!$B558),Control_Achizitii!$B558&gt;=$E$5,Control_Achizitii!$B558&lt;$J$5+1,OR($O$5="Toate proiectele",Control_Achizitii!$Q558=$O$5)),1,0)))</f>
        <v>0</v>
      </c>
      <c r="W558" s="27">
        <f>IF(AND(V558=1,OR(Control_Achizitii!$J558&lt;&gt;"DOSAR COMPLET",Control_Achizitii!$K558&lt;&gt;"")),ROW(),1000000000)</f>
        <v>1000000000</v>
      </c>
      <c r="X558" s="27">
        <f>IF(AND(V558=1,LEFT(Control_Achizitii!$E558,4)="Fact",NOT(ISNUMBER(Control_Achizitii!$P558))),1,0)</f>
        <v>0</v>
      </c>
      <c r="Y558" s="27">
        <f>IF(V558=0,0,IF(Control_Achizitii!$J558="DOSAR COMPLET",1,IF(LEFT(Control_Achizitii!$J558,9)="INCOMPLET",2,3)))</f>
        <v>0</v>
      </c>
      <c r="Z558" s="27"/>
      <c r="AA558" s="27"/>
      <c r="AB558" s="27"/>
      <c r="AC558" s="27"/>
      <c r="AD558" s="27"/>
      <c r="AE558" s="27"/>
      <c r="AF558" s="27"/>
      <c r="AG558" s="27"/>
      <c r="AH558" s="27">
        <f>IF(AND(V558=1,Control_Achizitii!$J558="DOSAR COMPLET",Control_Achizitii!$K558&lt;&gt;""),1,0)</f>
        <v>0</v>
      </c>
    </row>
    <row r="559" spans="1:34">
      <c r="A559" s="27"/>
      <c r="B559" s="27"/>
      <c r="C559" s="27"/>
      <c r="D559" s="27"/>
      <c r="E559" s="27"/>
      <c r="F559" s="27"/>
      <c r="G559" s="27"/>
      <c r="H559" s="27"/>
      <c r="I559" s="27"/>
      <c r="J559" s="27"/>
      <c r="K559" s="27"/>
      <c r="L559" s="27"/>
      <c r="M559" s="27"/>
      <c r="N559" s="27"/>
      <c r="O559" s="27"/>
      <c r="P559" s="27"/>
      <c r="Q559" s="27"/>
      <c r="R559" s="27"/>
      <c r="S559" s="27"/>
      <c r="T559" s="27">
        <f>IF(LEFT(Control_Achizitii!$E559,4)="Fact",1,0)</f>
        <v>0</v>
      </c>
      <c r="U559" s="27">
        <f>IF(Control_Achizitii!$C559="",0,IF(ISNUMBER(Control_Achizitii!$B559),0,1))</f>
        <v>0</v>
      </c>
      <c r="V559" s="27">
        <f>IF(Control_Achizitii!$C559="",0,IF($Z$2&lt;&gt;"OK",0,IF(AND(ISNUMBER(Control_Achizitii!$B559),Control_Achizitii!$B559&gt;=$E$5,Control_Achizitii!$B559&lt;$J$5+1,OR($O$5="Toate proiectele",Control_Achizitii!$Q559=$O$5)),1,0)))</f>
        <v>0</v>
      </c>
      <c r="W559" s="27">
        <f>IF(AND(V559=1,OR(Control_Achizitii!$J559&lt;&gt;"DOSAR COMPLET",Control_Achizitii!$K559&lt;&gt;"")),ROW(),1000000000)</f>
        <v>1000000000</v>
      </c>
      <c r="X559" s="27">
        <f>IF(AND(V559=1,LEFT(Control_Achizitii!$E559,4)="Fact",NOT(ISNUMBER(Control_Achizitii!$P559))),1,0)</f>
        <v>0</v>
      </c>
      <c r="Y559" s="27">
        <f>IF(V559=0,0,IF(Control_Achizitii!$J559="DOSAR COMPLET",1,IF(LEFT(Control_Achizitii!$J559,9)="INCOMPLET",2,3)))</f>
        <v>0</v>
      </c>
      <c r="Z559" s="27"/>
      <c r="AA559" s="27"/>
      <c r="AB559" s="27"/>
      <c r="AC559" s="27"/>
      <c r="AD559" s="27"/>
      <c r="AE559" s="27"/>
      <c r="AF559" s="27"/>
      <c r="AG559" s="27"/>
      <c r="AH559" s="27">
        <f>IF(AND(V559=1,Control_Achizitii!$J559="DOSAR COMPLET",Control_Achizitii!$K559&lt;&gt;""),1,0)</f>
        <v>0</v>
      </c>
    </row>
    <row r="560" spans="1:34">
      <c r="A560" s="27"/>
      <c r="B560" s="27"/>
      <c r="C560" s="27"/>
      <c r="D560" s="27"/>
      <c r="E560" s="27"/>
      <c r="F560" s="27"/>
      <c r="G560" s="27"/>
      <c r="H560" s="27"/>
      <c r="I560" s="27"/>
      <c r="J560" s="27"/>
      <c r="K560" s="27"/>
      <c r="L560" s="27"/>
      <c r="M560" s="27"/>
      <c r="N560" s="27"/>
      <c r="O560" s="27"/>
      <c r="P560" s="27"/>
      <c r="Q560" s="27"/>
      <c r="R560" s="27"/>
      <c r="S560" s="27"/>
      <c r="T560" s="27">
        <f>IF(LEFT(Control_Achizitii!$E560,4)="Fact",1,0)</f>
        <v>0</v>
      </c>
      <c r="U560" s="27">
        <f>IF(Control_Achizitii!$C560="",0,IF(ISNUMBER(Control_Achizitii!$B560),0,1))</f>
        <v>0</v>
      </c>
      <c r="V560" s="27">
        <f>IF(Control_Achizitii!$C560="",0,IF($Z$2&lt;&gt;"OK",0,IF(AND(ISNUMBER(Control_Achizitii!$B560),Control_Achizitii!$B560&gt;=$E$5,Control_Achizitii!$B560&lt;$J$5+1,OR($O$5="Toate proiectele",Control_Achizitii!$Q560=$O$5)),1,0)))</f>
        <v>0</v>
      </c>
      <c r="W560" s="27">
        <f>IF(AND(V560=1,OR(Control_Achizitii!$J560&lt;&gt;"DOSAR COMPLET",Control_Achizitii!$K560&lt;&gt;"")),ROW(),1000000000)</f>
        <v>1000000000</v>
      </c>
      <c r="X560" s="27">
        <f>IF(AND(V560=1,LEFT(Control_Achizitii!$E560,4)="Fact",NOT(ISNUMBER(Control_Achizitii!$P560))),1,0)</f>
        <v>0</v>
      </c>
      <c r="Y560" s="27">
        <f>IF(V560=0,0,IF(Control_Achizitii!$J560="DOSAR COMPLET",1,IF(LEFT(Control_Achizitii!$J560,9)="INCOMPLET",2,3)))</f>
        <v>0</v>
      </c>
      <c r="Z560" s="27"/>
      <c r="AA560" s="27"/>
      <c r="AB560" s="27"/>
      <c r="AC560" s="27"/>
      <c r="AD560" s="27"/>
      <c r="AE560" s="27"/>
      <c r="AF560" s="27"/>
      <c r="AG560" s="27"/>
      <c r="AH560" s="27">
        <f>IF(AND(V560=1,Control_Achizitii!$J560="DOSAR COMPLET",Control_Achizitii!$K560&lt;&gt;""),1,0)</f>
        <v>0</v>
      </c>
    </row>
    <row r="561" spans="1:34">
      <c r="A561" s="27"/>
      <c r="B561" s="27"/>
      <c r="C561" s="27"/>
      <c r="D561" s="27"/>
      <c r="E561" s="27"/>
      <c r="F561" s="27"/>
      <c r="G561" s="27"/>
      <c r="H561" s="27"/>
      <c r="I561" s="27"/>
      <c r="J561" s="27"/>
      <c r="K561" s="27"/>
      <c r="L561" s="27"/>
      <c r="M561" s="27"/>
      <c r="N561" s="27"/>
      <c r="O561" s="27"/>
      <c r="P561" s="27"/>
      <c r="Q561" s="27"/>
      <c r="R561" s="27"/>
      <c r="S561" s="27"/>
      <c r="T561" s="27">
        <f>IF(LEFT(Control_Achizitii!$E561,4)="Fact",1,0)</f>
        <v>0</v>
      </c>
      <c r="U561" s="27">
        <f>IF(Control_Achizitii!$C561="",0,IF(ISNUMBER(Control_Achizitii!$B561),0,1))</f>
        <v>0</v>
      </c>
      <c r="V561" s="27">
        <f>IF(Control_Achizitii!$C561="",0,IF($Z$2&lt;&gt;"OK",0,IF(AND(ISNUMBER(Control_Achizitii!$B561),Control_Achizitii!$B561&gt;=$E$5,Control_Achizitii!$B561&lt;$J$5+1,OR($O$5="Toate proiectele",Control_Achizitii!$Q561=$O$5)),1,0)))</f>
        <v>0</v>
      </c>
      <c r="W561" s="27">
        <f>IF(AND(V561=1,OR(Control_Achizitii!$J561&lt;&gt;"DOSAR COMPLET",Control_Achizitii!$K561&lt;&gt;"")),ROW(),1000000000)</f>
        <v>1000000000</v>
      </c>
      <c r="X561" s="27">
        <f>IF(AND(V561=1,LEFT(Control_Achizitii!$E561,4)="Fact",NOT(ISNUMBER(Control_Achizitii!$P561))),1,0)</f>
        <v>0</v>
      </c>
      <c r="Y561" s="27">
        <f>IF(V561=0,0,IF(Control_Achizitii!$J561="DOSAR COMPLET",1,IF(LEFT(Control_Achizitii!$J561,9)="INCOMPLET",2,3)))</f>
        <v>0</v>
      </c>
      <c r="Z561" s="27"/>
      <c r="AA561" s="27"/>
      <c r="AB561" s="27"/>
      <c r="AC561" s="27"/>
      <c r="AD561" s="27"/>
      <c r="AE561" s="27"/>
      <c r="AF561" s="27"/>
      <c r="AG561" s="27"/>
      <c r="AH561" s="27">
        <f>IF(AND(V561=1,Control_Achizitii!$J561="DOSAR COMPLET",Control_Achizitii!$K561&lt;&gt;""),1,0)</f>
        <v>0</v>
      </c>
    </row>
    <row r="562" spans="1:34">
      <c r="A562" s="27"/>
      <c r="B562" s="27"/>
      <c r="C562" s="27"/>
      <c r="D562" s="27"/>
      <c r="E562" s="27"/>
      <c r="F562" s="27"/>
      <c r="G562" s="27"/>
      <c r="H562" s="27"/>
      <c r="I562" s="27"/>
      <c r="J562" s="27"/>
      <c r="K562" s="27"/>
      <c r="L562" s="27"/>
      <c r="M562" s="27"/>
      <c r="N562" s="27"/>
      <c r="O562" s="27"/>
      <c r="P562" s="27"/>
      <c r="Q562" s="27"/>
      <c r="R562" s="27"/>
      <c r="S562" s="27"/>
      <c r="T562" s="27">
        <f>IF(LEFT(Control_Achizitii!$E562,4)="Fact",1,0)</f>
        <v>0</v>
      </c>
      <c r="U562" s="27">
        <f>IF(Control_Achizitii!$C562="",0,IF(ISNUMBER(Control_Achizitii!$B562),0,1))</f>
        <v>0</v>
      </c>
      <c r="V562" s="27">
        <f>IF(Control_Achizitii!$C562="",0,IF($Z$2&lt;&gt;"OK",0,IF(AND(ISNUMBER(Control_Achizitii!$B562),Control_Achizitii!$B562&gt;=$E$5,Control_Achizitii!$B562&lt;$J$5+1,OR($O$5="Toate proiectele",Control_Achizitii!$Q562=$O$5)),1,0)))</f>
        <v>0</v>
      </c>
      <c r="W562" s="27">
        <f>IF(AND(V562=1,OR(Control_Achizitii!$J562&lt;&gt;"DOSAR COMPLET",Control_Achizitii!$K562&lt;&gt;"")),ROW(),1000000000)</f>
        <v>1000000000</v>
      </c>
      <c r="X562" s="27">
        <f>IF(AND(V562=1,LEFT(Control_Achizitii!$E562,4)="Fact",NOT(ISNUMBER(Control_Achizitii!$P562))),1,0)</f>
        <v>0</v>
      </c>
      <c r="Y562" s="27">
        <f>IF(V562=0,0,IF(Control_Achizitii!$J562="DOSAR COMPLET",1,IF(LEFT(Control_Achizitii!$J562,9)="INCOMPLET",2,3)))</f>
        <v>0</v>
      </c>
      <c r="Z562" s="27"/>
      <c r="AA562" s="27"/>
      <c r="AB562" s="27"/>
      <c r="AC562" s="27"/>
      <c r="AD562" s="27"/>
      <c r="AE562" s="27"/>
      <c r="AF562" s="27"/>
      <c r="AG562" s="27"/>
      <c r="AH562" s="27">
        <f>IF(AND(V562=1,Control_Achizitii!$J562="DOSAR COMPLET",Control_Achizitii!$K562&lt;&gt;""),1,0)</f>
        <v>0</v>
      </c>
    </row>
    <row r="563" spans="1:34">
      <c r="A563" s="27"/>
      <c r="B563" s="27"/>
      <c r="C563" s="27"/>
      <c r="D563" s="27"/>
      <c r="E563" s="27"/>
      <c r="F563" s="27"/>
      <c r="G563" s="27"/>
      <c r="H563" s="27"/>
      <c r="I563" s="27"/>
      <c r="J563" s="27"/>
      <c r="K563" s="27"/>
      <c r="L563" s="27"/>
      <c r="M563" s="27"/>
      <c r="N563" s="27"/>
      <c r="O563" s="27"/>
      <c r="P563" s="27"/>
      <c r="Q563" s="27"/>
      <c r="R563" s="27"/>
      <c r="S563" s="27"/>
      <c r="T563" s="27">
        <f>IF(LEFT(Control_Achizitii!$E563,4)="Fact",1,0)</f>
        <v>0</v>
      </c>
      <c r="U563" s="27">
        <f>IF(Control_Achizitii!$C563="",0,IF(ISNUMBER(Control_Achizitii!$B563),0,1))</f>
        <v>0</v>
      </c>
      <c r="V563" s="27">
        <f>IF(Control_Achizitii!$C563="",0,IF($Z$2&lt;&gt;"OK",0,IF(AND(ISNUMBER(Control_Achizitii!$B563),Control_Achizitii!$B563&gt;=$E$5,Control_Achizitii!$B563&lt;$J$5+1,OR($O$5="Toate proiectele",Control_Achizitii!$Q563=$O$5)),1,0)))</f>
        <v>0</v>
      </c>
      <c r="W563" s="27">
        <f>IF(AND(V563=1,OR(Control_Achizitii!$J563&lt;&gt;"DOSAR COMPLET",Control_Achizitii!$K563&lt;&gt;"")),ROW(),1000000000)</f>
        <v>1000000000</v>
      </c>
      <c r="X563" s="27">
        <f>IF(AND(V563=1,LEFT(Control_Achizitii!$E563,4)="Fact",NOT(ISNUMBER(Control_Achizitii!$P563))),1,0)</f>
        <v>0</v>
      </c>
      <c r="Y563" s="27">
        <f>IF(V563=0,0,IF(Control_Achizitii!$J563="DOSAR COMPLET",1,IF(LEFT(Control_Achizitii!$J563,9)="INCOMPLET",2,3)))</f>
        <v>0</v>
      </c>
      <c r="Z563" s="27"/>
      <c r="AA563" s="27"/>
      <c r="AB563" s="27"/>
      <c r="AC563" s="27"/>
      <c r="AD563" s="27"/>
      <c r="AE563" s="27"/>
      <c r="AF563" s="27"/>
      <c r="AG563" s="27"/>
      <c r="AH563" s="27">
        <f>IF(AND(V563=1,Control_Achizitii!$J563="DOSAR COMPLET",Control_Achizitii!$K563&lt;&gt;""),1,0)</f>
        <v>0</v>
      </c>
    </row>
    <row r="564" spans="1:34">
      <c r="A564" s="27"/>
      <c r="B564" s="27"/>
      <c r="C564" s="27"/>
      <c r="D564" s="27"/>
      <c r="E564" s="27"/>
      <c r="F564" s="27"/>
      <c r="G564" s="27"/>
      <c r="H564" s="27"/>
      <c r="I564" s="27"/>
      <c r="J564" s="27"/>
      <c r="K564" s="27"/>
      <c r="L564" s="27"/>
      <c r="M564" s="27"/>
      <c r="N564" s="27"/>
      <c r="O564" s="27"/>
      <c r="P564" s="27"/>
      <c r="Q564" s="27"/>
      <c r="R564" s="27"/>
      <c r="S564" s="27"/>
      <c r="T564" s="27">
        <f>IF(LEFT(Control_Achizitii!$E564,4)="Fact",1,0)</f>
        <v>0</v>
      </c>
      <c r="U564" s="27">
        <f>IF(Control_Achizitii!$C564="",0,IF(ISNUMBER(Control_Achizitii!$B564),0,1))</f>
        <v>0</v>
      </c>
      <c r="V564" s="27">
        <f>IF(Control_Achizitii!$C564="",0,IF($Z$2&lt;&gt;"OK",0,IF(AND(ISNUMBER(Control_Achizitii!$B564),Control_Achizitii!$B564&gt;=$E$5,Control_Achizitii!$B564&lt;$J$5+1,OR($O$5="Toate proiectele",Control_Achizitii!$Q564=$O$5)),1,0)))</f>
        <v>0</v>
      </c>
      <c r="W564" s="27">
        <f>IF(AND(V564=1,OR(Control_Achizitii!$J564&lt;&gt;"DOSAR COMPLET",Control_Achizitii!$K564&lt;&gt;"")),ROW(),1000000000)</f>
        <v>1000000000</v>
      </c>
      <c r="X564" s="27">
        <f>IF(AND(V564=1,LEFT(Control_Achizitii!$E564,4)="Fact",NOT(ISNUMBER(Control_Achizitii!$P564))),1,0)</f>
        <v>0</v>
      </c>
      <c r="Y564" s="27">
        <f>IF(V564=0,0,IF(Control_Achizitii!$J564="DOSAR COMPLET",1,IF(LEFT(Control_Achizitii!$J564,9)="INCOMPLET",2,3)))</f>
        <v>0</v>
      </c>
      <c r="Z564" s="27"/>
      <c r="AA564" s="27"/>
      <c r="AB564" s="27"/>
      <c r="AC564" s="27"/>
      <c r="AD564" s="27"/>
      <c r="AE564" s="27"/>
      <c r="AF564" s="27"/>
      <c r="AG564" s="27"/>
      <c r="AH564" s="27">
        <f>IF(AND(V564=1,Control_Achizitii!$J564="DOSAR COMPLET",Control_Achizitii!$K564&lt;&gt;""),1,0)</f>
        <v>0</v>
      </c>
    </row>
    <row r="565" spans="1:34">
      <c r="A565" s="27"/>
      <c r="B565" s="27"/>
      <c r="C565" s="27"/>
      <c r="D565" s="27"/>
      <c r="E565" s="27"/>
      <c r="F565" s="27"/>
      <c r="G565" s="27"/>
      <c r="H565" s="27"/>
      <c r="I565" s="27"/>
      <c r="J565" s="27"/>
      <c r="K565" s="27"/>
      <c r="L565" s="27"/>
      <c r="M565" s="27"/>
      <c r="N565" s="27"/>
      <c r="O565" s="27"/>
      <c r="P565" s="27"/>
      <c r="Q565" s="27"/>
      <c r="R565" s="27"/>
      <c r="S565" s="27"/>
      <c r="T565" s="27">
        <f>IF(LEFT(Control_Achizitii!$E565,4)="Fact",1,0)</f>
        <v>0</v>
      </c>
      <c r="U565" s="27">
        <f>IF(Control_Achizitii!$C565="",0,IF(ISNUMBER(Control_Achizitii!$B565),0,1))</f>
        <v>0</v>
      </c>
      <c r="V565" s="27">
        <f>IF(Control_Achizitii!$C565="",0,IF($Z$2&lt;&gt;"OK",0,IF(AND(ISNUMBER(Control_Achizitii!$B565),Control_Achizitii!$B565&gt;=$E$5,Control_Achizitii!$B565&lt;$J$5+1,OR($O$5="Toate proiectele",Control_Achizitii!$Q565=$O$5)),1,0)))</f>
        <v>0</v>
      </c>
      <c r="W565" s="27">
        <f>IF(AND(V565=1,OR(Control_Achizitii!$J565&lt;&gt;"DOSAR COMPLET",Control_Achizitii!$K565&lt;&gt;"")),ROW(),1000000000)</f>
        <v>1000000000</v>
      </c>
      <c r="X565" s="27">
        <f>IF(AND(V565=1,LEFT(Control_Achizitii!$E565,4)="Fact",NOT(ISNUMBER(Control_Achizitii!$P565))),1,0)</f>
        <v>0</v>
      </c>
      <c r="Y565" s="27">
        <f>IF(V565=0,0,IF(Control_Achizitii!$J565="DOSAR COMPLET",1,IF(LEFT(Control_Achizitii!$J565,9)="INCOMPLET",2,3)))</f>
        <v>0</v>
      </c>
      <c r="Z565" s="27"/>
      <c r="AA565" s="27"/>
      <c r="AB565" s="27"/>
      <c r="AC565" s="27"/>
      <c r="AD565" s="27"/>
      <c r="AE565" s="27"/>
      <c r="AF565" s="27"/>
      <c r="AG565" s="27"/>
      <c r="AH565" s="27">
        <f>IF(AND(V565=1,Control_Achizitii!$J565="DOSAR COMPLET",Control_Achizitii!$K565&lt;&gt;""),1,0)</f>
        <v>0</v>
      </c>
    </row>
    <row r="566" spans="1:34">
      <c r="A566" s="27"/>
      <c r="B566" s="27"/>
      <c r="C566" s="27"/>
      <c r="D566" s="27"/>
      <c r="E566" s="27"/>
      <c r="F566" s="27"/>
      <c r="G566" s="27"/>
      <c r="H566" s="27"/>
      <c r="I566" s="27"/>
      <c r="J566" s="27"/>
      <c r="K566" s="27"/>
      <c r="L566" s="27"/>
      <c r="M566" s="27"/>
      <c r="N566" s="27"/>
      <c r="O566" s="27"/>
      <c r="P566" s="27"/>
      <c r="Q566" s="27"/>
      <c r="R566" s="27"/>
      <c r="S566" s="27"/>
      <c r="T566" s="27">
        <f>IF(LEFT(Control_Achizitii!$E566,4)="Fact",1,0)</f>
        <v>0</v>
      </c>
      <c r="U566" s="27">
        <f>IF(Control_Achizitii!$C566="",0,IF(ISNUMBER(Control_Achizitii!$B566),0,1))</f>
        <v>0</v>
      </c>
      <c r="V566" s="27">
        <f>IF(Control_Achizitii!$C566="",0,IF($Z$2&lt;&gt;"OK",0,IF(AND(ISNUMBER(Control_Achizitii!$B566),Control_Achizitii!$B566&gt;=$E$5,Control_Achizitii!$B566&lt;$J$5+1,OR($O$5="Toate proiectele",Control_Achizitii!$Q566=$O$5)),1,0)))</f>
        <v>0</v>
      </c>
      <c r="W566" s="27">
        <f>IF(AND(V566=1,OR(Control_Achizitii!$J566&lt;&gt;"DOSAR COMPLET",Control_Achizitii!$K566&lt;&gt;"")),ROW(),1000000000)</f>
        <v>1000000000</v>
      </c>
      <c r="X566" s="27">
        <f>IF(AND(V566=1,LEFT(Control_Achizitii!$E566,4)="Fact",NOT(ISNUMBER(Control_Achizitii!$P566))),1,0)</f>
        <v>0</v>
      </c>
      <c r="Y566" s="27">
        <f>IF(V566=0,0,IF(Control_Achizitii!$J566="DOSAR COMPLET",1,IF(LEFT(Control_Achizitii!$J566,9)="INCOMPLET",2,3)))</f>
        <v>0</v>
      </c>
      <c r="Z566" s="27"/>
      <c r="AA566" s="27"/>
      <c r="AB566" s="27"/>
      <c r="AC566" s="27"/>
      <c r="AD566" s="27"/>
      <c r="AE566" s="27"/>
      <c r="AF566" s="27"/>
      <c r="AG566" s="27"/>
      <c r="AH566" s="27">
        <f>IF(AND(V566=1,Control_Achizitii!$J566="DOSAR COMPLET",Control_Achizitii!$K566&lt;&gt;""),1,0)</f>
        <v>0</v>
      </c>
    </row>
    <row r="567" spans="1:34">
      <c r="A567" s="27"/>
      <c r="B567" s="27"/>
      <c r="C567" s="27"/>
      <c r="D567" s="27"/>
      <c r="E567" s="27"/>
      <c r="F567" s="27"/>
      <c r="G567" s="27"/>
      <c r="H567" s="27"/>
      <c r="I567" s="27"/>
      <c r="J567" s="27"/>
      <c r="K567" s="27"/>
      <c r="L567" s="27"/>
      <c r="M567" s="27"/>
      <c r="N567" s="27"/>
      <c r="O567" s="27"/>
      <c r="P567" s="27"/>
      <c r="Q567" s="27"/>
      <c r="R567" s="27"/>
      <c r="S567" s="27"/>
      <c r="T567" s="27">
        <f>IF(LEFT(Control_Achizitii!$E567,4)="Fact",1,0)</f>
        <v>0</v>
      </c>
      <c r="U567" s="27">
        <f>IF(Control_Achizitii!$C567="",0,IF(ISNUMBER(Control_Achizitii!$B567),0,1))</f>
        <v>0</v>
      </c>
      <c r="V567" s="27">
        <f>IF(Control_Achizitii!$C567="",0,IF($Z$2&lt;&gt;"OK",0,IF(AND(ISNUMBER(Control_Achizitii!$B567),Control_Achizitii!$B567&gt;=$E$5,Control_Achizitii!$B567&lt;$J$5+1,OR($O$5="Toate proiectele",Control_Achizitii!$Q567=$O$5)),1,0)))</f>
        <v>0</v>
      </c>
      <c r="W567" s="27">
        <f>IF(AND(V567=1,OR(Control_Achizitii!$J567&lt;&gt;"DOSAR COMPLET",Control_Achizitii!$K567&lt;&gt;"")),ROW(),1000000000)</f>
        <v>1000000000</v>
      </c>
      <c r="X567" s="27">
        <f>IF(AND(V567=1,LEFT(Control_Achizitii!$E567,4)="Fact",NOT(ISNUMBER(Control_Achizitii!$P567))),1,0)</f>
        <v>0</v>
      </c>
      <c r="Y567" s="27">
        <f>IF(V567=0,0,IF(Control_Achizitii!$J567="DOSAR COMPLET",1,IF(LEFT(Control_Achizitii!$J567,9)="INCOMPLET",2,3)))</f>
        <v>0</v>
      </c>
      <c r="Z567" s="27"/>
      <c r="AA567" s="27"/>
      <c r="AB567" s="27"/>
      <c r="AC567" s="27"/>
      <c r="AD567" s="27"/>
      <c r="AE567" s="27"/>
      <c r="AF567" s="27"/>
      <c r="AG567" s="27"/>
      <c r="AH567" s="27">
        <f>IF(AND(V567=1,Control_Achizitii!$J567="DOSAR COMPLET",Control_Achizitii!$K567&lt;&gt;""),1,0)</f>
        <v>0</v>
      </c>
    </row>
    <row r="568" spans="1:34">
      <c r="A568" s="27"/>
      <c r="B568" s="27"/>
      <c r="C568" s="27"/>
      <c r="D568" s="27"/>
      <c r="E568" s="27"/>
      <c r="F568" s="27"/>
      <c r="G568" s="27"/>
      <c r="H568" s="27"/>
      <c r="I568" s="27"/>
      <c r="J568" s="27"/>
      <c r="K568" s="27"/>
      <c r="L568" s="27"/>
      <c r="M568" s="27"/>
      <c r="N568" s="27"/>
      <c r="O568" s="27"/>
      <c r="P568" s="27"/>
      <c r="Q568" s="27"/>
      <c r="R568" s="27"/>
      <c r="S568" s="27"/>
      <c r="T568" s="27">
        <f>IF(LEFT(Control_Achizitii!$E568,4)="Fact",1,0)</f>
        <v>0</v>
      </c>
      <c r="U568" s="27">
        <f>IF(Control_Achizitii!$C568="",0,IF(ISNUMBER(Control_Achizitii!$B568),0,1))</f>
        <v>0</v>
      </c>
      <c r="V568" s="27">
        <f>IF(Control_Achizitii!$C568="",0,IF($Z$2&lt;&gt;"OK",0,IF(AND(ISNUMBER(Control_Achizitii!$B568),Control_Achizitii!$B568&gt;=$E$5,Control_Achizitii!$B568&lt;$J$5+1,OR($O$5="Toate proiectele",Control_Achizitii!$Q568=$O$5)),1,0)))</f>
        <v>0</v>
      </c>
      <c r="W568" s="27">
        <f>IF(AND(V568=1,OR(Control_Achizitii!$J568&lt;&gt;"DOSAR COMPLET",Control_Achizitii!$K568&lt;&gt;"")),ROW(),1000000000)</f>
        <v>1000000000</v>
      </c>
      <c r="X568" s="27">
        <f>IF(AND(V568=1,LEFT(Control_Achizitii!$E568,4)="Fact",NOT(ISNUMBER(Control_Achizitii!$P568))),1,0)</f>
        <v>0</v>
      </c>
      <c r="Y568" s="27">
        <f>IF(V568=0,0,IF(Control_Achizitii!$J568="DOSAR COMPLET",1,IF(LEFT(Control_Achizitii!$J568,9)="INCOMPLET",2,3)))</f>
        <v>0</v>
      </c>
      <c r="Z568" s="27"/>
      <c r="AA568" s="27"/>
      <c r="AB568" s="27"/>
      <c r="AC568" s="27"/>
      <c r="AD568" s="27"/>
      <c r="AE568" s="27"/>
      <c r="AF568" s="27"/>
      <c r="AG568" s="27"/>
      <c r="AH568" s="27">
        <f>IF(AND(V568=1,Control_Achizitii!$J568="DOSAR COMPLET",Control_Achizitii!$K568&lt;&gt;""),1,0)</f>
        <v>0</v>
      </c>
    </row>
    <row r="569" spans="1:34">
      <c r="A569" s="27"/>
      <c r="B569" s="27"/>
      <c r="C569" s="27"/>
      <c r="D569" s="27"/>
      <c r="E569" s="27"/>
      <c r="F569" s="27"/>
      <c r="G569" s="27"/>
      <c r="H569" s="27"/>
      <c r="I569" s="27"/>
      <c r="J569" s="27"/>
      <c r="K569" s="27"/>
      <c r="L569" s="27"/>
      <c r="M569" s="27"/>
      <c r="N569" s="27"/>
      <c r="O569" s="27"/>
      <c r="P569" s="27"/>
      <c r="Q569" s="27"/>
      <c r="R569" s="27"/>
      <c r="S569" s="27"/>
      <c r="T569" s="27">
        <f>IF(LEFT(Control_Achizitii!$E569,4)="Fact",1,0)</f>
        <v>0</v>
      </c>
      <c r="U569" s="27">
        <f>IF(Control_Achizitii!$C569="",0,IF(ISNUMBER(Control_Achizitii!$B569),0,1))</f>
        <v>0</v>
      </c>
      <c r="V569" s="27">
        <f>IF(Control_Achizitii!$C569="",0,IF($Z$2&lt;&gt;"OK",0,IF(AND(ISNUMBER(Control_Achizitii!$B569),Control_Achizitii!$B569&gt;=$E$5,Control_Achizitii!$B569&lt;$J$5+1,OR($O$5="Toate proiectele",Control_Achizitii!$Q569=$O$5)),1,0)))</f>
        <v>0</v>
      </c>
      <c r="W569" s="27">
        <f>IF(AND(V569=1,OR(Control_Achizitii!$J569&lt;&gt;"DOSAR COMPLET",Control_Achizitii!$K569&lt;&gt;"")),ROW(),1000000000)</f>
        <v>1000000000</v>
      </c>
      <c r="X569" s="27">
        <f>IF(AND(V569=1,LEFT(Control_Achizitii!$E569,4)="Fact",NOT(ISNUMBER(Control_Achizitii!$P569))),1,0)</f>
        <v>0</v>
      </c>
      <c r="Y569" s="27">
        <f>IF(V569=0,0,IF(Control_Achizitii!$J569="DOSAR COMPLET",1,IF(LEFT(Control_Achizitii!$J569,9)="INCOMPLET",2,3)))</f>
        <v>0</v>
      </c>
      <c r="Z569" s="27"/>
      <c r="AA569" s="27"/>
      <c r="AB569" s="27"/>
      <c r="AC569" s="27"/>
      <c r="AD569" s="27"/>
      <c r="AE569" s="27"/>
      <c r="AF569" s="27"/>
      <c r="AG569" s="27"/>
      <c r="AH569" s="27">
        <f>IF(AND(V569=1,Control_Achizitii!$J569="DOSAR COMPLET",Control_Achizitii!$K569&lt;&gt;""),1,0)</f>
        <v>0</v>
      </c>
    </row>
    <row r="570" spans="1:34">
      <c r="A570" s="27"/>
      <c r="B570" s="27"/>
      <c r="C570" s="27"/>
      <c r="D570" s="27"/>
      <c r="E570" s="27"/>
      <c r="F570" s="27"/>
      <c r="G570" s="27"/>
      <c r="H570" s="27"/>
      <c r="I570" s="27"/>
      <c r="J570" s="27"/>
      <c r="K570" s="27"/>
      <c r="L570" s="27"/>
      <c r="M570" s="27"/>
      <c r="N570" s="27"/>
      <c r="O570" s="27"/>
      <c r="P570" s="27"/>
      <c r="Q570" s="27"/>
      <c r="R570" s="27"/>
      <c r="S570" s="27"/>
      <c r="T570" s="27">
        <f>IF(LEFT(Control_Achizitii!$E570,4)="Fact",1,0)</f>
        <v>0</v>
      </c>
      <c r="U570" s="27">
        <f>IF(Control_Achizitii!$C570="",0,IF(ISNUMBER(Control_Achizitii!$B570),0,1))</f>
        <v>0</v>
      </c>
      <c r="V570" s="27">
        <f>IF(Control_Achizitii!$C570="",0,IF($Z$2&lt;&gt;"OK",0,IF(AND(ISNUMBER(Control_Achizitii!$B570),Control_Achizitii!$B570&gt;=$E$5,Control_Achizitii!$B570&lt;$J$5+1,OR($O$5="Toate proiectele",Control_Achizitii!$Q570=$O$5)),1,0)))</f>
        <v>0</v>
      </c>
      <c r="W570" s="27">
        <f>IF(AND(V570=1,OR(Control_Achizitii!$J570&lt;&gt;"DOSAR COMPLET",Control_Achizitii!$K570&lt;&gt;"")),ROW(),1000000000)</f>
        <v>1000000000</v>
      </c>
      <c r="X570" s="27">
        <f>IF(AND(V570=1,LEFT(Control_Achizitii!$E570,4)="Fact",NOT(ISNUMBER(Control_Achizitii!$P570))),1,0)</f>
        <v>0</v>
      </c>
      <c r="Y570" s="27">
        <f>IF(V570=0,0,IF(Control_Achizitii!$J570="DOSAR COMPLET",1,IF(LEFT(Control_Achizitii!$J570,9)="INCOMPLET",2,3)))</f>
        <v>0</v>
      </c>
      <c r="Z570" s="27"/>
      <c r="AA570" s="27"/>
      <c r="AB570" s="27"/>
      <c r="AC570" s="27"/>
      <c r="AD570" s="27"/>
      <c r="AE570" s="27"/>
      <c r="AF570" s="27"/>
      <c r="AG570" s="27"/>
      <c r="AH570" s="27">
        <f>IF(AND(V570=1,Control_Achizitii!$J570="DOSAR COMPLET",Control_Achizitii!$K570&lt;&gt;""),1,0)</f>
        <v>0</v>
      </c>
    </row>
    <row r="571" spans="1:34">
      <c r="A571" s="27"/>
      <c r="B571" s="27"/>
      <c r="C571" s="27"/>
      <c r="D571" s="27"/>
      <c r="E571" s="27"/>
      <c r="F571" s="27"/>
      <c r="G571" s="27"/>
      <c r="H571" s="27"/>
      <c r="I571" s="27"/>
      <c r="J571" s="27"/>
      <c r="K571" s="27"/>
      <c r="L571" s="27"/>
      <c r="M571" s="27"/>
      <c r="N571" s="27"/>
      <c r="O571" s="27"/>
      <c r="P571" s="27"/>
      <c r="Q571" s="27"/>
      <c r="R571" s="27"/>
      <c r="S571" s="27"/>
      <c r="T571" s="27">
        <f>IF(LEFT(Control_Achizitii!$E571,4)="Fact",1,0)</f>
        <v>0</v>
      </c>
      <c r="U571" s="27">
        <f>IF(Control_Achizitii!$C571="",0,IF(ISNUMBER(Control_Achizitii!$B571),0,1))</f>
        <v>0</v>
      </c>
      <c r="V571" s="27">
        <f>IF(Control_Achizitii!$C571="",0,IF($Z$2&lt;&gt;"OK",0,IF(AND(ISNUMBER(Control_Achizitii!$B571),Control_Achizitii!$B571&gt;=$E$5,Control_Achizitii!$B571&lt;$J$5+1,OR($O$5="Toate proiectele",Control_Achizitii!$Q571=$O$5)),1,0)))</f>
        <v>0</v>
      </c>
      <c r="W571" s="27">
        <f>IF(AND(V571=1,OR(Control_Achizitii!$J571&lt;&gt;"DOSAR COMPLET",Control_Achizitii!$K571&lt;&gt;"")),ROW(),1000000000)</f>
        <v>1000000000</v>
      </c>
      <c r="X571" s="27">
        <f>IF(AND(V571=1,LEFT(Control_Achizitii!$E571,4)="Fact",NOT(ISNUMBER(Control_Achizitii!$P571))),1,0)</f>
        <v>0</v>
      </c>
      <c r="Y571" s="27">
        <f>IF(V571=0,0,IF(Control_Achizitii!$J571="DOSAR COMPLET",1,IF(LEFT(Control_Achizitii!$J571,9)="INCOMPLET",2,3)))</f>
        <v>0</v>
      </c>
      <c r="Z571" s="27"/>
      <c r="AA571" s="27"/>
      <c r="AB571" s="27"/>
      <c r="AC571" s="27"/>
      <c r="AD571" s="27"/>
      <c r="AE571" s="27"/>
      <c r="AF571" s="27"/>
      <c r="AG571" s="27"/>
      <c r="AH571" s="27">
        <f>IF(AND(V571=1,Control_Achizitii!$J571="DOSAR COMPLET",Control_Achizitii!$K571&lt;&gt;""),1,0)</f>
        <v>0</v>
      </c>
    </row>
    <row r="572" spans="1:34">
      <c r="A572" s="27"/>
      <c r="B572" s="27"/>
      <c r="C572" s="27"/>
      <c r="D572" s="27"/>
      <c r="E572" s="27"/>
      <c r="F572" s="27"/>
      <c r="G572" s="27"/>
      <c r="H572" s="27"/>
      <c r="I572" s="27"/>
      <c r="J572" s="27"/>
      <c r="K572" s="27"/>
      <c r="L572" s="27"/>
      <c r="M572" s="27"/>
      <c r="N572" s="27"/>
      <c r="O572" s="27"/>
      <c r="P572" s="27"/>
      <c r="Q572" s="27"/>
      <c r="R572" s="27"/>
      <c r="S572" s="27"/>
      <c r="T572" s="27">
        <f>IF(LEFT(Control_Achizitii!$E572,4)="Fact",1,0)</f>
        <v>0</v>
      </c>
      <c r="U572" s="27">
        <f>IF(Control_Achizitii!$C572="",0,IF(ISNUMBER(Control_Achizitii!$B572),0,1))</f>
        <v>0</v>
      </c>
      <c r="V572" s="27">
        <f>IF(Control_Achizitii!$C572="",0,IF($Z$2&lt;&gt;"OK",0,IF(AND(ISNUMBER(Control_Achizitii!$B572),Control_Achizitii!$B572&gt;=$E$5,Control_Achizitii!$B572&lt;$J$5+1,OR($O$5="Toate proiectele",Control_Achizitii!$Q572=$O$5)),1,0)))</f>
        <v>0</v>
      </c>
      <c r="W572" s="27">
        <f>IF(AND(V572=1,OR(Control_Achizitii!$J572&lt;&gt;"DOSAR COMPLET",Control_Achizitii!$K572&lt;&gt;"")),ROW(),1000000000)</f>
        <v>1000000000</v>
      </c>
      <c r="X572" s="27">
        <f>IF(AND(V572=1,LEFT(Control_Achizitii!$E572,4)="Fact",NOT(ISNUMBER(Control_Achizitii!$P572))),1,0)</f>
        <v>0</v>
      </c>
      <c r="Y572" s="27">
        <f>IF(V572=0,0,IF(Control_Achizitii!$J572="DOSAR COMPLET",1,IF(LEFT(Control_Achizitii!$J572,9)="INCOMPLET",2,3)))</f>
        <v>0</v>
      </c>
      <c r="Z572" s="27"/>
      <c r="AA572" s="27"/>
      <c r="AB572" s="27"/>
      <c r="AC572" s="27"/>
      <c r="AD572" s="27"/>
      <c r="AE572" s="27"/>
      <c r="AF572" s="27"/>
      <c r="AG572" s="27"/>
      <c r="AH572" s="27">
        <f>IF(AND(V572=1,Control_Achizitii!$J572="DOSAR COMPLET",Control_Achizitii!$K572&lt;&gt;""),1,0)</f>
        <v>0</v>
      </c>
    </row>
    <row r="573" spans="1:34">
      <c r="A573" s="27"/>
      <c r="B573" s="27"/>
      <c r="C573" s="27"/>
      <c r="D573" s="27"/>
      <c r="E573" s="27"/>
      <c r="F573" s="27"/>
      <c r="G573" s="27"/>
      <c r="H573" s="27"/>
      <c r="I573" s="27"/>
      <c r="J573" s="27"/>
      <c r="K573" s="27"/>
      <c r="L573" s="27"/>
      <c r="M573" s="27"/>
      <c r="N573" s="27"/>
      <c r="O573" s="27"/>
      <c r="P573" s="27"/>
      <c r="Q573" s="27"/>
      <c r="R573" s="27"/>
      <c r="S573" s="27"/>
      <c r="T573" s="27">
        <f>IF(LEFT(Control_Achizitii!$E573,4)="Fact",1,0)</f>
        <v>0</v>
      </c>
      <c r="U573" s="27">
        <f>IF(Control_Achizitii!$C573="",0,IF(ISNUMBER(Control_Achizitii!$B573),0,1))</f>
        <v>0</v>
      </c>
      <c r="V573" s="27">
        <f>IF(Control_Achizitii!$C573="",0,IF($Z$2&lt;&gt;"OK",0,IF(AND(ISNUMBER(Control_Achizitii!$B573),Control_Achizitii!$B573&gt;=$E$5,Control_Achizitii!$B573&lt;$J$5+1,OR($O$5="Toate proiectele",Control_Achizitii!$Q573=$O$5)),1,0)))</f>
        <v>0</v>
      </c>
      <c r="W573" s="27">
        <f>IF(AND(V573=1,OR(Control_Achizitii!$J573&lt;&gt;"DOSAR COMPLET",Control_Achizitii!$K573&lt;&gt;"")),ROW(),1000000000)</f>
        <v>1000000000</v>
      </c>
      <c r="X573" s="27">
        <f>IF(AND(V573=1,LEFT(Control_Achizitii!$E573,4)="Fact",NOT(ISNUMBER(Control_Achizitii!$P573))),1,0)</f>
        <v>0</v>
      </c>
      <c r="Y573" s="27">
        <f>IF(V573=0,0,IF(Control_Achizitii!$J573="DOSAR COMPLET",1,IF(LEFT(Control_Achizitii!$J573,9)="INCOMPLET",2,3)))</f>
        <v>0</v>
      </c>
      <c r="Z573" s="27"/>
      <c r="AA573" s="27"/>
      <c r="AB573" s="27"/>
      <c r="AC573" s="27"/>
      <c r="AD573" s="27"/>
      <c r="AE573" s="27"/>
      <c r="AF573" s="27"/>
      <c r="AG573" s="27"/>
      <c r="AH573" s="27">
        <f>IF(AND(V573=1,Control_Achizitii!$J573="DOSAR COMPLET",Control_Achizitii!$K573&lt;&gt;""),1,0)</f>
        <v>0</v>
      </c>
    </row>
    <row r="574" spans="1:34">
      <c r="A574" s="27"/>
      <c r="B574" s="27"/>
      <c r="C574" s="27"/>
      <c r="D574" s="27"/>
      <c r="E574" s="27"/>
      <c r="F574" s="27"/>
      <c r="G574" s="27"/>
      <c r="H574" s="27"/>
      <c r="I574" s="27"/>
      <c r="J574" s="27"/>
      <c r="K574" s="27"/>
      <c r="L574" s="27"/>
      <c r="M574" s="27"/>
      <c r="N574" s="27"/>
      <c r="O574" s="27"/>
      <c r="P574" s="27"/>
      <c r="Q574" s="27"/>
      <c r="R574" s="27"/>
      <c r="S574" s="27"/>
      <c r="T574" s="27">
        <f>IF(LEFT(Control_Achizitii!$E574,4)="Fact",1,0)</f>
        <v>0</v>
      </c>
      <c r="U574" s="27">
        <f>IF(Control_Achizitii!$C574="",0,IF(ISNUMBER(Control_Achizitii!$B574),0,1))</f>
        <v>0</v>
      </c>
      <c r="V574" s="27">
        <f>IF(Control_Achizitii!$C574="",0,IF($Z$2&lt;&gt;"OK",0,IF(AND(ISNUMBER(Control_Achizitii!$B574),Control_Achizitii!$B574&gt;=$E$5,Control_Achizitii!$B574&lt;$J$5+1,OR($O$5="Toate proiectele",Control_Achizitii!$Q574=$O$5)),1,0)))</f>
        <v>0</v>
      </c>
      <c r="W574" s="27">
        <f>IF(AND(V574=1,OR(Control_Achizitii!$J574&lt;&gt;"DOSAR COMPLET",Control_Achizitii!$K574&lt;&gt;"")),ROW(),1000000000)</f>
        <v>1000000000</v>
      </c>
      <c r="X574" s="27">
        <f>IF(AND(V574=1,LEFT(Control_Achizitii!$E574,4)="Fact",NOT(ISNUMBER(Control_Achizitii!$P574))),1,0)</f>
        <v>0</v>
      </c>
      <c r="Y574" s="27">
        <f>IF(V574=0,0,IF(Control_Achizitii!$J574="DOSAR COMPLET",1,IF(LEFT(Control_Achizitii!$J574,9)="INCOMPLET",2,3)))</f>
        <v>0</v>
      </c>
      <c r="Z574" s="27"/>
      <c r="AA574" s="27"/>
      <c r="AB574" s="27"/>
      <c r="AC574" s="27"/>
      <c r="AD574" s="27"/>
      <c r="AE574" s="27"/>
      <c r="AF574" s="27"/>
      <c r="AG574" s="27"/>
      <c r="AH574" s="27">
        <f>IF(AND(V574=1,Control_Achizitii!$J574="DOSAR COMPLET",Control_Achizitii!$K574&lt;&gt;""),1,0)</f>
        <v>0</v>
      </c>
    </row>
    <row r="575" spans="1:34">
      <c r="A575" s="27"/>
      <c r="B575" s="27"/>
      <c r="C575" s="27"/>
      <c r="D575" s="27"/>
      <c r="E575" s="27"/>
      <c r="F575" s="27"/>
      <c r="G575" s="27"/>
      <c r="H575" s="27"/>
      <c r="I575" s="27"/>
      <c r="J575" s="27"/>
      <c r="K575" s="27"/>
      <c r="L575" s="27"/>
      <c r="M575" s="27"/>
      <c r="N575" s="27"/>
      <c r="O575" s="27"/>
      <c r="P575" s="27"/>
      <c r="Q575" s="27"/>
      <c r="R575" s="27"/>
      <c r="S575" s="27"/>
      <c r="T575" s="27">
        <f>IF(LEFT(Control_Achizitii!$E575,4)="Fact",1,0)</f>
        <v>0</v>
      </c>
      <c r="U575" s="27">
        <f>IF(Control_Achizitii!$C575="",0,IF(ISNUMBER(Control_Achizitii!$B575),0,1))</f>
        <v>0</v>
      </c>
      <c r="V575" s="27">
        <f>IF(Control_Achizitii!$C575="",0,IF($Z$2&lt;&gt;"OK",0,IF(AND(ISNUMBER(Control_Achizitii!$B575),Control_Achizitii!$B575&gt;=$E$5,Control_Achizitii!$B575&lt;$J$5+1,OR($O$5="Toate proiectele",Control_Achizitii!$Q575=$O$5)),1,0)))</f>
        <v>0</v>
      </c>
      <c r="W575" s="27">
        <f>IF(AND(V575=1,OR(Control_Achizitii!$J575&lt;&gt;"DOSAR COMPLET",Control_Achizitii!$K575&lt;&gt;"")),ROW(),1000000000)</f>
        <v>1000000000</v>
      </c>
      <c r="X575" s="27">
        <f>IF(AND(V575=1,LEFT(Control_Achizitii!$E575,4)="Fact",NOT(ISNUMBER(Control_Achizitii!$P575))),1,0)</f>
        <v>0</v>
      </c>
      <c r="Y575" s="27">
        <f>IF(V575=0,0,IF(Control_Achizitii!$J575="DOSAR COMPLET",1,IF(LEFT(Control_Achizitii!$J575,9)="INCOMPLET",2,3)))</f>
        <v>0</v>
      </c>
      <c r="Z575" s="27"/>
      <c r="AA575" s="27"/>
      <c r="AB575" s="27"/>
      <c r="AC575" s="27"/>
      <c r="AD575" s="27"/>
      <c r="AE575" s="27"/>
      <c r="AF575" s="27"/>
      <c r="AG575" s="27"/>
      <c r="AH575" s="27">
        <f>IF(AND(V575=1,Control_Achizitii!$J575="DOSAR COMPLET",Control_Achizitii!$K575&lt;&gt;""),1,0)</f>
        <v>0</v>
      </c>
    </row>
    <row r="576" spans="1:34">
      <c r="A576" s="27"/>
      <c r="B576" s="27"/>
      <c r="C576" s="27"/>
      <c r="D576" s="27"/>
      <c r="E576" s="27"/>
      <c r="F576" s="27"/>
      <c r="G576" s="27"/>
      <c r="H576" s="27"/>
      <c r="I576" s="27"/>
      <c r="J576" s="27"/>
      <c r="K576" s="27"/>
      <c r="L576" s="27"/>
      <c r="M576" s="27"/>
      <c r="N576" s="27"/>
      <c r="O576" s="27"/>
      <c r="P576" s="27"/>
      <c r="Q576" s="27"/>
      <c r="R576" s="27"/>
      <c r="S576" s="27"/>
      <c r="T576" s="27">
        <f>IF(LEFT(Control_Achizitii!$E576,4)="Fact",1,0)</f>
        <v>0</v>
      </c>
      <c r="U576" s="27">
        <f>IF(Control_Achizitii!$C576="",0,IF(ISNUMBER(Control_Achizitii!$B576),0,1))</f>
        <v>0</v>
      </c>
      <c r="V576" s="27">
        <f>IF(Control_Achizitii!$C576="",0,IF($Z$2&lt;&gt;"OK",0,IF(AND(ISNUMBER(Control_Achizitii!$B576),Control_Achizitii!$B576&gt;=$E$5,Control_Achizitii!$B576&lt;$J$5+1,OR($O$5="Toate proiectele",Control_Achizitii!$Q576=$O$5)),1,0)))</f>
        <v>0</v>
      </c>
      <c r="W576" s="27">
        <f>IF(AND(V576=1,OR(Control_Achizitii!$J576&lt;&gt;"DOSAR COMPLET",Control_Achizitii!$K576&lt;&gt;"")),ROW(),1000000000)</f>
        <v>1000000000</v>
      </c>
      <c r="X576" s="27">
        <f>IF(AND(V576=1,LEFT(Control_Achizitii!$E576,4)="Fact",NOT(ISNUMBER(Control_Achizitii!$P576))),1,0)</f>
        <v>0</v>
      </c>
      <c r="Y576" s="27">
        <f>IF(V576=0,0,IF(Control_Achizitii!$J576="DOSAR COMPLET",1,IF(LEFT(Control_Achizitii!$J576,9)="INCOMPLET",2,3)))</f>
        <v>0</v>
      </c>
      <c r="Z576" s="27"/>
      <c r="AA576" s="27"/>
      <c r="AB576" s="27"/>
      <c r="AC576" s="27"/>
      <c r="AD576" s="27"/>
      <c r="AE576" s="27"/>
      <c r="AF576" s="27"/>
      <c r="AG576" s="27"/>
      <c r="AH576" s="27">
        <f>IF(AND(V576=1,Control_Achizitii!$J576="DOSAR COMPLET",Control_Achizitii!$K576&lt;&gt;""),1,0)</f>
        <v>0</v>
      </c>
    </row>
    <row r="577" spans="1:34">
      <c r="A577" s="27"/>
      <c r="B577" s="27"/>
      <c r="C577" s="27"/>
      <c r="D577" s="27"/>
      <c r="E577" s="27"/>
      <c r="F577" s="27"/>
      <c r="G577" s="27"/>
      <c r="H577" s="27"/>
      <c r="I577" s="27"/>
      <c r="J577" s="27"/>
      <c r="K577" s="27"/>
      <c r="L577" s="27"/>
      <c r="M577" s="27"/>
      <c r="N577" s="27"/>
      <c r="O577" s="27"/>
      <c r="P577" s="27"/>
      <c r="Q577" s="27"/>
      <c r="R577" s="27"/>
      <c r="S577" s="27"/>
      <c r="T577" s="27">
        <f>IF(LEFT(Control_Achizitii!$E577,4)="Fact",1,0)</f>
        <v>0</v>
      </c>
      <c r="U577" s="27">
        <f>IF(Control_Achizitii!$C577="",0,IF(ISNUMBER(Control_Achizitii!$B577),0,1))</f>
        <v>0</v>
      </c>
      <c r="V577" s="27">
        <f>IF(Control_Achizitii!$C577="",0,IF($Z$2&lt;&gt;"OK",0,IF(AND(ISNUMBER(Control_Achizitii!$B577),Control_Achizitii!$B577&gt;=$E$5,Control_Achizitii!$B577&lt;$J$5+1,OR($O$5="Toate proiectele",Control_Achizitii!$Q577=$O$5)),1,0)))</f>
        <v>0</v>
      </c>
      <c r="W577" s="27">
        <f>IF(AND(V577=1,OR(Control_Achizitii!$J577&lt;&gt;"DOSAR COMPLET",Control_Achizitii!$K577&lt;&gt;"")),ROW(),1000000000)</f>
        <v>1000000000</v>
      </c>
      <c r="X577" s="27">
        <f>IF(AND(V577=1,LEFT(Control_Achizitii!$E577,4)="Fact",NOT(ISNUMBER(Control_Achizitii!$P577))),1,0)</f>
        <v>0</v>
      </c>
      <c r="Y577" s="27">
        <f>IF(V577=0,0,IF(Control_Achizitii!$J577="DOSAR COMPLET",1,IF(LEFT(Control_Achizitii!$J577,9)="INCOMPLET",2,3)))</f>
        <v>0</v>
      </c>
      <c r="Z577" s="27"/>
      <c r="AA577" s="27"/>
      <c r="AB577" s="27"/>
      <c r="AC577" s="27"/>
      <c r="AD577" s="27"/>
      <c r="AE577" s="27"/>
      <c r="AF577" s="27"/>
      <c r="AG577" s="27"/>
      <c r="AH577" s="27">
        <f>IF(AND(V577=1,Control_Achizitii!$J577="DOSAR COMPLET",Control_Achizitii!$K577&lt;&gt;""),1,0)</f>
        <v>0</v>
      </c>
    </row>
    <row r="578" spans="1:34">
      <c r="A578" s="27"/>
      <c r="B578" s="27"/>
      <c r="C578" s="27"/>
      <c r="D578" s="27"/>
      <c r="E578" s="27"/>
      <c r="F578" s="27"/>
      <c r="G578" s="27"/>
      <c r="H578" s="27"/>
      <c r="I578" s="27"/>
      <c r="J578" s="27"/>
      <c r="K578" s="27"/>
      <c r="L578" s="27"/>
      <c r="M578" s="27"/>
      <c r="N578" s="27"/>
      <c r="O578" s="27"/>
      <c r="P578" s="27"/>
      <c r="Q578" s="27"/>
      <c r="R578" s="27"/>
      <c r="S578" s="27"/>
      <c r="T578" s="27">
        <f>IF(LEFT(Control_Achizitii!$E578,4)="Fact",1,0)</f>
        <v>0</v>
      </c>
      <c r="U578" s="27">
        <f>IF(Control_Achizitii!$C578="",0,IF(ISNUMBER(Control_Achizitii!$B578),0,1))</f>
        <v>0</v>
      </c>
      <c r="V578" s="27">
        <f>IF(Control_Achizitii!$C578="",0,IF($Z$2&lt;&gt;"OK",0,IF(AND(ISNUMBER(Control_Achizitii!$B578),Control_Achizitii!$B578&gt;=$E$5,Control_Achizitii!$B578&lt;$J$5+1,OR($O$5="Toate proiectele",Control_Achizitii!$Q578=$O$5)),1,0)))</f>
        <v>0</v>
      </c>
      <c r="W578" s="27">
        <f>IF(AND(V578=1,OR(Control_Achizitii!$J578&lt;&gt;"DOSAR COMPLET",Control_Achizitii!$K578&lt;&gt;"")),ROW(),1000000000)</f>
        <v>1000000000</v>
      </c>
      <c r="X578" s="27">
        <f>IF(AND(V578=1,LEFT(Control_Achizitii!$E578,4)="Fact",NOT(ISNUMBER(Control_Achizitii!$P578))),1,0)</f>
        <v>0</v>
      </c>
      <c r="Y578" s="27">
        <f>IF(V578=0,0,IF(Control_Achizitii!$J578="DOSAR COMPLET",1,IF(LEFT(Control_Achizitii!$J578,9)="INCOMPLET",2,3)))</f>
        <v>0</v>
      </c>
      <c r="Z578" s="27"/>
      <c r="AA578" s="27"/>
      <c r="AB578" s="27"/>
      <c r="AC578" s="27"/>
      <c r="AD578" s="27"/>
      <c r="AE578" s="27"/>
      <c r="AF578" s="27"/>
      <c r="AG578" s="27"/>
      <c r="AH578" s="27">
        <f>IF(AND(V578=1,Control_Achizitii!$J578="DOSAR COMPLET",Control_Achizitii!$K578&lt;&gt;""),1,0)</f>
        <v>0</v>
      </c>
    </row>
    <row r="579" spans="1:34">
      <c r="A579" s="27"/>
      <c r="B579" s="27"/>
      <c r="C579" s="27"/>
      <c r="D579" s="27"/>
      <c r="E579" s="27"/>
      <c r="F579" s="27"/>
      <c r="G579" s="27"/>
      <c r="H579" s="27"/>
      <c r="I579" s="27"/>
      <c r="J579" s="27"/>
      <c r="K579" s="27"/>
      <c r="L579" s="27"/>
      <c r="M579" s="27"/>
      <c r="N579" s="27"/>
      <c r="O579" s="27"/>
      <c r="P579" s="27"/>
      <c r="Q579" s="27"/>
      <c r="R579" s="27"/>
      <c r="S579" s="27"/>
      <c r="T579" s="27">
        <f>IF(LEFT(Control_Achizitii!$E579,4)="Fact",1,0)</f>
        <v>0</v>
      </c>
      <c r="U579" s="27">
        <f>IF(Control_Achizitii!$C579="",0,IF(ISNUMBER(Control_Achizitii!$B579),0,1))</f>
        <v>0</v>
      </c>
      <c r="V579" s="27">
        <f>IF(Control_Achizitii!$C579="",0,IF($Z$2&lt;&gt;"OK",0,IF(AND(ISNUMBER(Control_Achizitii!$B579),Control_Achizitii!$B579&gt;=$E$5,Control_Achizitii!$B579&lt;$J$5+1,OR($O$5="Toate proiectele",Control_Achizitii!$Q579=$O$5)),1,0)))</f>
        <v>0</v>
      </c>
      <c r="W579" s="27">
        <f>IF(AND(V579=1,OR(Control_Achizitii!$J579&lt;&gt;"DOSAR COMPLET",Control_Achizitii!$K579&lt;&gt;"")),ROW(),1000000000)</f>
        <v>1000000000</v>
      </c>
      <c r="X579" s="27">
        <f>IF(AND(V579=1,LEFT(Control_Achizitii!$E579,4)="Fact",NOT(ISNUMBER(Control_Achizitii!$P579))),1,0)</f>
        <v>0</v>
      </c>
      <c r="Y579" s="27">
        <f>IF(V579=0,0,IF(Control_Achizitii!$J579="DOSAR COMPLET",1,IF(LEFT(Control_Achizitii!$J579,9)="INCOMPLET",2,3)))</f>
        <v>0</v>
      </c>
      <c r="Z579" s="27"/>
      <c r="AA579" s="27"/>
      <c r="AB579" s="27"/>
      <c r="AC579" s="27"/>
      <c r="AD579" s="27"/>
      <c r="AE579" s="27"/>
      <c r="AF579" s="27"/>
      <c r="AG579" s="27"/>
      <c r="AH579" s="27">
        <f>IF(AND(V579=1,Control_Achizitii!$J579="DOSAR COMPLET",Control_Achizitii!$K579&lt;&gt;""),1,0)</f>
        <v>0</v>
      </c>
    </row>
    <row r="580" spans="1:34">
      <c r="A580" s="27"/>
      <c r="B580" s="27"/>
      <c r="C580" s="27"/>
      <c r="D580" s="27"/>
      <c r="E580" s="27"/>
      <c r="F580" s="27"/>
      <c r="G580" s="27"/>
      <c r="H580" s="27"/>
      <c r="I580" s="27"/>
      <c r="J580" s="27"/>
      <c r="K580" s="27"/>
      <c r="L580" s="27"/>
      <c r="M580" s="27"/>
      <c r="N580" s="27"/>
      <c r="O580" s="27"/>
      <c r="P580" s="27"/>
      <c r="Q580" s="27"/>
      <c r="R580" s="27"/>
      <c r="S580" s="27"/>
      <c r="T580" s="27">
        <f>IF(LEFT(Control_Achizitii!$E580,4)="Fact",1,0)</f>
        <v>0</v>
      </c>
      <c r="U580" s="27">
        <f>IF(Control_Achizitii!$C580="",0,IF(ISNUMBER(Control_Achizitii!$B580),0,1))</f>
        <v>0</v>
      </c>
      <c r="V580" s="27">
        <f>IF(Control_Achizitii!$C580="",0,IF($Z$2&lt;&gt;"OK",0,IF(AND(ISNUMBER(Control_Achizitii!$B580),Control_Achizitii!$B580&gt;=$E$5,Control_Achizitii!$B580&lt;$J$5+1,OR($O$5="Toate proiectele",Control_Achizitii!$Q580=$O$5)),1,0)))</f>
        <v>0</v>
      </c>
      <c r="W580" s="27">
        <f>IF(AND(V580=1,OR(Control_Achizitii!$J580&lt;&gt;"DOSAR COMPLET",Control_Achizitii!$K580&lt;&gt;"")),ROW(),1000000000)</f>
        <v>1000000000</v>
      </c>
      <c r="X580" s="27">
        <f>IF(AND(V580=1,LEFT(Control_Achizitii!$E580,4)="Fact",NOT(ISNUMBER(Control_Achizitii!$P580))),1,0)</f>
        <v>0</v>
      </c>
      <c r="Y580" s="27">
        <f>IF(V580=0,0,IF(Control_Achizitii!$J580="DOSAR COMPLET",1,IF(LEFT(Control_Achizitii!$J580,9)="INCOMPLET",2,3)))</f>
        <v>0</v>
      </c>
      <c r="Z580" s="27"/>
      <c r="AA580" s="27"/>
      <c r="AB580" s="27"/>
      <c r="AC580" s="27"/>
      <c r="AD580" s="27"/>
      <c r="AE580" s="27"/>
      <c r="AF580" s="27"/>
      <c r="AG580" s="27"/>
      <c r="AH580" s="27">
        <f>IF(AND(V580=1,Control_Achizitii!$J580="DOSAR COMPLET",Control_Achizitii!$K580&lt;&gt;""),1,0)</f>
        <v>0</v>
      </c>
    </row>
    <row r="581" spans="1:34">
      <c r="A581" s="27"/>
      <c r="B581" s="27"/>
      <c r="C581" s="27"/>
      <c r="D581" s="27"/>
      <c r="E581" s="27"/>
      <c r="F581" s="27"/>
      <c r="G581" s="27"/>
      <c r="H581" s="27"/>
      <c r="I581" s="27"/>
      <c r="J581" s="27"/>
      <c r="K581" s="27"/>
      <c r="L581" s="27"/>
      <c r="M581" s="27"/>
      <c r="N581" s="27"/>
      <c r="O581" s="27"/>
      <c r="P581" s="27"/>
      <c r="Q581" s="27"/>
      <c r="R581" s="27"/>
      <c r="S581" s="27"/>
      <c r="T581" s="27">
        <f>IF(LEFT(Control_Achizitii!$E581,4)="Fact",1,0)</f>
        <v>0</v>
      </c>
      <c r="U581" s="27">
        <f>IF(Control_Achizitii!$C581="",0,IF(ISNUMBER(Control_Achizitii!$B581),0,1))</f>
        <v>0</v>
      </c>
      <c r="V581" s="27">
        <f>IF(Control_Achizitii!$C581="",0,IF($Z$2&lt;&gt;"OK",0,IF(AND(ISNUMBER(Control_Achizitii!$B581),Control_Achizitii!$B581&gt;=$E$5,Control_Achizitii!$B581&lt;$J$5+1,OR($O$5="Toate proiectele",Control_Achizitii!$Q581=$O$5)),1,0)))</f>
        <v>0</v>
      </c>
      <c r="W581" s="27">
        <f>IF(AND(V581=1,OR(Control_Achizitii!$J581&lt;&gt;"DOSAR COMPLET",Control_Achizitii!$K581&lt;&gt;"")),ROW(),1000000000)</f>
        <v>1000000000</v>
      </c>
      <c r="X581" s="27">
        <f>IF(AND(V581=1,LEFT(Control_Achizitii!$E581,4)="Fact",NOT(ISNUMBER(Control_Achizitii!$P581))),1,0)</f>
        <v>0</v>
      </c>
      <c r="Y581" s="27">
        <f>IF(V581=0,0,IF(Control_Achizitii!$J581="DOSAR COMPLET",1,IF(LEFT(Control_Achizitii!$J581,9)="INCOMPLET",2,3)))</f>
        <v>0</v>
      </c>
      <c r="Z581" s="27"/>
      <c r="AA581" s="27"/>
      <c r="AB581" s="27"/>
      <c r="AC581" s="27"/>
      <c r="AD581" s="27"/>
      <c r="AE581" s="27"/>
      <c r="AF581" s="27"/>
      <c r="AG581" s="27"/>
      <c r="AH581" s="27">
        <f>IF(AND(V581=1,Control_Achizitii!$J581="DOSAR COMPLET",Control_Achizitii!$K581&lt;&gt;""),1,0)</f>
        <v>0</v>
      </c>
    </row>
    <row r="582" spans="1:34">
      <c r="A582" s="27"/>
      <c r="B582" s="27"/>
      <c r="C582" s="27"/>
      <c r="D582" s="27"/>
      <c r="E582" s="27"/>
      <c r="F582" s="27"/>
      <c r="G582" s="27"/>
      <c r="H582" s="27"/>
      <c r="I582" s="27"/>
      <c r="J582" s="27"/>
      <c r="K582" s="27"/>
      <c r="L582" s="27"/>
      <c r="M582" s="27"/>
      <c r="N582" s="27"/>
      <c r="O582" s="27"/>
      <c r="P582" s="27"/>
      <c r="Q582" s="27"/>
      <c r="R582" s="27"/>
      <c r="S582" s="27"/>
      <c r="T582" s="27">
        <f>IF(LEFT(Control_Achizitii!$E582,4)="Fact",1,0)</f>
        <v>0</v>
      </c>
      <c r="U582" s="27">
        <f>IF(Control_Achizitii!$C582="",0,IF(ISNUMBER(Control_Achizitii!$B582),0,1))</f>
        <v>0</v>
      </c>
      <c r="V582" s="27">
        <f>IF(Control_Achizitii!$C582="",0,IF($Z$2&lt;&gt;"OK",0,IF(AND(ISNUMBER(Control_Achizitii!$B582),Control_Achizitii!$B582&gt;=$E$5,Control_Achizitii!$B582&lt;$J$5+1,OR($O$5="Toate proiectele",Control_Achizitii!$Q582=$O$5)),1,0)))</f>
        <v>0</v>
      </c>
      <c r="W582" s="27">
        <f>IF(AND(V582=1,OR(Control_Achizitii!$J582&lt;&gt;"DOSAR COMPLET",Control_Achizitii!$K582&lt;&gt;"")),ROW(),1000000000)</f>
        <v>1000000000</v>
      </c>
      <c r="X582" s="27">
        <f>IF(AND(V582=1,LEFT(Control_Achizitii!$E582,4)="Fact",NOT(ISNUMBER(Control_Achizitii!$P582))),1,0)</f>
        <v>0</v>
      </c>
      <c r="Y582" s="27">
        <f>IF(V582=0,0,IF(Control_Achizitii!$J582="DOSAR COMPLET",1,IF(LEFT(Control_Achizitii!$J582,9)="INCOMPLET",2,3)))</f>
        <v>0</v>
      </c>
      <c r="Z582" s="27"/>
      <c r="AA582" s="27"/>
      <c r="AB582" s="27"/>
      <c r="AC582" s="27"/>
      <c r="AD582" s="27"/>
      <c r="AE582" s="27"/>
      <c r="AF582" s="27"/>
      <c r="AG582" s="27"/>
      <c r="AH582" s="27">
        <f>IF(AND(V582=1,Control_Achizitii!$J582="DOSAR COMPLET",Control_Achizitii!$K582&lt;&gt;""),1,0)</f>
        <v>0</v>
      </c>
    </row>
    <row r="583" spans="1:34">
      <c r="A583" s="27"/>
      <c r="B583" s="27"/>
      <c r="C583" s="27"/>
      <c r="D583" s="27"/>
      <c r="E583" s="27"/>
      <c r="F583" s="27"/>
      <c r="G583" s="27"/>
      <c r="H583" s="27"/>
      <c r="I583" s="27"/>
      <c r="J583" s="27"/>
      <c r="K583" s="27"/>
      <c r="L583" s="27"/>
      <c r="M583" s="27"/>
      <c r="N583" s="27"/>
      <c r="O583" s="27"/>
      <c r="P583" s="27"/>
      <c r="Q583" s="27"/>
      <c r="R583" s="27"/>
      <c r="S583" s="27"/>
      <c r="T583" s="27">
        <f>IF(LEFT(Control_Achizitii!$E583,4)="Fact",1,0)</f>
        <v>0</v>
      </c>
      <c r="U583" s="27">
        <f>IF(Control_Achizitii!$C583="",0,IF(ISNUMBER(Control_Achizitii!$B583),0,1))</f>
        <v>0</v>
      </c>
      <c r="V583" s="27">
        <f>IF(Control_Achizitii!$C583="",0,IF($Z$2&lt;&gt;"OK",0,IF(AND(ISNUMBER(Control_Achizitii!$B583),Control_Achizitii!$B583&gt;=$E$5,Control_Achizitii!$B583&lt;$J$5+1,OR($O$5="Toate proiectele",Control_Achizitii!$Q583=$O$5)),1,0)))</f>
        <v>0</v>
      </c>
      <c r="W583" s="27">
        <f>IF(AND(V583=1,OR(Control_Achizitii!$J583&lt;&gt;"DOSAR COMPLET",Control_Achizitii!$K583&lt;&gt;"")),ROW(),1000000000)</f>
        <v>1000000000</v>
      </c>
      <c r="X583" s="27">
        <f>IF(AND(V583=1,LEFT(Control_Achizitii!$E583,4)="Fact",NOT(ISNUMBER(Control_Achizitii!$P583))),1,0)</f>
        <v>0</v>
      </c>
      <c r="Y583" s="27">
        <f>IF(V583=0,0,IF(Control_Achizitii!$J583="DOSAR COMPLET",1,IF(LEFT(Control_Achizitii!$J583,9)="INCOMPLET",2,3)))</f>
        <v>0</v>
      </c>
      <c r="Z583" s="27"/>
      <c r="AA583" s="27"/>
      <c r="AB583" s="27"/>
      <c r="AC583" s="27"/>
      <c r="AD583" s="27"/>
      <c r="AE583" s="27"/>
      <c r="AF583" s="27"/>
      <c r="AG583" s="27"/>
      <c r="AH583" s="27">
        <f>IF(AND(V583=1,Control_Achizitii!$J583="DOSAR COMPLET",Control_Achizitii!$K583&lt;&gt;""),1,0)</f>
        <v>0</v>
      </c>
    </row>
    <row r="584" spans="1:34">
      <c r="A584" s="27"/>
      <c r="B584" s="27"/>
      <c r="C584" s="27"/>
      <c r="D584" s="27"/>
      <c r="E584" s="27"/>
      <c r="F584" s="27"/>
      <c r="G584" s="27"/>
      <c r="H584" s="27"/>
      <c r="I584" s="27"/>
      <c r="J584" s="27"/>
      <c r="K584" s="27"/>
      <c r="L584" s="27"/>
      <c r="M584" s="27"/>
      <c r="N584" s="27"/>
      <c r="O584" s="27"/>
      <c r="P584" s="27"/>
      <c r="Q584" s="27"/>
      <c r="R584" s="27"/>
      <c r="S584" s="27"/>
      <c r="T584" s="27">
        <f>IF(LEFT(Control_Achizitii!$E584,4)="Fact",1,0)</f>
        <v>0</v>
      </c>
      <c r="U584" s="27">
        <f>IF(Control_Achizitii!$C584="",0,IF(ISNUMBER(Control_Achizitii!$B584),0,1))</f>
        <v>0</v>
      </c>
      <c r="V584" s="27">
        <f>IF(Control_Achizitii!$C584="",0,IF($Z$2&lt;&gt;"OK",0,IF(AND(ISNUMBER(Control_Achizitii!$B584),Control_Achizitii!$B584&gt;=$E$5,Control_Achizitii!$B584&lt;$J$5+1,OR($O$5="Toate proiectele",Control_Achizitii!$Q584=$O$5)),1,0)))</f>
        <v>0</v>
      </c>
      <c r="W584" s="27">
        <f>IF(AND(V584=1,OR(Control_Achizitii!$J584&lt;&gt;"DOSAR COMPLET",Control_Achizitii!$K584&lt;&gt;"")),ROW(),1000000000)</f>
        <v>1000000000</v>
      </c>
      <c r="X584" s="27">
        <f>IF(AND(V584=1,LEFT(Control_Achizitii!$E584,4)="Fact",NOT(ISNUMBER(Control_Achizitii!$P584))),1,0)</f>
        <v>0</v>
      </c>
      <c r="Y584" s="27">
        <f>IF(V584=0,0,IF(Control_Achizitii!$J584="DOSAR COMPLET",1,IF(LEFT(Control_Achizitii!$J584,9)="INCOMPLET",2,3)))</f>
        <v>0</v>
      </c>
      <c r="Z584" s="27"/>
      <c r="AA584" s="27"/>
      <c r="AB584" s="27"/>
      <c r="AC584" s="27"/>
      <c r="AD584" s="27"/>
      <c r="AE584" s="27"/>
      <c r="AF584" s="27"/>
      <c r="AG584" s="27"/>
      <c r="AH584" s="27">
        <f>IF(AND(V584=1,Control_Achizitii!$J584="DOSAR COMPLET",Control_Achizitii!$K584&lt;&gt;""),1,0)</f>
        <v>0</v>
      </c>
    </row>
    <row r="585" spans="1:34">
      <c r="A585" s="27"/>
      <c r="B585" s="27"/>
      <c r="C585" s="27"/>
      <c r="D585" s="27"/>
      <c r="E585" s="27"/>
      <c r="F585" s="27"/>
      <c r="G585" s="27"/>
      <c r="H585" s="27"/>
      <c r="I585" s="27"/>
      <c r="J585" s="27"/>
      <c r="K585" s="27"/>
      <c r="L585" s="27"/>
      <c r="M585" s="27"/>
      <c r="N585" s="27"/>
      <c r="O585" s="27"/>
      <c r="P585" s="27"/>
      <c r="Q585" s="27"/>
      <c r="R585" s="27"/>
      <c r="S585" s="27"/>
      <c r="T585" s="27">
        <f>IF(LEFT(Control_Achizitii!$E585,4)="Fact",1,0)</f>
        <v>0</v>
      </c>
      <c r="U585" s="27">
        <f>IF(Control_Achizitii!$C585="",0,IF(ISNUMBER(Control_Achizitii!$B585),0,1))</f>
        <v>0</v>
      </c>
      <c r="V585" s="27">
        <f>IF(Control_Achizitii!$C585="",0,IF($Z$2&lt;&gt;"OK",0,IF(AND(ISNUMBER(Control_Achizitii!$B585),Control_Achizitii!$B585&gt;=$E$5,Control_Achizitii!$B585&lt;$J$5+1,OR($O$5="Toate proiectele",Control_Achizitii!$Q585=$O$5)),1,0)))</f>
        <v>0</v>
      </c>
      <c r="W585" s="27">
        <f>IF(AND(V585=1,OR(Control_Achizitii!$J585&lt;&gt;"DOSAR COMPLET",Control_Achizitii!$K585&lt;&gt;"")),ROW(),1000000000)</f>
        <v>1000000000</v>
      </c>
      <c r="X585" s="27">
        <f>IF(AND(V585=1,LEFT(Control_Achizitii!$E585,4)="Fact",NOT(ISNUMBER(Control_Achizitii!$P585))),1,0)</f>
        <v>0</v>
      </c>
      <c r="Y585" s="27">
        <f>IF(V585=0,0,IF(Control_Achizitii!$J585="DOSAR COMPLET",1,IF(LEFT(Control_Achizitii!$J585,9)="INCOMPLET",2,3)))</f>
        <v>0</v>
      </c>
      <c r="Z585" s="27"/>
      <c r="AA585" s="27"/>
      <c r="AB585" s="27"/>
      <c r="AC585" s="27"/>
      <c r="AD585" s="27"/>
      <c r="AE585" s="27"/>
      <c r="AF585" s="27"/>
      <c r="AG585" s="27"/>
      <c r="AH585" s="27">
        <f>IF(AND(V585=1,Control_Achizitii!$J585="DOSAR COMPLET",Control_Achizitii!$K585&lt;&gt;""),1,0)</f>
        <v>0</v>
      </c>
    </row>
    <row r="586" spans="1:34">
      <c r="A586" s="27"/>
      <c r="B586" s="27"/>
      <c r="C586" s="27"/>
      <c r="D586" s="27"/>
      <c r="E586" s="27"/>
      <c r="F586" s="27"/>
      <c r="G586" s="27"/>
      <c r="H586" s="27"/>
      <c r="I586" s="27"/>
      <c r="J586" s="27"/>
      <c r="K586" s="27"/>
      <c r="L586" s="27"/>
      <c r="M586" s="27"/>
      <c r="N586" s="27"/>
      <c r="O586" s="27"/>
      <c r="P586" s="27"/>
      <c r="Q586" s="27"/>
      <c r="R586" s="27"/>
      <c r="S586" s="27"/>
      <c r="T586" s="27">
        <f>IF(LEFT(Control_Achizitii!$E586,4)="Fact",1,0)</f>
        <v>0</v>
      </c>
      <c r="U586" s="27">
        <f>IF(Control_Achizitii!$C586="",0,IF(ISNUMBER(Control_Achizitii!$B586),0,1))</f>
        <v>0</v>
      </c>
      <c r="V586" s="27">
        <f>IF(Control_Achizitii!$C586="",0,IF($Z$2&lt;&gt;"OK",0,IF(AND(ISNUMBER(Control_Achizitii!$B586),Control_Achizitii!$B586&gt;=$E$5,Control_Achizitii!$B586&lt;$J$5+1,OR($O$5="Toate proiectele",Control_Achizitii!$Q586=$O$5)),1,0)))</f>
        <v>0</v>
      </c>
      <c r="W586" s="27">
        <f>IF(AND(V586=1,OR(Control_Achizitii!$J586&lt;&gt;"DOSAR COMPLET",Control_Achizitii!$K586&lt;&gt;"")),ROW(),1000000000)</f>
        <v>1000000000</v>
      </c>
      <c r="X586" s="27">
        <f>IF(AND(V586=1,LEFT(Control_Achizitii!$E586,4)="Fact",NOT(ISNUMBER(Control_Achizitii!$P586))),1,0)</f>
        <v>0</v>
      </c>
      <c r="Y586" s="27">
        <f>IF(V586=0,0,IF(Control_Achizitii!$J586="DOSAR COMPLET",1,IF(LEFT(Control_Achizitii!$J586,9)="INCOMPLET",2,3)))</f>
        <v>0</v>
      </c>
      <c r="Z586" s="27"/>
      <c r="AA586" s="27"/>
      <c r="AB586" s="27"/>
      <c r="AC586" s="27"/>
      <c r="AD586" s="27"/>
      <c r="AE586" s="27"/>
      <c r="AF586" s="27"/>
      <c r="AG586" s="27"/>
      <c r="AH586" s="27">
        <f>IF(AND(V586=1,Control_Achizitii!$J586="DOSAR COMPLET",Control_Achizitii!$K586&lt;&gt;""),1,0)</f>
        <v>0</v>
      </c>
    </row>
    <row r="587" spans="1:34">
      <c r="A587" s="27"/>
      <c r="B587" s="27"/>
      <c r="C587" s="27"/>
      <c r="D587" s="27"/>
      <c r="E587" s="27"/>
      <c r="F587" s="27"/>
      <c r="G587" s="27"/>
      <c r="H587" s="27"/>
      <c r="I587" s="27"/>
      <c r="J587" s="27"/>
      <c r="K587" s="27"/>
      <c r="L587" s="27"/>
      <c r="M587" s="27"/>
      <c r="N587" s="27"/>
      <c r="O587" s="27"/>
      <c r="P587" s="27"/>
      <c r="Q587" s="27"/>
      <c r="R587" s="27"/>
      <c r="S587" s="27"/>
      <c r="T587" s="27">
        <f>IF(LEFT(Control_Achizitii!$E587,4)="Fact",1,0)</f>
        <v>0</v>
      </c>
      <c r="U587" s="27">
        <f>IF(Control_Achizitii!$C587="",0,IF(ISNUMBER(Control_Achizitii!$B587),0,1))</f>
        <v>0</v>
      </c>
      <c r="V587" s="27">
        <f>IF(Control_Achizitii!$C587="",0,IF($Z$2&lt;&gt;"OK",0,IF(AND(ISNUMBER(Control_Achizitii!$B587),Control_Achizitii!$B587&gt;=$E$5,Control_Achizitii!$B587&lt;$J$5+1,OR($O$5="Toate proiectele",Control_Achizitii!$Q587=$O$5)),1,0)))</f>
        <v>0</v>
      </c>
      <c r="W587" s="27">
        <f>IF(AND(V587=1,OR(Control_Achizitii!$J587&lt;&gt;"DOSAR COMPLET",Control_Achizitii!$K587&lt;&gt;"")),ROW(),1000000000)</f>
        <v>1000000000</v>
      </c>
      <c r="X587" s="27">
        <f>IF(AND(V587=1,LEFT(Control_Achizitii!$E587,4)="Fact",NOT(ISNUMBER(Control_Achizitii!$P587))),1,0)</f>
        <v>0</v>
      </c>
      <c r="Y587" s="27">
        <f>IF(V587=0,0,IF(Control_Achizitii!$J587="DOSAR COMPLET",1,IF(LEFT(Control_Achizitii!$J587,9)="INCOMPLET",2,3)))</f>
        <v>0</v>
      </c>
      <c r="Z587" s="27"/>
      <c r="AA587" s="27"/>
      <c r="AB587" s="27"/>
      <c r="AC587" s="27"/>
      <c r="AD587" s="27"/>
      <c r="AE587" s="27"/>
      <c r="AF587" s="27"/>
      <c r="AG587" s="27"/>
      <c r="AH587" s="27">
        <f>IF(AND(V587=1,Control_Achizitii!$J587="DOSAR COMPLET",Control_Achizitii!$K587&lt;&gt;""),1,0)</f>
        <v>0</v>
      </c>
    </row>
    <row r="588" spans="1:34">
      <c r="A588" s="27"/>
      <c r="B588" s="27"/>
      <c r="C588" s="27"/>
      <c r="D588" s="27"/>
      <c r="E588" s="27"/>
      <c r="F588" s="27"/>
      <c r="G588" s="27"/>
      <c r="H588" s="27"/>
      <c r="I588" s="27"/>
      <c r="J588" s="27"/>
      <c r="K588" s="27"/>
      <c r="L588" s="27"/>
      <c r="M588" s="27"/>
      <c r="N588" s="27"/>
      <c r="O588" s="27"/>
      <c r="P588" s="27"/>
      <c r="Q588" s="27"/>
      <c r="R588" s="27"/>
      <c r="S588" s="27"/>
      <c r="T588" s="27">
        <f>IF(LEFT(Control_Achizitii!$E588,4)="Fact",1,0)</f>
        <v>0</v>
      </c>
      <c r="U588" s="27">
        <f>IF(Control_Achizitii!$C588="",0,IF(ISNUMBER(Control_Achizitii!$B588),0,1))</f>
        <v>0</v>
      </c>
      <c r="V588" s="27">
        <f>IF(Control_Achizitii!$C588="",0,IF($Z$2&lt;&gt;"OK",0,IF(AND(ISNUMBER(Control_Achizitii!$B588),Control_Achizitii!$B588&gt;=$E$5,Control_Achizitii!$B588&lt;$J$5+1,OR($O$5="Toate proiectele",Control_Achizitii!$Q588=$O$5)),1,0)))</f>
        <v>0</v>
      </c>
      <c r="W588" s="27">
        <f>IF(AND(V588=1,OR(Control_Achizitii!$J588&lt;&gt;"DOSAR COMPLET",Control_Achizitii!$K588&lt;&gt;"")),ROW(),1000000000)</f>
        <v>1000000000</v>
      </c>
      <c r="X588" s="27">
        <f>IF(AND(V588=1,LEFT(Control_Achizitii!$E588,4)="Fact",NOT(ISNUMBER(Control_Achizitii!$P588))),1,0)</f>
        <v>0</v>
      </c>
      <c r="Y588" s="27">
        <f>IF(V588=0,0,IF(Control_Achizitii!$J588="DOSAR COMPLET",1,IF(LEFT(Control_Achizitii!$J588,9)="INCOMPLET",2,3)))</f>
        <v>0</v>
      </c>
      <c r="Z588" s="27"/>
      <c r="AA588" s="27"/>
      <c r="AB588" s="27"/>
      <c r="AC588" s="27"/>
      <c r="AD588" s="27"/>
      <c r="AE588" s="27"/>
      <c r="AF588" s="27"/>
      <c r="AG588" s="27"/>
      <c r="AH588" s="27">
        <f>IF(AND(V588=1,Control_Achizitii!$J588="DOSAR COMPLET",Control_Achizitii!$K588&lt;&gt;""),1,0)</f>
        <v>0</v>
      </c>
    </row>
    <row r="589" spans="1:34">
      <c r="A589" s="27"/>
      <c r="B589" s="27"/>
      <c r="C589" s="27"/>
      <c r="D589" s="27"/>
      <c r="E589" s="27"/>
      <c r="F589" s="27"/>
      <c r="G589" s="27"/>
      <c r="H589" s="27"/>
      <c r="I589" s="27"/>
      <c r="J589" s="27"/>
      <c r="K589" s="27"/>
      <c r="L589" s="27"/>
      <c r="M589" s="27"/>
      <c r="N589" s="27"/>
      <c r="O589" s="27"/>
      <c r="P589" s="27"/>
      <c r="Q589" s="27"/>
      <c r="R589" s="27"/>
      <c r="S589" s="27"/>
      <c r="T589" s="27">
        <f>IF(LEFT(Control_Achizitii!$E589,4)="Fact",1,0)</f>
        <v>0</v>
      </c>
      <c r="U589" s="27">
        <f>IF(Control_Achizitii!$C589="",0,IF(ISNUMBER(Control_Achizitii!$B589),0,1))</f>
        <v>0</v>
      </c>
      <c r="V589" s="27">
        <f>IF(Control_Achizitii!$C589="",0,IF($Z$2&lt;&gt;"OK",0,IF(AND(ISNUMBER(Control_Achizitii!$B589),Control_Achizitii!$B589&gt;=$E$5,Control_Achizitii!$B589&lt;$J$5+1,OR($O$5="Toate proiectele",Control_Achizitii!$Q589=$O$5)),1,0)))</f>
        <v>0</v>
      </c>
      <c r="W589" s="27">
        <f>IF(AND(V589=1,OR(Control_Achizitii!$J589&lt;&gt;"DOSAR COMPLET",Control_Achizitii!$K589&lt;&gt;"")),ROW(),1000000000)</f>
        <v>1000000000</v>
      </c>
      <c r="X589" s="27">
        <f>IF(AND(V589=1,LEFT(Control_Achizitii!$E589,4)="Fact",NOT(ISNUMBER(Control_Achizitii!$P589))),1,0)</f>
        <v>0</v>
      </c>
      <c r="Y589" s="27">
        <f>IF(V589=0,0,IF(Control_Achizitii!$J589="DOSAR COMPLET",1,IF(LEFT(Control_Achizitii!$J589,9)="INCOMPLET",2,3)))</f>
        <v>0</v>
      </c>
      <c r="Z589" s="27"/>
      <c r="AA589" s="27"/>
      <c r="AB589" s="27"/>
      <c r="AC589" s="27"/>
      <c r="AD589" s="27"/>
      <c r="AE589" s="27"/>
      <c r="AF589" s="27"/>
      <c r="AG589" s="27"/>
      <c r="AH589" s="27">
        <f>IF(AND(V589=1,Control_Achizitii!$J589="DOSAR COMPLET",Control_Achizitii!$K589&lt;&gt;""),1,0)</f>
        <v>0</v>
      </c>
    </row>
    <row r="590" spans="1:34">
      <c r="A590" s="27"/>
      <c r="B590" s="27"/>
      <c r="C590" s="27"/>
      <c r="D590" s="27"/>
      <c r="E590" s="27"/>
      <c r="F590" s="27"/>
      <c r="G590" s="27"/>
      <c r="H590" s="27"/>
      <c r="I590" s="27"/>
      <c r="J590" s="27"/>
      <c r="K590" s="27"/>
      <c r="L590" s="27"/>
      <c r="M590" s="27"/>
      <c r="N590" s="27"/>
      <c r="O590" s="27"/>
      <c r="P590" s="27"/>
      <c r="Q590" s="27"/>
      <c r="R590" s="27"/>
      <c r="S590" s="27"/>
      <c r="T590" s="27">
        <f>IF(LEFT(Control_Achizitii!$E590,4)="Fact",1,0)</f>
        <v>0</v>
      </c>
      <c r="U590" s="27">
        <f>IF(Control_Achizitii!$C590="",0,IF(ISNUMBER(Control_Achizitii!$B590),0,1))</f>
        <v>0</v>
      </c>
      <c r="V590" s="27">
        <f>IF(Control_Achizitii!$C590="",0,IF($Z$2&lt;&gt;"OK",0,IF(AND(ISNUMBER(Control_Achizitii!$B590),Control_Achizitii!$B590&gt;=$E$5,Control_Achizitii!$B590&lt;$J$5+1,OR($O$5="Toate proiectele",Control_Achizitii!$Q590=$O$5)),1,0)))</f>
        <v>0</v>
      </c>
      <c r="W590" s="27">
        <f>IF(AND(V590=1,OR(Control_Achizitii!$J590&lt;&gt;"DOSAR COMPLET",Control_Achizitii!$K590&lt;&gt;"")),ROW(),1000000000)</f>
        <v>1000000000</v>
      </c>
      <c r="X590" s="27">
        <f>IF(AND(V590=1,LEFT(Control_Achizitii!$E590,4)="Fact",NOT(ISNUMBER(Control_Achizitii!$P590))),1,0)</f>
        <v>0</v>
      </c>
      <c r="Y590" s="27">
        <f>IF(V590=0,0,IF(Control_Achizitii!$J590="DOSAR COMPLET",1,IF(LEFT(Control_Achizitii!$J590,9)="INCOMPLET",2,3)))</f>
        <v>0</v>
      </c>
      <c r="Z590" s="27"/>
      <c r="AA590" s="27"/>
      <c r="AB590" s="27"/>
      <c r="AC590" s="27"/>
      <c r="AD590" s="27"/>
      <c r="AE590" s="27"/>
      <c r="AF590" s="27"/>
      <c r="AG590" s="27"/>
      <c r="AH590" s="27">
        <f>IF(AND(V590=1,Control_Achizitii!$J590="DOSAR COMPLET",Control_Achizitii!$K590&lt;&gt;""),1,0)</f>
        <v>0</v>
      </c>
    </row>
    <row r="591" spans="1:34">
      <c r="A591" s="27"/>
      <c r="B591" s="27"/>
      <c r="C591" s="27"/>
      <c r="D591" s="27"/>
      <c r="E591" s="27"/>
      <c r="F591" s="27"/>
      <c r="G591" s="27"/>
      <c r="H591" s="27"/>
      <c r="I591" s="27"/>
      <c r="J591" s="27"/>
      <c r="K591" s="27"/>
      <c r="L591" s="27"/>
      <c r="M591" s="27"/>
      <c r="N591" s="27"/>
      <c r="O591" s="27"/>
      <c r="P591" s="27"/>
      <c r="Q591" s="27"/>
      <c r="R591" s="27"/>
      <c r="S591" s="27"/>
      <c r="T591" s="27">
        <f>IF(LEFT(Control_Achizitii!$E591,4)="Fact",1,0)</f>
        <v>0</v>
      </c>
      <c r="U591" s="27">
        <f>IF(Control_Achizitii!$C591="",0,IF(ISNUMBER(Control_Achizitii!$B591),0,1))</f>
        <v>0</v>
      </c>
      <c r="V591" s="27">
        <f>IF(Control_Achizitii!$C591="",0,IF($Z$2&lt;&gt;"OK",0,IF(AND(ISNUMBER(Control_Achizitii!$B591),Control_Achizitii!$B591&gt;=$E$5,Control_Achizitii!$B591&lt;$J$5+1,OR($O$5="Toate proiectele",Control_Achizitii!$Q591=$O$5)),1,0)))</f>
        <v>0</v>
      </c>
      <c r="W591" s="27">
        <f>IF(AND(V591=1,OR(Control_Achizitii!$J591&lt;&gt;"DOSAR COMPLET",Control_Achizitii!$K591&lt;&gt;"")),ROW(),1000000000)</f>
        <v>1000000000</v>
      </c>
      <c r="X591" s="27">
        <f>IF(AND(V591=1,LEFT(Control_Achizitii!$E591,4)="Fact",NOT(ISNUMBER(Control_Achizitii!$P591))),1,0)</f>
        <v>0</v>
      </c>
      <c r="Y591" s="27">
        <f>IF(V591=0,0,IF(Control_Achizitii!$J591="DOSAR COMPLET",1,IF(LEFT(Control_Achizitii!$J591,9)="INCOMPLET",2,3)))</f>
        <v>0</v>
      </c>
      <c r="Z591" s="27"/>
      <c r="AA591" s="27"/>
      <c r="AB591" s="27"/>
      <c r="AC591" s="27"/>
      <c r="AD591" s="27"/>
      <c r="AE591" s="27"/>
      <c r="AF591" s="27"/>
      <c r="AG591" s="27"/>
      <c r="AH591" s="27">
        <f>IF(AND(V591=1,Control_Achizitii!$J591="DOSAR COMPLET",Control_Achizitii!$K591&lt;&gt;""),1,0)</f>
        <v>0</v>
      </c>
    </row>
    <row r="592" spans="1:34">
      <c r="A592" s="27"/>
      <c r="B592" s="27"/>
      <c r="C592" s="27"/>
      <c r="D592" s="27"/>
      <c r="E592" s="27"/>
      <c r="F592" s="27"/>
      <c r="G592" s="27"/>
      <c r="H592" s="27"/>
      <c r="I592" s="27"/>
      <c r="J592" s="27"/>
      <c r="K592" s="27"/>
      <c r="L592" s="27"/>
      <c r="M592" s="27"/>
      <c r="N592" s="27"/>
      <c r="O592" s="27"/>
      <c r="P592" s="27"/>
      <c r="Q592" s="27"/>
      <c r="R592" s="27"/>
      <c r="S592" s="27"/>
      <c r="T592" s="27">
        <f>IF(LEFT(Control_Achizitii!$E592,4)="Fact",1,0)</f>
        <v>0</v>
      </c>
      <c r="U592" s="27">
        <f>IF(Control_Achizitii!$C592="",0,IF(ISNUMBER(Control_Achizitii!$B592),0,1))</f>
        <v>0</v>
      </c>
      <c r="V592" s="27">
        <f>IF(Control_Achizitii!$C592="",0,IF($Z$2&lt;&gt;"OK",0,IF(AND(ISNUMBER(Control_Achizitii!$B592),Control_Achizitii!$B592&gt;=$E$5,Control_Achizitii!$B592&lt;$J$5+1,OR($O$5="Toate proiectele",Control_Achizitii!$Q592=$O$5)),1,0)))</f>
        <v>0</v>
      </c>
      <c r="W592" s="27">
        <f>IF(AND(V592=1,OR(Control_Achizitii!$J592&lt;&gt;"DOSAR COMPLET",Control_Achizitii!$K592&lt;&gt;"")),ROW(),1000000000)</f>
        <v>1000000000</v>
      </c>
      <c r="X592" s="27">
        <f>IF(AND(V592=1,LEFT(Control_Achizitii!$E592,4)="Fact",NOT(ISNUMBER(Control_Achizitii!$P592))),1,0)</f>
        <v>0</v>
      </c>
      <c r="Y592" s="27">
        <f>IF(V592=0,0,IF(Control_Achizitii!$J592="DOSAR COMPLET",1,IF(LEFT(Control_Achizitii!$J592,9)="INCOMPLET",2,3)))</f>
        <v>0</v>
      </c>
      <c r="Z592" s="27"/>
      <c r="AA592" s="27"/>
      <c r="AB592" s="27"/>
      <c r="AC592" s="27"/>
      <c r="AD592" s="27"/>
      <c r="AE592" s="27"/>
      <c r="AF592" s="27"/>
      <c r="AG592" s="27"/>
      <c r="AH592" s="27">
        <f>IF(AND(V592=1,Control_Achizitii!$J592="DOSAR COMPLET",Control_Achizitii!$K592&lt;&gt;""),1,0)</f>
        <v>0</v>
      </c>
    </row>
    <row r="593" spans="1:34">
      <c r="A593" s="27"/>
      <c r="B593" s="27"/>
      <c r="C593" s="27"/>
      <c r="D593" s="27"/>
      <c r="E593" s="27"/>
      <c r="F593" s="27"/>
      <c r="G593" s="27"/>
      <c r="H593" s="27"/>
      <c r="I593" s="27"/>
      <c r="J593" s="27"/>
      <c r="K593" s="27"/>
      <c r="L593" s="27"/>
      <c r="M593" s="27"/>
      <c r="N593" s="27"/>
      <c r="O593" s="27"/>
      <c r="P593" s="27"/>
      <c r="Q593" s="27"/>
      <c r="R593" s="27"/>
      <c r="S593" s="27"/>
      <c r="T593" s="27">
        <f>IF(LEFT(Control_Achizitii!$E593,4)="Fact",1,0)</f>
        <v>0</v>
      </c>
      <c r="U593" s="27">
        <f>IF(Control_Achizitii!$C593="",0,IF(ISNUMBER(Control_Achizitii!$B593),0,1))</f>
        <v>0</v>
      </c>
      <c r="V593" s="27">
        <f>IF(Control_Achizitii!$C593="",0,IF($Z$2&lt;&gt;"OK",0,IF(AND(ISNUMBER(Control_Achizitii!$B593),Control_Achizitii!$B593&gt;=$E$5,Control_Achizitii!$B593&lt;$J$5+1,OR($O$5="Toate proiectele",Control_Achizitii!$Q593=$O$5)),1,0)))</f>
        <v>0</v>
      </c>
      <c r="W593" s="27">
        <f>IF(AND(V593=1,OR(Control_Achizitii!$J593&lt;&gt;"DOSAR COMPLET",Control_Achizitii!$K593&lt;&gt;"")),ROW(),1000000000)</f>
        <v>1000000000</v>
      </c>
      <c r="X593" s="27">
        <f>IF(AND(V593=1,LEFT(Control_Achizitii!$E593,4)="Fact",NOT(ISNUMBER(Control_Achizitii!$P593))),1,0)</f>
        <v>0</v>
      </c>
      <c r="Y593" s="27">
        <f>IF(V593=0,0,IF(Control_Achizitii!$J593="DOSAR COMPLET",1,IF(LEFT(Control_Achizitii!$J593,9)="INCOMPLET",2,3)))</f>
        <v>0</v>
      </c>
      <c r="Z593" s="27"/>
      <c r="AA593" s="27"/>
      <c r="AB593" s="27"/>
      <c r="AC593" s="27"/>
      <c r="AD593" s="27"/>
      <c r="AE593" s="27"/>
      <c r="AF593" s="27"/>
      <c r="AG593" s="27"/>
      <c r="AH593" s="27">
        <f>IF(AND(V593=1,Control_Achizitii!$J593="DOSAR COMPLET",Control_Achizitii!$K593&lt;&gt;""),1,0)</f>
        <v>0</v>
      </c>
    </row>
    <row r="594" spans="1:34">
      <c r="A594" s="27"/>
      <c r="B594" s="27"/>
      <c r="C594" s="27"/>
      <c r="D594" s="27"/>
      <c r="E594" s="27"/>
      <c r="F594" s="27"/>
      <c r="G594" s="27"/>
      <c r="H594" s="27"/>
      <c r="I594" s="27"/>
      <c r="J594" s="27"/>
      <c r="K594" s="27"/>
      <c r="L594" s="27"/>
      <c r="M594" s="27"/>
      <c r="N594" s="27"/>
      <c r="O594" s="27"/>
      <c r="P594" s="27"/>
      <c r="Q594" s="27"/>
      <c r="R594" s="27"/>
      <c r="S594" s="27"/>
      <c r="T594" s="27">
        <f>IF(LEFT(Control_Achizitii!$E594,4)="Fact",1,0)</f>
        <v>0</v>
      </c>
      <c r="U594" s="27">
        <f>IF(Control_Achizitii!$C594="",0,IF(ISNUMBER(Control_Achizitii!$B594),0,1))</f>
        <v>0</v>
      </c>
      <c r="V594" s="27">
        <f>IF(Control_Achizitii!$C594="",0,IF($Z$2&lt;&gt;"OK",0,IF(AND(ISNUMBER(Control_Achizitii!$B594),Control_Achizitii!$B594&gt;=$E$5,Control_Achizitii!$B594&lt;$J$5+1,OR($O$5="Toate proiectele",Control_Achizitii!$Q594=$O$5)),1,0)))</f>
        <v>0</v>
      </c>
      <c r="W594" s="27">
        <f>IF(AND(V594=1,OR(Control_Achizitii!$J594&lt;&gt;"DOSAR COMPLET",Control_Achizitii!$K594&lt;&gt;"")),ROW(),1000000000)</f>
        <v>1000000000</v>
      </c>
      <c r="X594" s="27">
        <f>IF(AND(V594=1,LEFT(Control_Achizitii!$E594,4)="Fact",NOT(ISNUMBER(Control_Achizitii!$P594))),1,0)</f>
        <v>0</v>
      </c>
      <c r="Y594" s="27">
        <f>IF(V594=0,0,IF(Control_Achizitii!$J594="DOSAR COMPLET",1,IF(LEFT(Control_Achizitii!$J594,9)="INCOMPLET",2,3)))</f>
        <v>0</v>
      </c>
      <c r="Z594" s="27"/>
      <c r="AA594" s="27"/>
      <c r="AB594" s="27"/>
      <c r="AC594" s="27"/>
      <c r="AD594" s="27"/>
      <c r="AE594" s="27"/>
      <c r="AF594" s="27"/>
      <c r="AG594" s="27"/>
      <c r="AH594" s="27">
        <f>IF(AND(V594=1,Control_Achizitii!$J594="DOSAR COMPLET",Control_Achizitii!$K594&lt;&gt;""),1,0)</f>
        <v>0</v>
      </c>
    </row>
    <row r="595" spans="1:34">
      <c r="A595" s="27"/>
      <c r="B595" s="27"/>
      <c r="C595" s="27"/>
      <c r="D595" s="27"/>
      <c r="E595" s="27"/>
      <c r="F595" s="27"/>
      <c r="G595" s="27"/>
      <c r="H595" s="27"/>
      <c r="I595" s="27"/>
      <c r="J595" s="27"/>
      <c r="K595" s="27"/>
      <c r="L595" s="27"/>
      <c r="M595" s="27"/>
      <c r="N595" s="27"/>
      <c r="O595" s="27"/>
      <c r="P595" s="27"/>
      <c r="Q595" s="27"/>
      <c r="R595" s="27"/>
      <c r="S595" s="27"/>
      <c r="T595" s="27">
        <f>IF(LEFT(Control_Achizitii!$E595,4)="Fact",1,0)</f>
        <v>0</v>
      </c>
      <c r="U595" s="27">
        <f>IF(Control_Achizitii!$C595="",0,IF(ISNUMBER(Control_Achizitii!$B595),0,1))</f>
        <v>0</v>
      </c>
      <c r="V595" s="27">
        <f>IF(Control_Achizitii!$C595="",0,IF($Z$2&lt;&gt;"OK",0,IF(AND(ISNUMBER(Control_Achizitii!$B595),Control_Achizitii!$B595&gt;=$E$5,Control_Achizitii!$B595&lt;$J$5+1,OR($O$5="Toate proiectele",Control_Achizitii!$Q595=$O$5)),1,0)))</f>
        <v>0</v>
      </c>
      <c r="W595" s="27">
        <f>IF(AND(V595=1,OR(Control_Achizitii!$J595&lt;&gt;"DOSAR COMPLET",Control_Achizitii!$K595&lt;&gt;"")),ROW(),1000000000)</f>
        <v>1000000000</v>
      </c>
      <c r="X595" s="27">
        <f>IF(AND(V595=1,LEFT(Control_Achizitii!$E595,4)="Fact",NOT(ISNUMBER(Control_Achizitii!$P595))),1,0)</f>
        <v>0</v>
      </c>
      <c r="Y595" s="27">
        <f>IF(V595=0,0,IF(Control_Achizitii!$J595="DOSAR COMPLET",1,IF(LEFT(Control_Achizitii!$J595,9)="INCOMPLET",2,3)))</f>
        <v>0</v>
      </c>
      <c r="Z595" s="27"/>
      <c r="AA595" s="27"/>
      <c r="AB595" s="27"/>
      <c r="AC595" s="27"/>
      <c r="AD595" s="27"/>
      <c r="AE595" s="27"/>
      <c r="AF595" s="27"/>
      <c r="AG595" s="27"/>
      <c r="AH595" s="27">
        <f>IF(AND(V595=1,Control_Achizitii!$J595="DOSAR COMPLET",Control_Achizitii!$K595&lt;&gt;""),1,0)</f>
        <v>0</v>
      </c>
    </row>
    <row r="596" spans="1:34">
      <c r="A596" s="27"/>
      <c r="B596" s="27"/>
      <c r="C596" s="27"/>
      <c r="D596" s="27"/>
      <c r="E596" s="27"/>
      <c r="F596" s="27"/>
      <c r="G596" s="27"/>
      <c r="H596" s="27"/>
      <c r="I596" s="27"/>
      <c r="J596" s="27"/>
      <c r="K596" s="27"/>
      <c r="L596" s="27"/>
      <c r="M596" s="27"/>
      <c r="N596" s="27"/>
      <c r="O596" s="27"/>
      <c r="P596" s="27"/>
      <c r="Q596" s="27"/>
      <c r="R596" s="27"/>
      <c r="S596" s="27"/>
      <c r="T596" s="27">
        <f>IF(LEFT(Control_Achizitii!$E596,4)="Fact",1,0)</f>
        <v>0</v>
      </c>
      <c r="U596" s="27">
        <f>IF(Control_Achizitii!$C596="",0,IF(ISNUMBER(Control_Achizitii!$B596),0,1))</f>
        <v>0</v>
      </c>
      <c r="V596" s="27">
        <f>IF(Control_Achizitii!$C596="",0,IF($Z$2&lt;&gt;"OK",0,IF(AND(ISNUMBER(Control_Achizitii!$B596),Control_Achizitii!$B596&gt;=$E$5,Control_Achizitii!$B596&lt;$J$5+1,OR($O$5="Toate proiectele",Control_Achizitii!$Q596=$O$5)),1,0)))</f>
        <v>0</v>
      </c>
      <c r="W596" s="27">
        <f>IF(AND(V596=1,OR(Control_Achizitii!$J596&lt;&gt;"DOSAR COMPLET",Control_Achizitii!$K596&lt;&gt;"")),ROW(),1000000000)</f>
        <v>1000000000</v>
      </c>
      <c r="X596" s="27">
        <f>IF(AND(V596=1,LEFT(Control_Achizitii!$E596,4)="Fact",NOT(ISNUMBER(Control_Achizitii!$P596))),1,0)</f>
        <v>0</v>
      </c>
      <c r="Y596" s="27">
        <f>IF(V596=0,0,IF(Control_Achizitii!$J596="DOSAR COMPLET",1,IF(LEFT(Control_Achizitii!$J596,9)="INCOMPLET",2,3)))</f>
        <v>0</v>
      </c>
      <c r="Z596" s="27"/>
      <c r="AA596" s="27"/>
      <c r="AB596" s="27"/>
      <c r="AC596" s="27"/>
      <c r="AD596" s="27"/>
      <c r="AE596" s="27"/>
      <c r="AF596" s="27"/>
      <c r="AG596" s="27"/>
      <c r="AH596" s="27">
        <f>IF(AND(V596=1,Control_Achizitii!$J596="DOSAR COMPLET",Control_Achizitii!$K596&lt;&gt;""),1,0)</f>
        <v>0</v>
      </c>
    </row>
    <row r="597" spans="1:34">
      <c r="A597" s="27"/>
      <c r="B597" s="27"/>
      <c r="C597" s="27"/>
      <c r="D597" s="27"/>
      <c r="E597" s="27"/>
      <c r="F597" s="27"/>
      <c r="G597" s="27"/>
      <c r="H597" s="27"/>
      <c r="I597" s="27"/>
      <c r="J597" s="27"/>
      <c r="K597" s="27"/>
      <c r="L597" s="27"/>
      <c r="M597" s="27"/>
      <c r="N597" s="27"/>
      <c r="O597" s="27"/>
      <c r="P597" s="27"/>
      <c r="Q597" s="27"/>
      <c r="R597" s="27"/>
      <c r="S597" s="27"/>
      <c r="T597" s="27">
        <f>IF(LEFT(Control_Achizitii!$E597,4)="Fact",1,0)</f>
        <v>0</v>
      </c>
      <c r="U597" s="27">
        <f>IF(Control_Achizitii!$C597="",0,IF(ISNUMBER(Control_Achizitii!$B597),0,1))</f>
        <v>0</v>
      </c>
      <c r="V597" s="27">
        <f>IF(Control_Achizitii!$C597="",0,IF($Z$2&lt;&gt;"OK",0,IF(AND(ISNUMBER(Control_Achizitii!$B597),Control_Achizitii!$B597&gt;=$E$5,Control_Achizitii!$B597&lt;$J$5+1,OR($O$5="Toate proiectele",Control_Achizitii!$Q597=$O$5)),1,0)))</f>
        <v>0</v>
      </c>
      <c r="W597" s="27">
        <f>IF(AND(V597=1,OR(Control_Achizitii!$J597&lt;&gt;"DOSAR COMPLET",Control_Achizitii!$K597&lt;&gt;"")),ROW(),1000000000)</f>
        <v>1000000000</v>
      </c>
      <c r="X597" s="27">
        <f>IF(AND(V597=1,LEFT(Control_Achizitii!$E597,4)="Fact",NOT(ISNUMBER(Control_Achizitii!$P597))),1,0)</f>
        <v>0</v>
      </c>
      <c r="Y597" s="27">
        <f>IF(V597=0,0,IF(Control_Achizitii!$J597="DOSAR COMPLET",1,IF(LEFT(Control_Achizitii!$J597,9)="INCOMPLET",2,3)))</f>
        <v>0</v>
      </c>
      <c r="Z597" s="27"/>
      <c r="AA597" s="27"/>
      <c r="AB597" s="27"/>
      <c r="AC597" s="27"/>
      <c r="AD597" s="27"/>
      <c r="AE597" s="27"/>
      <c r="AF597" s="27"/>
      <c r="AG597" s="27"/>
      <c r="AH597" s="27">
        <f>IF(AND(V597=1,Control_Achizitii!$J597="DOSAR COMPLET",Control_Achizitii!$K597&lt;&gt;""),1,0)</f>
        <v>0</v>
      </c>
    </row>
    <row r="598" spans="1:34">
      <c r="A598" s="27"/>
      <c r="B598" s="27"/>
      <c r="C598" s="27"/>
      <c r="D598" s="27"/>
      <c r="E598" s="27"/>
      <c r="F598" s="27"/>
      <c r="G598" s="27"/>
      <c r="H598" s="27"/>
      <c r="I598" s="27"/>
      <c r="J598" s="27"/>
      <c r="K598" s="27"/>
      <c r="L598" s="27"/>
      <c r="M598" s="27"/>
      <c r="N598" s="27"/>
      <c r="O598" s="27"/>
      <c r="P598" s="27"/>
      <c r="Q598" s="27"/>
      <c r="R598" s="27"/>
      <c r="S598" s="27"/>
      <c r="T598" s="27">
        <f>IF(LEFT(Control_Achizitii!$E598,4)="Fact",1,0)</f>
        <v>0</v>
      </c>
      <c r="U598" s="27">
        <f>IF(Control_Achizitii!$C598="",0,IF(ISNUMBER(Control_Achizitii!$B598),0,1))</f>
        <v>0</v>
      </c>
      <c r="V598" s="27">
        <f>IF(Control_Achizitii!$C598="",0,IF($Z$2&lt;&gt;"OK",0,IF(AND(ISNUMBER(Control_Achizitii!$B598),Control_Achizitii!$B598&gt;=$E$5,Control_Achizitii!$B598&lt;$J$5+1,OR($O$5="Toate proiectele",Control_Achizitii!$Q598=$O$5)),1,0)))</f>
        <v>0</v>
      </c>
      <c r="W598" s="27">
        <f>IF(AND(V598=1,OR(Control_Achizitii!$J598&lt;&gt;"DOSAR COMPLET",Control_Achizitii!$K598&lt;&gt;"")),ROW(),1000000000)</f>
        <v>1000000000</v>
      </c>
      <c r="X598" s="27">
        <f>IF(AND(V598=1,LEFT(Control_Achizitii!$E598,4)="Fact",NOT(ISNUMBER(Control_Achizitii!$P598))),1,0)</f>
        <v>0</v>
      </c>
      <c r="Y598" s="27">
        <f>IF(V598=0,0,IF(Control_Achizitii!$J598="DOSAR COMPLET",1,IF(LEFT(Control_Achizitii!$J598,9)="INCOMPLET",2,3)))</f>
        <v>0</v>
      </c>
      <c r="Z598" s="27"/>
      <c r="AA598" s="27"/>
      <c r="AB598" s="27"/>
      <c r="AC598" s="27"/>
      <c r="AD598" s="27"/>
      <c r="AE598" s="27"/>
      <c r="AF598" s="27"/>
      <c r="AG598" s="27"/>
      <c r="AH598" s="27">
        <f>IF(AND(V598=1,Control_Achizitii!$J598="DOSAR COMPLET",Control_Achizitii!$K598&lt;&gt;""),1,0)</f>
        <v>0</v>
      </c>
    </row>
    <row r="599" spans="1:34">
      <c r="A599" s="27"/>
      <c r="B599" s="27"/>
      <c r="C599" s="27"/>
      <c r="D599" s="27"/>
      <c r="E599" s="27"/>
      <c r="F599" s="27"/>
      <c r="G599" s="27"/>
      <c r="H599" s="27"/>
      <c r="I599" s="27"/>
      <c r="J599" s="27"/>
      <c r="K599" s="27"/>
      <c r="L599" s="27"/>
      <c r="M599" s="27"/>
      <c r="N599" s="27"/>
      <c r="O599" s="27"/>
      <c r="P599" s="27"/>
      <c r="Q599" s="27"/>
      <c r="R599" s="27"/>
      <c r="S599" s="27"/>
      <c r="T599" s="27">
        <f>IF(LEFT(Control_Achizitii!$E599,4)="Fact",1,0)</f>
        <v>0</v>
      </c>
      <c r="U599" s="27">
        <f>IF(Control_Achizitii!$C599="",0,IF(ISNUMBER(Control_Achizitii!$B599),0,1))</f>
        <v>0</v>
      </c>
      <c r="V599" s="27">
        <f>IF(Control_Achizitii!$C599="",0,IF($Z$2&lt;&gt;"OK",0,IF(AND(ISNUMBER(Control_Achizitii!$B599),Control_Achizitii!$B599&gt;=$E$5,Control_Achizitii!$B599&lt;$J$5+1,OR($O$5="Toate proiectele",Control_Achizitii!$Q599=$O$5)),1,0)))</f>
        <v>0</v>
      </c>
      <c r="W599" s="27">
        <f>IF(AND(V599=1,OR(Control_Achizitii!$J599&lt;&gt;"DOSAR COMPLET",Control_Achizitii!$K599&lt;&gt;"")),ROW(),1000000000)</f>
        <v>1000000000</v>
      </c>
      <c r="X599" s="27">
        <f>IF(AND(V599=1,LEFT(Control_Achizitii!$E599,4)="Fact",NOT(ISNUMBER(Control_Achizitii!$P599))),1,0)</f>
        <v>0</v>
      </c>
      <c r="Y599" s="27">
        <f>IF(V599=0,0,IF(Control_Achizitii!$J599="DOSAR COMPLET",1,IF(LEFT(Control_Achizitii!$J599,9)="INCOMPLET",2,3)))</f>
        <v>0</v>
      </c>
      <c r="Z599" s="27"/>
      <c r="AA599" s="27"/>
      <c r="AB599" s="27"/>
      <c r="AC599" s="27"/>
      <c r="AD599" s="27"/>
      <c r="AE599" s="27"/>
      <c r="AF599" s="27"/>
      <c r="AG599" s="27"/>
      <c r="AH599" s="27">
        <f>IF(AND(V599=1,Control_Achizitii!$J599="DOSAR COMPLET",Control_Achizitii!$K599&lt;&gt;""),1,0)</f>
        <v>0</v>
      </c>
    </row>
    <row r="600" spans="1:34">
      <c r="A600" s="27"/>
      <c r="B600" s="27"/>
      <c r="C600" s="27"/>
      <c r="D600" s="27"/>
      <c r="E600" s="27"/>
      <c r="F600" s="27"/>
      <c r="G600" s="27"/>
      <c r="H600" s="27"/>
      <c r="I600" s="27"/>
      <c r="J600" s="27"/>
      <c r="K600" s="27"/>
      <c r="L600" s="27"/>
      <c r="M600" s="27"/>
      <c r="N600" s="27"/>
      <c r="O600" s="27"/>
      <c r="P600" s="27"/>
      <c r="Q600" s="27"/>
      <c r="R600" s="27"/>
      <c r="S600" s="27"/>
      <c r="T600" s="27">
        <f>IF(LEFT(Control_Achizitii!$E600,4)="Fact",1,0)</f>
        <v>0</v>
      </c>
      <c r="U600" s="27">
        <f>IF(Control_Achizitii!$C600="",0,IF(ISNUMBER(Control_Achizitii!$B600),0,1))</f>
        <v>0</v>
      </c>
      <c r="V600" s="27">
        <f>IF(Control_Achizitii!$C600="",0,IF($Z$2&lt;&gt;"OK",0,IF(AND(ISNUMBER(Control_Achizitii!$B600),Control_Achizitii!$B600&gt;=$E$5,Control_Achizitii!$B600&lt;$J$5+1,OR($O$5="Toate proiectele",Control_Achizitii!$Q600=$O$5)),1,0)))</f>
        <v>0</v>
      </c>
      <c r="W600" s="27">
        <f>IF(AND(V600=1,OR(Control_Achizitii!$J600&lt;&gt;"DOSAR COMPLET",Control_Achizitii!$K600&lt;&gt;"")),ROW(),1000000000)</f>
        <v>1000000000</v>
      </c>
      <c r="X600" s="27">
        <f>IF(AND(V600=1,LEFT(Control_Achizitii!$E600,4)="Fact",NOT(ISNUMBER(Control_Achizitii!$P600))),1,0)</f>
        <v>0</v>
      </c>
      <c r="Y600" s="27">
        <f>IF(V600=0,0,IF(Control_Achizitii!$J600="DOSAR COMPLET",1,IF(LEFT(Control_Achizitii!$J600,9)="INCOMPLET",2,3)))</f>
        <v>0</v>
      </c>
      <c r="Z600" s="27"/>
      <c r="AA600" s="27"/>
      <c r="AB600" s="27"/>
      <c r="AC600" s="27"/>
      <c r="AD600" s="27"/>
      <c r="AE600" s="27"/>
      <c r="AF600" s="27"/>
      <c r="AG600" s="27"/>
      <c r="AH600" s="27">
        <f>IF(AND(V600=1,Control_Achizitii!$J600="DOSAR COMPLET",Control_Achizitii!$K600&lt;&gt;""),1,0)</f>
        <v>0</v>
      </c>
    </row>
    <row r="601" spans="1:34">
      <c r="A601" s="27"/>
      <c r="B601" s="27"/>
      <c r="C601" s="27"/>
      <c r="D601" s="27"/>
      <c r="E601" s="27"/>
      <c r="F601" s="27"/>
      <c r="G601" s="27"/>
      <c r="H601" s="27"/>
      <c r="I601" s="27"/>
      <c r="J601" s="27"/>
      <c r="K601" s="27"/>
      <c r="L601" s="27"/>
      <c r="M601" s="27"/>
      <c r="N601" s="27"/>
      <c r="O601" s="27"/>
      <c r="P601" s="27"/>
      <c r="Q601" s="27"/>
      <c r="R601" s="27"/>
      <c r="S601" s="27"/>
      <c r="T601" s="27">
        <f>IF(LEFT(Control_Achizitii!$E601,4)="Fact",1,0)</f>
        <v>0</v>
      </c>
      <c r="U601" s="27">
        <f>IF(Control_Achizitii!$C601="",0,IF(ISNUMBER(Control_Achizitii!$B601),0,1))</f>
        <v>0</v>
      </c>
      <c r="V601" s="27">
        <f>IF(Control_Achizitii!$C601="",0,IF($Z$2&lt;&gt;"OK",0,IF(AND(ISNUMBER(Control_Achizitii!$B601),Control_Achizitii!$B601&gt;=$E$5,Control_Achizitii!$B601&lt;$J$5+1,OR($O$5="Toate proiectele",Control_Achizitii!$Q601=$O$5)),1,0)))</f>
        <v>0</v>
      </c>
      <c r="W601" s="27">
        <f>IF(AND(V601=1,OR(Control_Achizitii!$J601&lt;&gt;"DOSAR COMPLET",Control_Achizitii!$K601&lt;&gt;"")),ROW(),1000000000)</f>
        <v>1000000000</v>
      </c>
      <c r="X601" s="27">
        <f>IF(AND(V601=1,LEFT(Control_Achizitii!$E601,4)="Fact",NOT(ISNUMBER(Control_Achizitii!$P601))),1,0)</f>
        <v>0</v>
      </c>
      <c r="Y601" s="27">
        <f>IF(V601=0,0,IF(Control_Achizitii!$J601="DOSAR COMPLET",1,IF(LEFT(Control_Achizitii!$J601,9)="INCOMPLET",2,3)))</f>
        <v>0</v>
      </c>
      <c r="Z601" s="27"/>
      <c r="AA601" s="27"/>
      <c r="AB601" s="27"/>
      <c r="AC601" s="27"/>
      <c r="AD601" s="27"/>
      <c r="AE601" s="27"/>
      <c r="AF601" s="27"/>
      <c r="AG601" s="27"/>
      <c r="AH601" s="27">
        <f>IF(AND(V601=1,Control_Achizitii!$J601="DOSAR COMPLET",Control_Achizitii!$K601&lt;&gt;""),1,0)</f>
        <v>0</v>
      </c>
    </row>
    <row r="602" spans="1:34">
      <c r="A602" s="27"/>
      <c r="B602" s="27"/>
      <c r="C602" s="27"/>
      <c r="D602" s="27"/>
      <c r="E602" s="27"/>
      <c r="F602" s="27"/>
      <c r="G602" s="27"/>
      <c r="H602" s="27"/>
      <c r="I602" s="27"/>
      <c r="J602" s="27"/>
      <c r="K602" s="27"/>
      <c r="L602" s="27"/>
      <c r="M602" s="27"/>
      <c r="N602" s="27"/>
      <c r="O602" s="27"/>
      <c r="P602" s="27"/>
      <c r="Q602" s="27"/>
      <c r="R602" s="27"/>
      <c r="S602" s="27"/>
      <c r="T602" s="27">
        <f>IF(LEFT(Control_Achizitii!$E602,4)="Fact",1,0)</f>
        <v>0</v>
      </c>
      <c r="U602" s="27">
        <f>IF(Control_Achizitii!$C602="",0,IF(ISNUMBER(Control_Achizitii!$B602),0,1))</f>
        <v>0</v>
      </c>
      <c r="V602" s="27">
        <f>IF(Control_Achizitii!$C602="",0,IF($Z$2&lt;&gt;"OK",0,IF(AND(ISNUMBER(Control_Achizitii!$B602),Control_Achizitii!$B602&gt;=$E$5,Control_Achizitii!$B602&lt;$J$5+1,OR($O$5="Toate proiectele",Control_Achizitii!$Q602=$O$5)),1,0)))</f>
        <v>0</v>
      </c>
      <c r="W602" s="27">
        <f>IF(AND(V602=1,OR(Control_Achizitii!$J602&lt;&gt;"DOSAR COMPLET",Control_Achizitii!$K602&lt;&gt;"")),ROW(),1000000000)</f>
        <v>1000000000</v>
      </c>
      <c r="X602" s="27">
        <f>IF(AND(V602=1,LEFT(Control_Achizitii!$E602,4)="Fact",NOT(ISNUMBER(Control_Achizitii!$P602))),1,0)</f>
        <v>0</v>
      </c>
      <c r="Y602" s="27">
        <f>IF(V602=0,0,IF(Control_Achizitii!$J602="DOSAR COMPLET",1,IF(LEFT(Control_Achizitii!$J602,9)="INCOMPLET",2,3)))</f>
        <v>0</v>
      </c>
      <c r="Z602" s="27"/>
      <c r="AA602" s="27"/>
      <c r="AB602" s="27"/>
      <c r="AC602" s="27"/>
      <c r="AD602" s="27"/>
      <c r="AE602" s="27"/>
      <c r="AF602" s="27"/>
      <c r="AG602" s="27"/>
      <c r="AH602" s="27">
        <f>IF(AND(V602=1,Control_Achizitii!$J602="DOSAR COMPLET",Control_Achizitii!$K602&lt;&gt;""),1,0)</f>
        <v>0</v>
      </c>
    </row>
    <row r="603" spans="1:34">
      <c r="A603" s="27"/>
      <c r="B603" s="27"/>
      <c r="C603" s="27"/>
      <c r="D603" s="27"/>
      <c r="E603" s="27"/>
      <c r="F603" s="27"/>
      <c r="G603" s="27"/>
      <c r="H603" s="27"/>
      <c r="I603" s="27"/>
      <c r="J603" s="27"/>
      <c r="K603" s="27"/>
      <c r="L603" s="27"/>
      <c r="M603" s="27"/>
      <c r="N603" s="27"/>
      <c r="O603" s="27"/>
      <c r="P603" s="27"/>
      <c r="Q603" s="27"/>
      <c r="R603" s="27"/>
      <c r="S603" s="27"/>
      <c r="T603" s="27">
        <f>IF(LEFT(Control_Achizitii!$E603,4)="Fact",1,0)</f>
        <v>0</v>
      </c>
      <c r="U603" s="27">
        <f>IF(Control_Achizitii!$C603="",0,IF(ISNUMBER(Control_Achizitii!$B603),0,1))</f>
        <v>0</v>
      </c>
      <c r="V603" s="27">
        <f>IF(Control_Achizitii!$C603="",0,IF($Z$2&lt;&gt;"OK",0,IF(AND(ISNUMBER(Control_Achizitii!$B603),Control_Achizitii!$B603&gt;=$E$5,Control_Achizitii!$B603&lt;$J$5+1,OR($O$5="Toate proiectele",Control_Achizitii!$Q603=$O$5)),1,0)))</f>
        <v>0</v>
      </c>
      <c r="W603" s="27">
        <f>IF(AND(V603=1,OR(Control_Achizitii!$J603&lt;&gt;"DOSAR COMPLET",Control_Achizitii!$K603&lt;&gt;"")),ROW(),1000000000)</f>
        <v>1000000000</v>
      </c>
      <c r="X603" s="27">
        <f>IF(AND(V603=1,LEFT(Control_Achizitii!$E603,4)="Fact",NOT(ISNUMBER(Control_Achizitii!$P603))),1,0)</f>
        <v>0</v>
      </c>
      <c r="Y603" s="27">
        <f>IF(V603=0,0,IF(Control_Achizitii!$J603="DOSAR COMPLET",1,IF(LEFT(Control_Achizitii!$J603,9)="INCOMPLET",2,3)))</f>
        <v>0</v>
      </c>
      <c r="Z603" s="27"/>
      <c r="AA603" s="27"/>
      <c r="AB603" s="27"/>
      <c r="AC603" s="27"/>
      <c r="AD603" s="27"/>
      <c r="AE603" s="27"/>
      <c r="AF603" s="27"/>
      <c r="AG603" s="27"/>
      <c r="AH603" s="27">
        <f>IF(AND(V603=1,Control_Achizitii!$J603="DOSAR COMPLET",Control_Achizitii!$K603&lt;&gt;""),1,0)</f>
        <v>0</v>
      </c>
    </row>
    <row r="604" spans="1:34">
      <c r="A604" s="27"/>
      <c r="B604" s="27"/>
      <c r="C604" s="27"/>
      <c r="D604" s="27"/>
      <c r="E604" s="27"/>
      <c r="F604" s="27"/>
      <c r="G604" s="27"/>
      <c r="H604" s="27"/>
      <c r="I604" s="27"/>
      <c r="J604" s="27"/>
      <c r="K604" s="27"/>
      <c r="L604" s="27"/>
      <c r="M604" s="27"/>
      <c r="N604" s="27"/>
      <c r="O604" s="27"/>
      <c r="P604" s="27"/>
      <c r="Q604" s="27"/>
      <c r="R604" s="27"/>
      <c r="S604" s="27"/>
      <c r="T604" s="27">
        <f>IF(LEFT(Control_Achizitii!$E604,4)="Fact",1,0)</f>
        <v>0</v>
      </c>
      <c r="U604" s="27">
        <f>IF(Control_Achizitii!$C604="",0,IF(ISNUMBER(Control_Achizitii!$B604),0,1))</f>
        <v>0</v>
      </c>
      <c r="V604" s="27">
        <f>IF(Control_Achizitii!$C604="",0,IF($Z$2&lt;&gt;"OK",0,IF(AND(ISNUMBER(Control_Achizitii!$B604),Control_Achizitii!$B604&gt;=$E$5,Control_Achizitii!$B604&lt;$J$5+1,OR($O$5="Toate proiectele",Control_Achizitii!$Q604=$O$5)),1,0)))</f>
        <v>0</v>
      </c>
      <c r="W604" s="27">
        <f>IF(AND(V604=1,OR(Control_Achizitii!$J604&lt;&gt;"DOSAR COMPLET",Control_Achizitii!$K604&lt;&gt;"")),ROW(),1000000000)</f>
        <v>1000000000</v>
      </c>
      <c r="X604" s="27">
        <f>IF(AND(V604=1,LEFT(Control_Achizitii!$E604,4)="Fact",NOT(ISNUMBER(Control_Achizitii!$P604))),1,0)</f>
        <v>0</v>
      </c>
      <c r="Y604" s="27">
        <f>IF(V604=0,0,IF(Control_Achizitii!$J604="DOSAR COMPLET",1,IF(LEFT(Control_Achizitii!$J604,9)="INCOMPLET",2,3)))</f>
        <v>0</v>
      </c>
      <c r="Z604" s="27"/>
      <c r="AA604" s="27"/>
      <c r="AB604" s="27"/>
      <c r="AC604" s="27"/>
      <c r="AD604" s="27"/>
      <c r="AE604" s="27"/>
      <c r="AF604" s="27"/>
      <c r="AG604" s="27"/>
      <c r="AH604" s="27">
        <f>IF(AND(V604=1,Control_Achizitii!$J604="DOSAR COMPLET",Control_Achizitii!$K604&lt;&gt;""),1,0)</f>
        <v>0</v>
      </c>
    </row>
    <row r="605" spans="1:34">
      <c r="A605" s="27"/>
      <c r="B605" s="27"/>
      <c r="C605" s="27"/>
      <c r="D605" s="27"/>
      <c r="E605" s="27"/>
      <c r="F605" s="27"/>
      <c r="G605" s="27"/>
      <c r="H605" s="27"/>
      <c r="I605" s="27"/>
      <c r="J605" s="27"/>
      <c r="K605" s="27"/>
      <c r="L605" s="27"/>
      <c r="M605" s="27"/>
      <c r="N605" s="27"/>
      <c r="O605" s="27"/>
      <c r="P605" s="27"/>
      <c r="Q605" s="27"/>
      <c r="R605" s="27"/>
      <c r="S605" s="27"/>
      <c r="T605" s="27">
        <f>IF(LEFT(Control_Achizitii!$E605,4)="Fact",1,0)</f>
        <v>0</v>
      </c>
      <c r="U605" s="27">
        <f>IF(Control_Achizitii!$C605="",0,IF(ISNUMBER(Control_Achizitii!$B605),0,1))</f>
        <v>0</v>
      </c>
      <c r="V605" s="27">
        <f>IF(Control_Achizitii!$C605="",0,IF($Z$2&lt;&gt;"OK",0,IF(AND(ISNUMBER(Control_Achizitii!$B605),Control_Achizitii!$B605&gt;=$E$5,Control_Achizitii!$B605&lt;$J$5+1,OR($O$5="Toate proiectele",Control_Achizitii!$Q605=$O$5)),1,0)))</f>
        <v>0</v>
      </c>
      <c r="W605" s="27">
        <f>IF(AND(V605=1,OR(Control_Achizitii!$J605&lt;&gt;"DOSAR COMPLET",Control_Achizitii!$K605&lt;&gt;"")),ROW(),1000000000)</f>
        <v>1000000000</v>
      </c>
      <c r="X605" s="27">
        <f>IF(AND(V605=1,LEFT(Control_Achizitii!$E605,4)="Fact",NOT(ISNUMBER(Control_Achizitii!$P605))),1,0)</f>
        <v>0</v>
      </c>
      <c r="Y605" s="27">
        <f>IF(V605=0,0,IF(Control_Achizitii!$J605="DOSAR COMPLET",1,IF(LEFT(Control_Achizitii!$J605,9)="INCOMPLET",2,3)))</f>
        <v>0</v>
      </c>
      <c r="Z605" s="27"/>
      <c r="AA605" s="27"/>
      <c r="AB605" s="27"/>
      <c r="AC605" s="27"/>
      <c r="AD605" s="27"/>
      <c r="AE605" s="27"/>
      <c r="AF605" s="27"/>
      <c r="AG605" s="27"/>
      <c r="AH605" s="27">
        <f>IF(AND(V605=1,Control_Achizitii!$J605="DOSAR COMPLET",Control_Achizitii!$K605&lt;&gt;""),1,0)</f>
        <v>0</v>
      </c>
    </row>
    <row r="606" spans="1:34">
      <c r="A606" s="27"/>
      <c r="B606" s="27"/>
      <c r="C606" s="27"/>
      <c r="D606" s="27"/>
      <c r="E606" s="27"/>
      <c r="F606" s="27"/>
      <c r="G606" s="27"/>
      <c r="H606" s="27"/>
      <c r="I606" s="27"/>
      <c r="J606" s="27"/>
      <c r="K606" s="27"/>
      <c r="L606" s="27"/>
      <c r="M606" s="27"/>
      <c r="N606" s="27"/>
      <c r="O606" s="27"/>
      <c r="P606" s="27"/>
      <c r="Q606" s="27"/>
      <c r="R606" s="27"/>
      <c r="S606" s="27"/>
      <c r="T606" s="27">
        <f>IF(LEFT(Control_Achizitii!$E606,4)="Fact",1,0)</f>
        <v>0</v>
      </c>
      <c r="U606" s="27">
        <f>IF(Control_Achizitii!$C606="",0,IF(ISNUMBER(Control_Achizitii!$B606),0,1))</f>
        <v>0</v>
      </c>
      <c r="V606" s="27">
        <f>IF(Control_Achizitii!$C606="",0,IF($Z$2&lt;&gt;"OK",0,IF(AND(ISNUMBER(Control_Achizitii!$B606),Control_Achizitii!$B606&gt;=$E$5,Control_Achizitii!$B606&lt;$J$5+1,OR($O$5="Toate proiectele",Control_Achizitii!$Q606=$O$5)),1,0)))</f>
        <v>0</v>
      </c>
      <c r="W606" s="27">
        <f>IF(AND(V606=1,OR(Control_Achizitii!$J606&lt;&gt;"DOSAR COMPLET",Control_Achizitii!$K606&lt;&gt;"")),ROW(),1000000000)</f>
        <v>1000000000</v>
      </c>
      <c r="X606" s="27">
        <f>IF(AND(V606=1,LEFT(Control_Achizitii!$E606,4)="Fact",NOT(ISNUMBER(Control_Achizitii!$P606))),1,0)</f>
        <v>0</v>
      </c>
      <c r="Y606" s="27">
        <f>IF(V606=0,0,IF(Control_Achizitii!$J606="DOSAR COMPLET",1,IF(LEFT(Control_Achizitii!$J606,9)="INCOMPLET",2,3)))</f>
        <v>0</v>
      </c>
      <c r="Z606" s="27"/>
      <c r="AA606" s="27"/>
      <c r="AB606" s="27"/>
      <c r="AC606" s="27"/>
      <c r="AD606" s="27"/>
      <c r="AE606" s="27"/>
      <c r="AF606" s="27"/>
      <c r="AG606" s="27"/>
      <c r="AH606" s="27">
        <f>IF(AND(V606=1,Control_Achizitii!$J606="DOSAR COMPLET",Control_Achizitii!$K606&lt;&gt;""),1,0)</f>
        <v>0</v>
      </c>
    </row>
    <row r="607" spans="1:34">
      <c r="A607" s="27"/>
      <c r="B607" s="27"/>
      <c r="C607" s="27"/>
      <c r="D607" s="27"/>
      <c r="E607" s="27"/>
      <c r="F607" s="27"/>
      <c r="G607" s="27"/>
      <c r="H607" s="27"/>
      <c r="I607" s="27"/>
      <c r="J607" s="27"/>
      <c r="K607" s="27"/>
      <c r="L607" s="27"/>
      <c r="M607" s="27"/>
      <c r="N607" s="27"/>
      <c r="O607" s="27"/>
      <c r="P607" s="27"/>
      <c r="Q607" s="27"/>
      <c r="R607" s="27"/>
      <c r="S607" s="27"/>
      <c r="T607" s="27">
        <f>IF(LEFT(Control_Achizitii!$E607,4)="Fact",1,0)</f>
        <v>0</v>
      </c>
      <c r="U607" s="27">
        <f>IF(Control_Achizitii!$C607="",0,IF(ISNUMBER(Control_Achizitii!$B607),0,1))</f>
        <v>0</v>
      </c>
      <c r="V607" s="27">
        <f>IF(Control_Achizitii!$C607="",0,IF($Z$2&lt;&gt;"OK",0,IF(AND(ISNUMBER(Control_Achizitii!$B607),Control_Achizitii!$B607&gt;=$E$5,Control_Achizitii!$B607&lt;$J$5+1,OR($O$5="Toate proiectele",Control_Achizitii!$Q607=$O$5)),1,0)))</f>
        <v>0</v>
      </c>
      <c r="W607" s="27">
        <f>IF(AND(V607=1,OR(Control_Achizitii!$J607&lt;&gt;"DOSAR COMPLET",Control_Achizitii!$K607&lt;&gt;"")),ROW(),1000000000)</f>
        <v>1000000000</v>
      </c>
      <c r="X607" s="27">
        <f>IF(AND(V607=1,LEFT(Control_Achizitii!$E607,4)="Fact",NOT(ISNUMBER(Control_Achizitii!$P607))),1,0)</f>
        <v>0</v>
      </c>
      <c r="Y607" s="27">
        <f>IF(V607=0,0,IF(Control_Achizitii!$J607="DOSAR COMPLET",1,IF(LEFT(Control_Achizitii!$J607,9)="INCOMPLET",2,3)))</f>
        <v>0</v>
      </c>
      <c r="Z607" s="27"/>
      <c r="AA607" s="27"/>
      <c r="AB607" s="27"/>
      <c r="AC607" s="27"/>
      <c r="AD607" s="27"/>
      <c r="AE607" s="27"/>
      <c r="AF607" s="27"/>
      <c r="AG607" s="27"/>
      <c r="AH607" s="27">
        <f>IF(AND(V607=1,Control_Achizitii!$J607="DOSAR COMPLET",Control_Achizitii!$K607&lt;&gt;""),1,0)</f>
        <v>0</v>
      </c>
    </row>
    <row r="608" spans="1:34">
      <c r="A608" s="27"/>
      <c r="B608" s="27"/>
      <c r="C608" s="27"/>
      <c r="D608" s="27"/>
      <c r="E608" s="27"/>
      <c r="F608" s="27"/>
      <c r="G608" s="27"/>
      <c r="H608" s="27"/>
      <c r="I608" s="27"/>
      <c r="J608" s="27"/>
      <c r="K608" s="27"/>
      <c r="L608" s="27"/>
      <c r="M608" s="27"/>
      <c r="N608" s="27"/>
      <c r="O608" s="27"/>
      <c r="P608" s="27"/>
      <c r="Q608" s="27"/>
      <c r="R608" s="27"/>
      <c r="S608" s="27"/>
      <c r="T608" s="27">
        <f>IF(LEFT(Control_Achizitii!$E608,4)="Fact",1,0)</f>
        <v>0</v>
      </c>
      <c r="U608" s="27">
        <f>IF(Control_Achizitii!$C608="",0,IF(ISNUMBER(Control_Achizitii!$B608),0,1))</f>
        <v>0</v>
      </c>
      <c r="V608" s="27">
        <f>IF(Control_Achizitii!$C608="",0,IF($Z$2&lt;&gt;"OK",0,IF(AND(ISNUMBER(Control_Achizitii!$B608),Control_Achizitii!$B608&gt;=$E$5,Control_Achizitii!$B608&lt;$J$5+1,OR($O$5="Toate proiectele",Control_Achizitii!$Q608=$O$5)),1,0)))</f>
        <v>0</v>
      </c>
      <c r="W608" s="27">
        <f>IF(AND(V608=1,OR(Control_Achizitii!$J608&lt;&gt;"DOSAR COMPLET",Control_Achizitii!$K608&lt;&gt;"")),ROW(),1000000000)</f>
        <v>1000000000</v>
      </c>
      <c r="X608" s="27">
        <f>IF(AND(V608=1,LEFT(Control_Achizitii!$E608,4)="Fact",NOT(ISNUMBER(Control_Achizitii!$P608))),1,0)</f>
        <v>0</v>
      </c>
      <c r="Y608" s="27">
        <f>IF(V608=0,0,IF(Control_Achizitii!$J608="DOSAR COMPLET",1,IF(LEFT(Control_Achizitii!$J608,9)="INCOMPLET",2,3)))</f>
        <v>0</v>
      </c>
      <c r="Z608" s="27"/>
      <c r="AA608" s="27"/>
      <c r="AB608" s="27"/>
      <c r="AC608" s="27"/>
      <c r="AD608" s="27"/>
      <c r="AE608" s="27"/>
      <c r="AF608" s="27"/>
      <c r="AG608" s="27"/>
      <c r="AH608" s="27">
        <f>IF(AND(V608=1,Control_Achizitii!$J608="DOSAR COMPLET",Control_Achizitii!$K608&lt;&gt;""),1,0)</f>
        <v>0</v>
      </c>
    </row>
    <row r="609" spans="1:34">
      <c r="A609" s="27"/>
      <c r="B609" s="27"/>
      <c r="C609" s="27"/>
      <c r="D609" s="27"/>
      <c r="E609" s="27"/>
      <c r="F609" s="27"/>
      <c r="G609" s="27"/>
      <c r="H609" s="27"/>
      <c r="I609" s="27"/>
      <c r="J609" s="27"/>
      <c r="K609" s="27"/>
      <c r="L609" s="27"/>
      <c r="M609" s="27"/>
      <c r="N609" s="27"/>
      <c r="O609" s="27"/>
      <c r="P609" s="27"/>
      <c r="Q609" s="27"/>
      <c r="R609" s="27"/>
      <c r="S609" s="27"/>
      <c r="T609" s="27">
        <f>IF(LEFT(Control_Achizitii!$E609,4)="Fact",1,0)</f>
        <v>0</v>
      </c>
      <c r="U609" s="27">
        <f>IF(Control_Achizitii!$C609="",0,IF(ISNUMBER(Control_Achizitii!$B609),0,1))</f>
        <v>0</v>
      </c>
      <c r="V609" s="27">
        <f>IF(Control_Achizitii!$C609="",0,IF($Z$2&lt;&gt;"OK",0,IF(AND(ISNUMBER(Control_Achizitii!$B609),Control_Achizitii!$B609&gt;=$E$5,Control_Achizitii!$B609&lt;$J$5+1,OR($O$5="Toate proiectele",Control_Achizitii!$Q609=$O$5)),1,0)))</f>
        <v>0</v>
      </c>
      <c r="W609" s="27">
        <f>IF(AND(V609=1,OR(Control_Achizitii!$J609&lt;&gt;"DOSAR COMPLET",Control_Achizitii!$K609&lt;&gt;"")),ROW(),1000000000)</f>
        <v>1000000000</v>
      </c>
      <c r="X609" s="27">
        <f>IF(AND(V609=1,LEFT(Control_Achizitii!$E609,4)="Fact",NOT(ISNUMBER(Control_Achizitii!$P609))),1,0)</f>
        <v>0</v>
      </c>
      <c r="Y609" s="27">
        <f>IF(V609=0,0,IF(Control_Achizitii!$J609="DOSAR COMPLET",1,IF(LEFT(Control_Achizitii!$J609,9)="INCOMPLET",2,3)))</f>
        <v>0</v>
      </c>
      <c r="Z609" s="27"/>
      <c r="AA609" s="27"/>
      <c r="AB609" s="27"/>
      <c r="AC609" s="27"/>
      <c r="AD609" s="27"/>
      <c r="AE609" s="27"/>
      <c r="AF609" s="27"/>
      <c r="AG609" s="27"/>
      <c r="AH609" s="27">
        <f>IF(AND(V609=1,Control_Achizitii!$J609="DOSAR COMPLET",Control_Achizitii!$K609&lt;&gt;""),1,0)</f>
        <v>0</v>
      </c>
    </row>
    <row r="610" spans="1:34">
      <c r="A610" s="27"/>
      <c r="B610" s="27"/>
      <c r="C610" s="27"/>
      <c r="D610" s="27"/>
      <c r="E610" s="27"/>
      <c r="F610" s="27"/>
      <c r="G610" s="27"/>
      <c r="H610" s="27"/>
      <c r="I610" s="27"/>
      <c r="J610" s="27"/>
      <c r="K610" s="27"/>
      <c r="L610" s="27"/>
      <c r="M610" s="27"/>
      <c r="N610" s="27"/>
      <c r="O610" s="27"/>
      <c r="P610" s="27"/>
      <c r="Q610" s="27"/>
      <c r="R610" s="27"/>
      <c r="S610" s="27"/>
      <c r="T610" s="27">
        <f>IF(LEFT(Control_Achizitii!$E610,4)="Fact",1,0)</f>
        <v>0</v>
      </c>
      <c r="U610" s="27">
        <f>IF(Control_Achizitii!$C610="",0,IF(ISNUMBER(Control_Achizitii!$B610),0,1))</f>
        <v>0</v>
      </c>
      <c r="V610" s="27">
        <f>IF(Control_Achizitii!$C610="",0,IF($Z$2&lt;&gt;"OK",0,IF(AND(ISNUMBER(Control_Achizitii!$B610),Control_Achizitii!$B610&gt;=$E$5,Control_Achizitii!$B610&lt;$J$5+1,OR($O$5="Toate proiectele",Control_Achizitii!$Q610=$O$5)),1,0)))</f>
        <v>0</v>
      </c>
      <c r="W610" s="27">
        <f>IF(AND(V610=1,OR(Control_Achizitii!$J610&lt;&gt;"DOSAR COMPLET",Control_Achizitii!$K610&lt;&gt;"")),ROW(),1000000000)</f>
        <v>1000000000</v>
      </c>
      <c r="X610" s="27">
        <f>IF(AND(V610=1,LEFT(Control_Achizitii!$E610,4)="Fact",NOT(ISNUMBER(Control_Achizitii!$P610))),1,0)</f>
        <v>0</v>
      </c>
      <c r="Y610" s="27">
        <f>IF(V610=0,0,IF(Control_Achizitii!$J610="DOSAR COMPLET",1,IF(LEFT(Control_Achizitii!$J610,9)="INCOMPLET",2,3)))</f>
        <v>0</v>
      </c>
      <c r="Z610" s="27"/>
      <c r="AA610" s="27"/>
      <c r="AB610" s="27"/>
      <c r="AC610" s="27"/>
      <c r="AD610" s="27"/>
      <c r="AE610" s="27"/>
      <c r="AF610" s="27"/>
      <c r="AG610" s="27"/>
      <c r="AH610" s="27">
        <f>IF(AND(V610=1,Control_Achizitii!$J610="DOSAR COMPLET",Control_Achizitii!$K610&lt;&gt;""),1,0)</f>
        <v>0</v>
      </c>
    </row>
    <row r="611" spans="1:34">
      <c r="A611" s="27"/>
      <c r="B611" s="27"/>
      <c r="C611" s="27"/>
      <c r="D611" s="27"/>
      <c r="E611" s="27"/>
      <c r="F611" s="27"/>
      <c r="G611" s="27"/>
      <c r="H611" s="27"/>
      <c r="I611" s="27"/>
      <c r="J611" s="27"/>
      <c r="K611" s="27"/>
      <c r="L611" s="27"/>
      <c r="M611" s="27"/>
      <c r="N611" s="27"/>
      <c r="O611" s="27"/>
      <c r="P611" s="27"/>
      <c r="Q611" s="27"/>
      <c r="R611" s="27"/>
      <c r="S611" s="27"/>
      <c r="T611" s="27">
        <f>IF(LEFT(Control_Achizitii!$E611,4)="Fact",1,0)</f>
        <v>0</v>
      </c>
      <c r="U611" s="27">
        <f>IF(Control_Achizitii!$C611="",0,IF(ISNUMBER(Control_Achizitii!$B611),0,1))</f>
        <v>0</v>
      </c>
      <c r="V611" s="27">
        <f>IF(Control_Achizitii!$C611="",0,IF($Z$2&lt;&gt;"OK",0,IF(AND(ISNUMBER(Control_Achizitii!$B611),Control_Achizitii!$B611&gt;=$E$5,Control_Achizitii!$B611&lt;$J$5+1,OR($O$5="Toate proiectele",Control_Achizitii!$Q611=$O$5)),1,0)))</f>
        <v>0</v>
      </c>
      <c r="W611" s="27">
        <f>IF(AND(V611=1,OR(Control_Achizitii!$J611&lt;&gt;"DOSAR COMPLET",Control_Achizitii!$K611&lt;&gt;"")),ROW(),1000000000)</f>
        <v>1000000000</v>
      </c>
      <c r="X611" s="27">
        <f>IF(AND(V611=1,LEFT(Control_Achizitii!$E611,4)="Fact",NOT(ISNUMBER(Control_Achizitii!$P611))),1,0)</f>
        <v>0</v>
      </c>
      <c r="Y611" s="27">
        <f>IF(V611=0,0,IF(Control_Achizitii!$J611="DOSAR COMPLET",1,IF(LEFT(Control_Achizitii!$J611,9)="INCOMPLET",2,3)))</f>
        <v>0</v>
      </c>
      <c r="Z611" s="27"/>
      <c r="AA611" s="27"/>
      <c r="AB611" s="27"/>
      <c r="AC611" s="27"/>
      <c r="AD611" s="27"/>
      <c r="AE611" s="27"/>
      <c r="AF611" s="27"/>
      <c r="AG611" s="27"/>
      <c r="AH611" s="27">
        <f>IF(AND(V611=1,Control_Achizitii!$J611="DOSAR COMPLET",Control_Achizitii!$K611&lt;&gt;""),1,0)</f>
        <v>0</v>
      </c>
    </row>
    <row r="612" spans="1:34">
      <c r="A612" s="27"/>
      <c r="B612" s="27"/>
      <c r="C612" s="27"/>
      <c r="D612" s="27"/>
      <c r="E612" s="27"/>
      <c r="F612" s="27"/>
      <c r="G612" s="27"/>
      <c r="H612" s="27"/>
      <c r="I612" s="27"/>
      <c r="J612" s="27"/>
      <c r="K612" s="27"/>
      <c r="L612" s="27"/>
      <c r="M612" s="27"/>
      <c r="N612" s="27"/>
      <c r="O612" s="27"/>
      <c r="P612" s="27"/>
      <c r="Q612" s="27"/>
      <c r="R612" s="27"/>
      <c r="S612" s="27"/>
      <c r="T612" s="27">
        <f>IF(LEFT(Control_Achizitii!$E612,4)="Fact",1,0)</f>
        <v>0</v>
      </c>
      <c r="U612" s="27">
        <f>IF(Control_Achizitii!$C612="",0,IF(ISNUMBER(Control_Achizitii!$B612),0,1))</f>
        <v>0</v>
      </c>
      <c r="V612" s="27">
        <f>IF(Control_Achizitii!$C612="",0,IF($Z$2&lt;&gt;"OK",0,IF(AND(ISNUMBER(Control_Achizitii!$B612),Control_Achizitii!$B612&gt;=$E$5,Control_Achizitii!$B612&lt;$J$5+1,OR($O$5="Toate proiectele",Control_Achizitii!$Q612=$O$5)),1,0)))</f>
        <v>0</v>
      </c>
      <c r="W612" s="27">
        <f>IF(AND(V612=1,OR(Control_Achizitii!$J612&lt;&gt;"DOSAR COMPLET",Control_Achizitii!$K612&lt;&gt;"")),ROW(),1000000000)</f>
        <v>1000000000</v>
      </c>
      <c r="X612" s="27">
        <f>IF(AND(V612=1,LEFT(Control_Achizitii!$E612,4)="Fact",NOT(ISNUMBER(Control_Achizitii!$P612))),1,0)</f>
        <v>0</v>
      </c>
      <c r="Y612" s="27">
        <f>IF(V612=0,0,IF(Control_Achizitii!$J612="DOSAR COMPLET",1,IF(LEFT(Control_Achizitii!$J612,9)="INCOMPLET",2,3)))</f>
        <v>0</v>
      </c>
      <c r="Z612" s="27"/>
      <c r="AA612" s="27"/>
      <c r="AB612" s="27"/>
      <c r="AC612" s="27"/>
      <c r="AD612" s="27"/>
      <c r="AE612" s="27"/>
      <c r="AF612" s="27"/>
      <c r="AG612" s="27"/>
      <c r="AH612" s="27">
        <f>IF(AND(V612=1,Control_Achizitii!$J612="DOSAR COMPLET",Control_Achizitii!$K612&lt;&gt;""),1,0)</f>
        <v>0</v>
      </c>
    </row>
    <row r="613" spans="1:34">
      <c r="A613" s="27"/>
      <c r="B613" s="27"/>
      <c r="C613" s="27"/>
      <c r="D613" s="27"/>
      <c r="E613" s="27"/>
      <c r="F613" s="27"/>
      <c r="G613" s="27"/>
      <c r="H613" s="27"/>
      <c r="I613" s="27"/>
      <c r="J613" s="27"/>
      <c r="K613" s="27"/>
      <c r="L613" s="27"/>
      <c r="M613" s="27"/>
      <c r="N613" s="27"/>
      <c r="O613" s="27"/>
      <c r="P613" s="27"/>
      <c r="Q613" s="27"/>
      <c r="R613" s="27"/>
      <c r="S613" s="27"/>
      <c r="T613" s="27">
        <f>IF(LEFT(Control_Achizitii!$E613,4)="Fact",1,0)</f>
        <v>0</v>
      </c>
      <c r="U613" s="27">
        <f>IF(Control_Achizitii!$C613="",0,IF(ISNUMBER(Control_Achizitii!$B613),0,1))</f>
        <v>0</v>
      </c>
      <c r="V613" s="27">
        <f>IF(Control_Achizitii!$C613="",0,IF($Z$2&lt;&gt;"OK",0,IF(AND(ISNUMBER(Control_Achizitii!$B613),Control_Achizitii!$B613&gt;=$E$5,Control_Achizitii!$B613&lt;$J$5+1,OR($O$5="Toate proiectele",Control_Achizitii!$Q613=$O$5)),1,0)))</f>
        <v>0</v>
      </c>
      <c r="W613" s="27">
        <f>IF(AND(V613=1,OR(Control_Achizitii!$J613&lt;&gt;"DOSAR COMPLET",Control_Achizitii!$K613&lt;&gt;"")),ROW(),1000000000)</f>
        <v>1000000000</v>
      </c>
      <c r="X613" s="27">
        <f>IF(AND(V613=1,LEFT(Control_Achizitii!$E613,4)="Fact",NOT(ISNUMBER(Control_Achizitii!$P613))),1,0)</f>
        <v>0</v>
      </c>
      <c r="Y613" s="27">
        <f>IF(V613=0,0,IF(Control_Achizitii!$J613="DOSAR COMPLET",1,IF(LEFT(Control_Achizitii!$J613,9)="INCOMPLET",2,3)))</f>
        <v>0</v>
      </c>
      <c r="Z613" s="27"/>
      <c r="AA613" s="27"/>
      <c r="AB613" s="27"/>
      <c r="AC613" s="27"/>
      <c r="AD613" s="27"/>
      <c r="AE613" s="27"/>
      <c r="AF613" s="27"/>
      <c r="AG613" s="27"/>
      <c r="AH613" s="27">
        <f>IF(AND(V613=1,Control_Achizitii!$J613="DOSAR COMPLET",Control_Achizitii!$K613&lt;&gt;""),1,0)</f>
        <v>0</v>
      </c>
    </row>
    <row r="614" spans="1:34">
      <c r="A614" s="27"/>
      <c r="B614" s="27"/>
      <c r="C614" s="27"/>
      <c r="D614" s="27"/>
      <c r="E614" s="27"/>
      <c r="F614" s="27"/>
      <c r="G614" s="27"/>
      <c r="H614" s="27"/>
      <c r="I614" s="27"/>
      <c r="J614" s="27"/>
      <c r="K614" s="27"/>
      <c r="L614" s="27"/>
      <c r="M614" s="27"/>
      <c r="N614" s="27"/>
      <c r="O614" s="27"/>
      <c r="P614" s="27"/>
      <c r="Q614" s="27"/>
      <c r="R614" s="27"/>
      <c r="S614" s="27"/>
      <c r="T614" s="27">
        <f>IF(LEFT(Control_Achizitii!$E614,4)="Fact",1,0)</f>
        <v>0</v>
      </c>
      <c r="U614" s="27">
        <f>IF(Control_Achizitii!$C614="",0,IF(ISNUMBER(Control_Achizitii!$B614),0,1))</f>
        <v>0</v>
      </c>
      <c r="V614" s="27">
        <f>IF(Control_Achizitii!$C614="",0,IF($Z$2&lt;&gt;"OK",0,IF(AND(ISNUMBER(Control_Achizitii!$B614),Control_Achizitii!$B614&gt;=$E$5,Control_Achizitii!$B614&lt;$J$5+1,OR($O$5="Toate proiectele",Control_Achizitii!$Q614=$O$5)),1,0)))</f>
        <v>0</v>
      </c>
      <c r="W614" s="27">
        <f>IF(AND(V614=1,OR(Control_Achizitii!$J614&lt;&gt;"DOSAR COMPLET",Control_Achizitii!$K614&lt;&gt;"")),ROW(),1000000000)</f>
        <v>1000000000</v>
      </c>
      <c r="X614" s="27">
        <f>IF(AND(V614=1,LEFT(Control_Achizitii!$E614,4)="Fact",NOT(ISNUMBER(Control_Achizitii!$P614))),1,0)</f>
        <v>0</v>
      </c>
      <c r="Y614" s="27">
        <f>IF(V614=0,0,IF(Control_Achizitii!$J614="DOSAR COMPLET",1,IF(LEFT(Control_Achizitii!$J614,9)="INCOMPLET",2,3)))</f>
        <v>0</v>
      </c>
      <c r="Z614" s="27"/>
      <c r="AA614" s="27"/>
      <c r="AB614" s="27"/>
      <c r="AC614" s="27"/>
      <c r="AD614" s="27"/>
      <c r="AE614" s="27"/>
      <c r="AF614" s="27"/>
      <c r="AG614" s="27"/>
      <c r="AH614" s="27">
        <f>IF(AND(V614=1,Control_Achizitii!$J614="DOSAR COMPLET",Control_Achizitii!$K614&lt;&gt;""),1,0)</f>
        <v>0</v>
      </c>
    </row>
    <row r="615" spans="1:34">
      <c r="A615" s="27"/>
      <c r="B615" s="27"/>
      <c r="C615" s="27"/>
      <c r="D615" s="27"/>
      <c r="E615" s="27"/>
      <c r="F615" s="27"/>
      <c r="G615" s="27"/>
      <c r="H615" s="27"/>
      <c r="I615" s="27"/>
      <c r="J615" s="27"/>
      <c r="K615" s="27"/>
      <c r="L615" s="27"/>
      <c r="M615" s="27"/>
      <c r="N615" s="27"/>
      <c r="O615" s="27"/>
      <c r="P615" s="27"/>
      <c r="Q615" s="27"/>
      <c r="R615" s="27"/>
      <c r="S615" s="27"/>
      <c r="T615" s="27">
        <f>IF(LEFT(Control_Achizitii!$E615,4)="Fact",1,0)</f>
        <v>0</v>
      </c>
      <c r="U615" s="27">
        <f>IF(Control_Achizitii!$C615="",0,IF(ISNUMBER(Control_Achizitii!$B615),0,1))</f>
        <v>0</v>
      </c>
      <c r="V615" s="27">
        <f>IF(Control_Achizitii!$C615="",0,IF($Z$2&lt;&gt;"OK",0,IF(AND(ISNUMBER(Control_Achizitii!$B615),Control_Achizitii!$B615&gt;=$E$5,Control_Achizitii!$B615&lt;$J$5+1,OR($O$5="Toate proiectele",Control_Achizitii!$Q615=$O$5)),1,0)))</f>
        <v>0</v>
      </c>
      <c r="W615" s="27">
        <f>IF(AND(V615=1,OR(Control_Achizitii!$J615&lt;&gt;"DOSAR COMPLET",Control_Achizitii!$K615&lt;&gt;"")),ROW(),1000000000)</f>
        <v>1000000000</v>
      </c>
      <c r="X615" s="27">
        <f>IF(AND(V615=1,LEFT(Control_Achizitii!$E615,4)="Fact",NOT(ISNUMBER(Control_Achizitii!$P615))),1,0)</f>
        <v>0</v>
      </c>
      <c r="Y615" s="27">
        <f>IF(V615=0,0,IF(Control_Achizitii!$J615="DOSAR COMPLET",1,IF(LEFT(Control_Achizitii!$J615,9)="INCOMPLET",2,3)))</f>
        <v>0</v>
      </c>
      <c r="Z615" s="27"/>
      <c r="AA615" s="27"/>
      <c r="AB615" s="27"/>
      <c r="AC615" s="27"/>
      <c r="AD615" s="27"/>
      <c r="AE615" s="27"/>
      <c r="AF615" s="27"/>
      <c r="AG615" s="27"/>
      <c r="AH615" s="27">
        <f>IF(AND(V615=1,Control_Achizitii!$J615="DOSAR COMPLET",Control_Achizitii!$K615&lt;&gt;""),1,0)</f>
        <v>0</v>
      </c>
    </row>
    <row r="616" spans="1:34">
      <c r="A616" s="27"/>
      <c r="B616" s="27"/>
      <c r="C616" s="27"/>
      <c r="D616" s="27"/>
      <c r="E616" s="27"/>
      <c r="F616" s="27"/>
      <c r="G616" s="27"/>
      <c r="H616" s="27"/>
      <c r="I616" s="27"/>
      <c r="J616" s="27"/>
      <c r="K616" s="27"/>
      <c r="L616" s="27"/>
      <c r="M616" s="27"/>
      <c r="N616" s="27"/>
      <c r="O616" s="27"/>
      <c r="P616" s="27"/>
      <c r="Q616" s="27"/>
      <c r="R616" s="27"/>
      <c r="S616" s="27"/>
      <c r="T616" s="27">
        <f>IF(LEFT(Control_Achizitii!$E616,4)="Fact",1,0)</f>
        <v>0</v>
      </c>
      <c r="U616" s="27">
        <f>IF(Control_Achizitii!$C616="",0,IF(ISNUMBER(Control_Achizitii!$B616),0,1))</f>
        <v>0</v>
      </c>
      <c r="V616" s="27">
        <f>IF(Control_Achizitii!$C616="",0,IF($Z$2&lt;&gt;"OK",0,IF(AND(ISNUMBER(Control_Achizitii!$B616),Control_Achizitii!$B616&gt;=$E$5,Control_Achizitii!$B616&lt;$J$5+1,OR($O$5="Toate proiectele",Control_Achizitii!$Q616=$O$5)),1,0)))</f>
        <v>0</v>
      </c>
      <c r="W616" s="27">
        <f>IF(AND(V616=1,OR(Control_Achizitii!$J616&lt;&gt;"DOSAR COMPLET",Control_Achizitii!$K616&lt;&gt;"")),ROW(),1000000000)</f>
        <v>1000000000</v>
      </c>
      <c r="X616" s="27">
        <f>IF(AND(V616=1,LEFT(Control_Achizitii!$E616,4)="Fact",NOT(ISNUMBER(Control_Achizitii!$P616))),1,0)</f>
        <v>0</v>
      </c>
      <c r="Y616" s="27">
        <f>IF(V616=0,0,IF(Control_Achizitii!$J616="DOSAR COMPLET",1,IF(LEFT(Control_Achizitii!$J616,9)="INCOMPLET",2,3)))</f>
        <v>0</v>
      </c>
      <c r="Z616" s="27"/>
      <c r="AA616" s="27"/>
      <c r="AB616" s="27"/>
      <c r="AC616" s="27"/>
      <c r="AD616" s="27"/>
      <c r="AE616" s="27"/>
      <c r="AF616" s="27"/>
      <c r="AG616" s="27"/>
      <c r="AH616" s="27">
        <f>IF(AND(V616=1,Control_Achizitii!$J616="DOSAR COMPLET",Control_Achizitii!$K616&lt;&gt;""),1,0)</f>
        <v>0</v>
      </c>
    </row>
    <row r="617" spans="1:34">
      <c r="A617" s="27"/>
      <c r="B617" s="27"/>
      <c r="C617" s="27"/>
      <c r="D617" s="27"/>
      <c r="E617" s="27"/>
      <c r="F617" s="27"/>
      <c r="G617" s="27"/>
      <c r="H617" s="27"/>
      <c r="I617" s="27"/>
      <c r="J617" s="27"/>
      <c r="K617" s="27"/>
      <c r="L617" s="27"/>
      <c r="M617" s="27"/>
      <c r="N617" s="27"/>
      <c r="O617" s="27"/>
      <c r="P617" s="27"/>
      <c r="Q617" s="27"/>
      <c r="R617" s="27"/>
      <c r="S617" s="27"/>
      <c r="T617" s="27">
        <f>IF(LEFT(Control_Achizitii!$E617,4)="Fact",1,0)</f>
        <v>0</v>
      </c>
      <c r="U617" s="27">
        <f>IF(Control_Achizitii!$C617="",0,IF(ISNUMBER(Control_Achizitii!$B617),0,1))</f>
        <v>0</v>
      </c>
      <c r="V617" s="27">
        <f>IF(Control_Achizitii!$C617="",0,IF($Z$2&lt;&gt;"OK",0,IF(AND(ISNUMBER(Control_Achizitii!$B617),Control_Achizitii!$B617&gt;=$E$5,Control_Achizitii!$B617&lt;$J$5+1,OR($O$5="Toate proiectele",Control_Achizitii!$Q617=$O$5)),1,0)))</f>
        <v>0</v>
      </c>
      <c r="W617" s="27">
        <f>IF(AND(V617=1,OR(Control_Achizitii!$J617&lt;&gt;"DOSAR COMPLET",Control_Achizitii!$K617&lt;&gt;"")),ROW(),1000000000)</f>
        <v>1000000000</v>
      </c>
      <c r="X617" s="27">
        <f>IF(AND(V617=1,LEFT(Control_Achizitii!$E617,4)="Fact",NOT(ISNUMBER(Control_Achizitii!$P617))),1,0)</f>
        <v>0</v>
      </c>
      <c r="Y617" s="27">
        <f>IF(V617=0,0,IF(Control_Achizitii!$J617="DOSAR COMPLET",1,IF(LEFT(Control_Achizitii!$J617,9)="INCOMPLET",2,3)))</f>
        <v>0</v>
      </c>
      <c r="Z617" s="27"/>
      <c r="AA617" s="27"/>
      <c r="AB617" s="27"/>
      <c r="AC617" s="27"/>
      <c r="AD617" s="27"/>
      <c r="AE617" s="27"/>
      <c r="AF617" s="27"/>
      <c r="AG617" s="27"/>
      <c r="AH617" s="27">
        <f>IF(AND(V617=1,Control_Achizitii!$J617="DOSAR COMPLET",Control_Achizitii!$K617&lt;&gt;""),1,0)</f>
        <v>0</v>
      </c>
    </row>
    <row r="618" spans="1:34">
      <c r="A618" s="27"/>
      <c r="B618" s="27"/>
      <c r="C618" s="27"/>
      <c r="D618" s="27"/>
      <c r="E618" s="27"/>
      <c r="F618" s="27"/>
      <c r="G618" s="27"/>
      <c r="H618" s="27"/>
      <c r="I618" s="27"/>
      <c r="J618" s="27"/>
      <c r="K618" s="27"/>
      <c r="L618" s="27"/>
      <c r="M618" s="27"/>
      <c r="N618" s="27"/>
      <c r="O618" s="27"/>
      <c r="P618" s="27"/>
      <c r="Q618" s="27"/>
      <c r="R618" s="27"/>
      <c r="S618" s="27"/>
      <c r="T618" s="27">
        <f>IF(LEFT(Control_Achizitii!$E618,4)="Fact",1,0)</f>
        <v>0</v>
      </c>
      <c r="U618" s="27">
        <f>IF(Control_Achizitii!$C618="",0,IF(ISNUMBER(Control_Achizitii!$B618),0,1))</f>
        <v>0</v>
      </c>
      <c r="V618" s="27">
        <f>IF(Control_Achizitii!$C618="",0,IF($Z$2&lt;&gt;"OK",0,IF(AND(ISNUMBER(Control_Achizitii!$B618),Control_Achizitii!$B618&gt;=$E$5,Control_Achizitii!$B618&lt;$J$5+1,OR($O$5="Toate proiectele",Control_Achizitii!$Q618=$O$5)),1,0)))</f>
        <v>0</v>
      </c>
      <c r="W618" s="27">
        <f>IF(AND(V618=1,OR(Control_Achizitii!$J618&lt;&gt;"DOSAR COMPLET",Control_Achizitii!$K618&lt;&gt;"")),ROW(),1000000000)</f>
        <v>1000000000</v>
      </c>
      <c r="X618" s="27">
        <f>IF(AND(V618=1,LEFT(Control_Achizitii!$E618,4)="Fact",NOT(ISNUMBER(Control_Achizitii!$P618))),1,0)</f>
        <v>0</v>
      </c>
      <c r="Y618" s="27">
        <f>IF(V618=0,0,IF(Control_Achizitii!$J618="DOSAR COMPLET",1,IF(LEFT(Control_Achizitii!$J618,9)="INCOMPLET",2,3)))</f>
        <v>0</v>
      </c>
      <c r="Z618" s="27"/>
      <c r="AA618" s="27"/>
      <c r="AB618" s="27"/>
      <c r="AC618" s="27"/>
      <c r="AD618" s="27"/>
      <c r="AE618" s="27"/>
      <c r="AF618" s="27"/>
      <c r="AG618" s="27"/>
      <c r="AH618" s="27">
        <f>IF(AND(V618=1,Control_Achizitii!$J618="DOSAR COMPLET",Control_Achizitii!$K618&lt;&gt;""),1,0)</f>
        <v>0</v>
      </c>
    </row>
    <row r="619" spans="1:34">
      <c r="A619" s="27"/>
      <c r="B619" s="27"/>
      <c r="C619" s="27"/>
      <c r="D619" s="27"/>
      <c r="E619" s="27"/>
      <c r="F619" s="27"/>
      <c r="G619" s="27"/>
      <c r="H619" s="27"/>
      <c r="I619" s="27"/>
      <c r="J619" s="27"/>
      <c r="K619" s="27"/>
      <c r="L619" s="27"/>
      <c r="M619" s="27"/>
      <c r="N619" s="27"/>
      <c r="O619" s="27"/>
      <c r="P619" s="27"/>
      <c r="Q619" s="27"/>
      <c r="R619" s="27"/>
      <c r="S619" s="27"/>
      <c r="T619" s="27">
        <f>IF(LEFT(Control_Achizitii!$E619,4)="Fact",1,0)</f>
        <v>0</v>
      </c>
      <c r="U619" s="27">
        <f>IF(Control_Achizitii!$C619="",0,IF(ISNUMBER(Control_Achizitii!$B619),0,1))</f>
        <v>0</v>
      </c>
      <c r="V619" s="27">
        <f>IF(Control_Achizitii!$C619="",0,IF($Z$2&lt;&gt;"OK",0,IF(AND(ISNUMBER(Control_Achizitii!$B619),Control_Achizitii!$B619&gt;=$E$5,Control_Achizitii!$B619&lt;$J$5+1,OR($O$5="Toate proiectele",Control_Achizitii!$Q619=$O$5)),1,0)))</f>
        <v>0</v>
      </c>
      <c r="W619" s="27">
        <f>IF(AND(V619=1,OR(Control_Achizitii!$J619&lt;&gt;"DOSAR COMPLET",Control_Achizitii!$K619&lt;&gt;"")),ROW(),1000000000)</f>
        <v>1000000000</v>
      </c>
      <c r="X619" s="27">
        <f>IF(AND(V619=1,LEFT(Control_Achizitii!$E619,4)="Fact",NOT(ISNUMBER(Control_Achizitii!$P619))),1,0)</f>
        <v>0</v>
      </c>
      <c r="Y619" s="27">
        <f>IF(V619=0,0,IF(Control_Achizitii!$J619="DOSAR COMPLET",1,IF(LEFT(Control_Achizitii!$J619,9)="INCOMPLET",2,3)))</f>
        <v>0</v>
      </c>
      <c r="Z619" s="27"/>
      <c r="AA619" s="27"/>
      <c r="AB619" s="27"/>
      <c r="AC619" s="27"/>
      <c r="AD619" s="27"/>
      <c r="AE619" s="27"/>
      <c r="AF619" s="27"/>
      <c r="AG619" s="27"/>
      <c r="AH619" s="27">
        <f>IF(AND(V619=1,Control_Achizitii!$J619="DOSAR COMPLET",Control_Achizitii!$K619&lt;&gt;""),1,0)</f>
        <v>0</v>
      </c>
    </row>
    <row r="620" spans="1:34">
      <c r="A620" s="27"/>
      <c r="B620" s="27"/>
      <c r="C620" s="27"/>
      <c r="D620" s="27"/>
      <c r="E620" s="27"/>
      <c r="F620" s="27"/>
      <c r="G620" s="27"/>
      <c r="H620" s="27"/>
      <c r="I620" s="27"/>
      <c r="J620" s="27"/>
      <c r="K620" s="27"/>
      <c r="L620" s="27"/>
      <c r="M620" s="27"/>
      <c r="N620" s="27"/>
      <c r="O620" s="27"/>
      <c r="P620" s="27"/>
      <c r="Q620" s="27"/>
      <c r="R620" s="27"/>
      <c r="S620" s="27"/>
      <c r="T620" s="27">
        <f>IF(LEFT(Control_Achizitii!$E620,4)="Fact",1,0)</f>
        <v>0</v>
      </c>
      <c r="U620" s="27">
        <f>IF(Control_Achizitii!$C620="",0,IF(ISNUMBER(Control_Achizitii!$B620),0,1))</f>
        <v>0</v>
      </c>
      <c r="V620" s="27">
        <f>IF(Control_Achizitii!$C620="",0,IF($Z$2&lt;&gt;"OK",0,IF(AND(ISNUMBER(Control_Achizitii!$B620),Control_Achizitii!$B620&gt;=$E$5,Control_Achizitii!$B620&lt;$J$5+1,OR($O$5="Toate proiectele",Control_Achizitii!$Q620=$O$5)),1,0)))</f>
        <v>0</v>
      </c>
      <c r="W620" s="27">
        <f>IF(AND(V620=1,OR(Control_Achizitii!$J620&lt;&gt;"DOSAR COMPLET",Control_Achizitii!$K620&lt;&gt;"")),ROW(),1000000000)</f>
        <v>1000000000</v>
      </c>
      <c r="X620" s="27">
        <f>IF(AND(V620=1,LEFT(Control_Achizitii!$E620,4)="Fact",NOT(ISNUMBER(Control_Achizitii!$P620))),1,0)</f>
        <v>0</v>
      </c>
      <c r="Y620" s="27">
        <f>IF(V620=0,0,IF(Control_Achizitii!$J620="DOSAR COMPLET",1,IF(LEFT(Control_Achizitii!$J620,9)="INCOMPLET",2,3)))</f>
        <v>0</v>
      </c>
      <c r="Z620" s="27"/>
      <c r="AA620" s="27"/>
      <c r="AB620" s="27"/>
      <c r="AC620" s="27"/>
      <c r="AD620" s="27"/>
      <c r="AE620" s="27"/>
      <c r="AF620" s="27"/>
      <c r="AG620" s="27"/>
      <c r="AH620" s="27">
        <f>IF(AND(V620=1,Control_Achizitii!$J620="DOSAR COMPLET",Control_Achizitii!$K620&lt;&gt;""),1,0)</f>
        <v>0</v>
      </c>
    </row>
    <row r="621" spans="1:34">
      <c r="A621" s="27"/>
      <c r="B621" s="27"/>
      <c r="C621" s="27"/>
      <c r="D621" s="27"/>
      <c r="E621" s="27"/>
      <c r="F621" s="27"/>
      <c r="G621" s="27"/>
      <c r="H621" s="27"/>
      <c r="I621" s="27"/>
      <c r="J621" s="27"/>
      <c r="K621" s="27"/>
      <c r="L621" s="27"/>
      <c r="M621" s="27"/>
      <c r="N621" s="27"/>
      <c r="O621" s="27"/>
      <c r="P621" s="27"/>
      <c r="Q621" s="27"/>
      <c r="R621" s="27"/>
      <c r="S621" s="27"/>
      <c r="T621" s="27">
        <f>IF(LEFT(Control_Achizitii!$E621,4)="Fact",1,0)</f>
        <v>0</v>
      </c>
      <c r="U621" s="27">
        <f>IF(Control_Achizitii!$C621="",0,IF(ISNUMBER(Control_Achizitii!$B621),0,1))</f>
        <v>0</v>
      </c>
      <c r="V621" s="27">
        <f>IF(Control_Achizitii!$C621="",0,IF($Z$2&lt;&gt;"OK",0,IF(AND(ISNUMBER(Control_Achizitii!$B621),Control_Achizitii!$B621&gt;=$E$5,Control_Achizitii!$B621&lt;$J$5+1,OR($O$5="Toate proiectele",Control_Achizitii!$Q621=$O$5)),1,0)))</f>
        <v>0</v>
      </c>
      <c r="W621" s="27">
        <f>IF(AND(V621=1,OR(Control_Achizitii!$J621&lt;&gt;"DOSAR COMPLET",Control_Achizitii!$K621&lt;&gt;"")),ROW(),1000000000)</f>
        <v>1000000000</v>
      </c>
      <c r="X621" s="27">
        <f>IF(AND(V621=1,LEFT(Control_Achizitii!$E621,4)="Fact",NOT(ISNUMBER(Control_Achizitii!$P621))),1,0)</f>
        <v>0</v>
      </c>
      <c r="Y621" s="27">
        <f>IF(V621=0,0,IF(Control_Achizitii!$J621="DOSAR COMPLET",1,IF(LEFT(Control_Achizitii!$J621,9)="INCOMPLET",2,3)))</f>
        <v>0</v>
      </c>
      <c r="Z621" s="27"/>
      <c r="AA621" s="27"/>
      <c r="AB621" s="27"/>
      <c r="AC621" s="27"/>
      <c r="AD621" s="27"/>
      <c r="AE621" s="27"/>
      <c r="AF621" s="27"/>
      <c r="AG621" s="27"/>
      <c r="AH621" s="27">
        <f>IF(AND(V621=1,Control_Achizitii!$J621="DOSAR COMPLET",Control_Achizitii!$K621&lt;&gt;""),1,0)</f>
        <v>0</v>
      </c>
    </row>
    <row r="622" spans="1:34">
      <c r="A622" s="27"/>
      <c r="B622" s="27"/>
      <c r="C622" s="27"/>
      <c r="D622" s="27"/>
      <c r="E622" s="27"/>
      <c r="F622" s="27"/>
      <c r="G622" s="27"/>
      <c r="H622" s="27"/>
      <c r="I622" s="27"/>
      <c r="J622" s="27"/>
      <c r="K622" s="27"/>
      <c r="L622" s="27"/>
      <c r="M622" s="27"/>
      <c r="N622" s="27"/>
      <c r="O622" s="27"/>
      <c r="P622" s="27"/>
      <c r="Q622" s="27"/>
      <c r="R622" s="27"/>
      <c r="S622" s="27"/>
      <c r="T622" s="27">
        <f>IF(LEFT(Control_Achizitii!$E622,4)="Fact",1,0)</f>
        <v>0</v>
      </c>
      <c r="U622" s="27">
        <f>IF(Control_Achizitii!$C622="",0,IF(ISNUMBER(Control_Achizitii!$B622),0,1))</f>
        <v>0</v>
      </c>
      <c r="V622" s="27">
        <f>IF(Control_Achizitii!$C622="",0,IF($Z$2&lt;&gt;"OK",0,IF(AND(ISNUMBER(Control_Achizitii!$B622),Control_Achizitii!$B622&gt;=$E$5,Control_Achizitii!$B622&lt;$J$5+1,OR($O$5="Toate proiectele",Control_Achizitii!$Q622=$O$5)),1,0)))</f>
        <v>0</v>
      </c>
      <c r="W622" s="27">
        <f>IF(AND(V622=1,OR(Control_Achizitii!$J622&lt;&gt;"DOSAR COMPLET",Control_Achizitii!$K622&lt;&gt;"")),ROW(),1000000000)</f>
        <v>1000000000</v>
      </c>
      <c r="X622" s="27">
        <f>IF(AND(V622=1,LEFT(Control_Achizitii!$E622,4)="Fact",NOT(ISNUMBER(Control_Achizitii!$P622))),1,0)</f>
        <v>0</v>
      </c>
      <c r="Y622" s="27">
        <f>IF(V622=0,0,IF(Control_Achizitii!$J622="DOSAR COMPLET",1,IF(LEFT(Control_Achizitii!$J622,9)="INCOMPLET",2,3)))</f>
        <v>0</v>
      </c>
      <c r="Z622" s="27"/>
      <c r="AA622" s="27"/>
      <c r="AB622" s="27"/>
      <c r="AC622" s="27"/>
      <c r="AD622" s="27"/>
      <c r="AE622" s="27"/>
      <c r="AF622" s="27"/>
      <c r="AG622" s="27"/>
      <c r="AH622" s="27">
        <f>IF(AND(V622=1,Control_Achizitii!$J622="DOSAR COMPLET",Control_Achizitii!$K622&lt;&gt;""),1,0)</f>
        <v>0</v>
      </c>
    </row>
    <row r="623" spans="1:34">
      <c r="A623" s="27"/>
      <c r="B623" s="27"/>
      <c r="C623" s="27"/>
      <c r="D623" s="27"/>
      <c r="E623" s="27"/>
      <c r="F623" s="27"/>
      <c r="G623" s="27"/>
      <c r="H623" s="27"/>
      <c r="I623" s="27"/>
      <c r="J623" s="27"/>
      <c r="K623" s="27"/>
      <c r="L623" s="27"/>
      <c r="M623" s="27"/>
      <c r="N623" s="27"/>
      <c r="O623" s="27"/>
      <c r="P623" s="27"/>
      <c r="Q623" s="27"/>
      <c r="R623" s="27"/>
      <c r="S623" s="27"/>
      <c r="T623" s="27">
        <f>IF(LEFT(Control_Achizitii!$E623,4)="Fact",1,0)</f>
        <v>0</v>
      </c>
      <c r="U623" s="27">
        <f>IF(Control_Achizitii!$C623="",0,IF(ISNUMBER(Control_Achizitii!$B623),0,1))</f>
        <v>0</v>
      </c>
      <c r="V623" s="27">
        <f>IF(Control_Achizitii!$C623="",0,IF($Z$2&lt;&gt;"OK",0,IF(AND(ISNUMBER(Control_Achizitii!$B623),Control_Achizitii!$B623&gt;=$E$5,Control_Achizitii!$B623&lt;$J$5+1,OR($O$5="Toate proiectele",Control_Achizitii!$Q623=$O$5)),1,0)))</f>
        <v>0</v>
      </c>
      <c r="W623" s="27">
        <f>IF(AND(V623=1,OR(Control_Achizitii!$J623&lt;&gt;"DOSAR COMPLET",Control_Achizitii!$K623&lt;&gt;"")),ROW(),1000000000)</f>
        <v>1000000000</v>
      </c>
      <c r="X623" s="27">
        <f>IF(AND(V623=1,LEFT(Control_Achizitii!$E623,4)="Fact",NOT(ISNUMBER(Control_Achizitii!$P623))),1,0)</f>
        <v>0</v>
      </c>
      <c r="Y623" s="27">
        <f>IF(V623=0,0,IF(Control_Achizitii!$J623="DOSAR COMPLET",1,IF(LEFT(Control_Achizitii!$J623,9)="INCOMPLET",2,3)))</f>
        <v>0</v>
      </c>
      <c r="Z623" s="27"/>
      <c r="AA623" s="27"/>
      <c r="AB623" s="27"/>
      <c r="AC623" s="27"/>
      <c r="AD623" s="27"/>
      <c r="AE623" s="27"/>
      <c r="AF623" s="27"/>
      <c r="AG623" s="27"/>
      <c r="AH623" s="27">
        <f>IF(AND(V623=1,Control_Achizitii!$J623="DOSAR COMPLET",Control_Achizitii!$K623&lt;&gt;""),1,0)</f>
        <v>0</v>
      </c>
    </row>
    <row r="624" spans="1:34">
      <c r="A624" s="27"/>
      <c r="B624" s="27"/>
      <c r="C624" s="27"/>
      <c r="D624" s="27"/>
      <c r="E624" s="27"/>
      <c r="F624" s="27"/>
      <c r="G624" s="27"/>
      <c r="H624" s="27"/>
      <c r="I624" s="27"/>
      <c r="J624" s="27"/>
      <c r="K624" s="27"/>
      <c r="L624" s="27"/>
      <c r="M624" s="27"/>
      <c r="N624" s="27"/>
      <c r="O624" s="27"/>
      <c r="P624" s="27"/>
      <c r="Q624" s="27"/>
      <c r="R624" s="27"/>
      <c r="S624" s="27"/>
      <c r="T624" s="27">
        <f>IF(LEFT(Control_Achizitii!$E624,4)="Fact",1,0)</f>
        <v>0</v>
      </c>
      <c r="U624" s="27">
        <f>IF(Control_Achizitii!$C624="",0,IF(ISNUMBER(Control_Achizitii!$B624),0,1))</f>
        <v>0</v>
      </c>
      <c r="V624" s="27">
        <f>IF(Control_Achizitii!$C624="",0,IF($Z$2&lt;&gt;"OK",0,IF(AND(ISNUMBER(Control_Achizitii!$B624),Control_Achizitii!$B624&gt;=$E$5,Control_Achizitii!$B624&lt;$J$5+1,OR($O$5="Toate proiectele",Control_Achizitii!$Q624=$O$5)),1,0)))</f>
        <v>0</v>
      </c>
      <c r="W624" s="27">
        <f>IF(AND(V624=1,OR(Control_Achizitii!$J624&lt;&gt;"DOSAR COMPLET",Control_Achizitii!$K624&lt;&gt;"")),ROW(),1000000000)</f>
        <v>1000000000</v>
      </c>
      <c r="X624" s="27">
        <f>IF(AND(V624=1,LEFT(Control_Achizitii!$E624,4)="Fact",NOT(ISNUMBER(Control_Achizitii!$P624))),1,0)</f>
        <v>0</v>
      </c>
      <c r="Y624" s="27">
        <f>IF(V624=0,0,IF(Control_Achizitii!$J624="DOSAR COMPLET",1,IF(LEFT(Control_Achizitii!$J624,9)="INCOMPLET",2,3)))</f>
        <v>0</v>
      </c>
      <c r="Z624" s="27"/>
      <c r="AA624" s="27"/>
      <c r="AB624" s="27"/>
      <c r="AC624" s="27"/>
      <c r="AD624" s="27"/>
      <c r="AE624" s="27"/>
      <c r="AF624" s="27"/>
      <c r="AG624" s="27"/>
      <c r="AH624" s="27">
        <f>IF(AND(V624=1,Control_Achizitii!$J624="DOSAR COMPLET",Control_Achizitii!$K624&lt;&gt;""),1,0)</f>
        <v>0</v>
      </c>
    </row>
    <row r="625" spans="1:34">
      <c r="A625" s="27"/>
      <c r="B625" s="27"/>
      <c r="C625" s="27"/>
      <c r="D625" s="27"/>
      <c r="E625" s="27"/>
      <c r="F625" s="27"/>
      <c r="G625" s="27"/>
      <c r="H625" s="27"/>
      <c r="I625" s="27"/>
      <c r="J625" s="27"/>
      <c r="K625" s="27"/>
      <c r="L625" s="27"/>
      <c r="M625" s="27"/>
      <c r="N625" s="27"/>
      <c r="O625" s="27"/>
      <c r="P625" s="27"/>
      <c r="Q625" s="27"/>
      <c r="R625" s="27"/>
      <c r="S625" s="27"/>
      <c r="T625" s="27">
        <f>IF(LEFT(Control_Achizitii!$E625,4)="Fact",1,0)</f>
        <v>0</v>
      </c>
      <c r="U625" s="27">
        <f>IF(Control_Achizitii!$C625="",0,IF(ISNUMBER(Control_Achizitii!$B625),0,1))</f>
        <v>0</v>
      </c>
      <c r="V625" s="27">
        <f>IF(Control_Achizitii!$C625="",0,IF($Z$2&lt;&gt;"OK",0,IF(AND(ISNUMBER(Control_Achizitii!$B625),Control_Achizitii!$B625&gt;=$E$5,Control_Achizitii!$B625&lt;$J$5+1,OR($O$5="Toate proiectele",Control_Achizitii!$Q625=$O$5)),1,0)))</f>
        <v>0</v>
      </c>
      <c r="W625" s="27">
        <f>IF(AND(V625=1,OR(Control_Achizitii!$J625&lt;&gt;"DOSAR COMPLET",Control_Achizitii!$K625&lt;&gt;"")),ROW(),1000000000)</f>
        <v>1000000000</v>
      </c>
      <c r="X625" s="27">
        <f>IF(AND(V625=1,LEFT(Control_Achizitii!$E625,4)="Fact",NOT(ISNUMBER(Control_Achizitii!$P625))),1,0)</f>
        <v>0</v>
      </c>
      <c r="Y625" s="27">
        <f>IF(V625=0,0,IF(Control_Achizitii!$J625="DOSAR COMPLET",1,IF(LEFT(Control_Achizitii!$J625,9)="INCOMPLET",2,3)))</f>
        <v>0</v>
      </c>
      <c r="Z625" s="27"/>
      <c r="AA625" s="27"/>
      <c r="AB625" s="27"/>
      <c r="AC625" s="27"/>
      <c r="AD625" s="27"/>
      <c r="AE625" s="27"/>
      <c r="AF625" s="27"/>
      <c r="AG625" s="27"/>
      <c r="AH625" s="27">
        <f>IF(AND(V625=1,Control_Achizitii!$J625="DOSAR COMPLET",Control_Achizitii!$K625&lt;&gt;""),1,0)</f>
        <v>0</v>
      </c>
    </row>
    <row r="626" spans="1:34">
      <c r="A626" s="27"/>
      <c r="B626" s="27"/>
      <c r="C626" s="27"/>
      <c r="D626" s="27"/>
      <c r="E626" s="27"/>
      <c r="F626" s="27"/>
      <c r="G626" s="27"/>
      <c r="H626" s="27"/>
      <c r="I626" s="27"/>
      <c r="J626" s="27"/>
      <c r="K626" s="27"/>
      <c r="L626" s="27"/>
      <c r="M626" s="27"/>
      <c r="N626" s="27"/>
      <c r="O626" s="27"/>
      <c r="P626" s="27"/>
      <c r="Q626" s="27"/>
      <c r="R626" s="27"/>
      <c r="S626" s="27"/>
      <c r="T626" s="27">
        <f>IF(LEFT(Control_Achizitii!$E626,4)="Fact",1,0)</f>
        <v>0</v>
      </c>
      <c r="U626" s="27">
        <f>IF(Control_Achizitii!$C626="",0,IF(ISNUMBER(Control_Achizitii!$B626),0,1))</f>
        <v>0</v>
      </c>
      <c r="V626" s="27">
        <f>IF(Control_Achizitii!$C626="",0,IF($Z$2&lt;&gt;"OK",0,IF(AND(ISNUMBER(Control_Achizitii!$B626),Control_Achizitii!$B626&gt;=$E$5,Control_Achizitii!$B626&lt;$J$5+1,OR($O$5="Toate proiectele",Control_Achizitii!$Q626=$O$5)),1,0)))</f>
        <v>0</v>
      </c>
      <c r="W626" s="27">
        <f>IF(AND(V626=1,OR(Control_Achizitii!$J626&lt;&gt;"DOSAR COMPLET",Control_Achizitii!$K626&lt;&gt;"")),ROW(),1000000000)</f>
        <v>1000000000</v>
      </c>
      <c r="X626" s="27">
        <f>IF(AND(V626=1,LEFT(Control_Achizitii!$E626,4)="Fact",NOT(ISNUMBER(Control_Achizitii!$P626))),1,0)</f>
        <v>0</v>
      </c>
      <c r="Y626" s="27">
        <f>IF(V626=0,0,IF(Control_Achizitii!$J626="DOSAR COMPLET",1,IF(LEFT(Control_Achizitii!$J626,9)="INCOMPLET",2,3)))</f>
        <v>0</v>
      </c>
      <c r="Z626" s="27"/>
      <c r="AA626" s="27"/>
      <c r="AB626" s="27"/>
      <c r="AC626" s="27"/>
      <c r="AD626" s="27"/>
      <c r="AE626" s="27"/>
      <c r="AF626" s="27"/>
      <c r="AG626" s="27"/>
      <c r="AH626" s="27">
        <f>IF(AND(V626=1,Control_Achizitii!$J626="DOSAR COMPLET",Control_Achizitii!$K626&lt;&gt;""),1,0)</f>
        <v>0</v>
      </c>
    </row>
    <row r="627" spans="1:34">
      <c r="A627" s="27"/>
      <c r="B627" s="27"/>
      <c r="C627" s="27"/>
      <c r="D627" s="27"/>
      <c r="E627" s="27"/>
      <c r="F627" s="27"/>
      <c r="G627" s="27"/>
      <c r="H627" s="27"/>
      <c r="I627" s="27"/>
      <c r="J627" s="27"/>
      <c r="K627" s="27"/>
      <c r="L627" s="27"/>
      <c r="M627" s="27"/>
      <c r="N627" s="27"/>
      <c r="O627" s="27"/>
      <c r="P627" s="27"/>
      <c r="Q627" s="27"/>
      <c r="R627" s="27"/>
      <c r="S627" s="27"/>
      <c r="T627" s="27">
        <f>IF(LEFT(Control_Achizitii!$E627,4)="Fact",1,0)</f>
        <v>0</v>
      </c>
      <c r="U627" s="27">
        <f>IF(Control_Achizitii!$C627="",0,IF(ISNUMBER(Control_Achizitii!$B627),0,1))</f>
        <v>0</v>
      </c>
      <c r="V627" s="27">
        <f>IF(Control_Achizitii!$C627="",0,IF($Z$2&lt;&gt;"OK",0,IF(AND(ISNUMBER(Control_Achizitii!$B627),Control_Achizitii!$B627&gt;=$E$5,Control_Achizitii!$B627&lt;$J$5+1,OR($O$5="Toate proiectele",Control_Achizitii!$Q627=$O$5)),1,0)))</f>
        <v>0</v>
      </c>
      <c r="W627" s="27">
        <f>IF(AND(V627=1,OR(Control_Achizitii!$J627&lt;&gt;"DOSAR COMPLET",Control_Achizitii!$K627&lt;&gt;"")),ROW(),1000000000)</f>
        <v>1000000000</v>
      </c>
      <c r="X627" s="27">
        <f>IF(AND(V627=1,LEFT(Control_Achizitii!$E627,4)="Fact",NOT(ISNUMBER(Control_Achizitii!$P627))),1,0)</f>
        <v>0</v>
      </c>
      <c r="Y627" s="27">
        <f>IF(V627=0,0,IF(Control_Achizitii!$J627="DOSAR COMPLET",1,IF(LEFT(Control_Achizitii!$J627,9)="INCOMPLET",2,3)))</f>
        <v>0</v>
      </c>
      <c r="Z627" s="27"/>
      <c r="AA627" s="27"/>
      <c r="AB627" s="27"/>
      <c r="AC627" s="27"/>
      <c r="AD627" s="27"/>
      <c r="AE627" s="27"/>
      <c r="AF627" s="27"/>
      <c r="AG627" s="27"/>
      <c r="AH627" s="27">
        <f>IF(AND(V627=1,Control_Achizitii!$J627="DOSAR COMPLET",Control_Achizitii!$K627&lt;&gt;""),1,0)</f>
        <v>0</v>
      </c>
    </row>
    <row r="628" spans="1:34">
      <c r="A628" s="27"/>
      <c r="B628" s="27"/>
      <c r="C628" s="27"/>
      <c r="D628" s="27"/>
      <c r="E628" s="27"/>
      <c r="F628" s="27"/>
      <c r="G628" s="27"/>
      <c r="H628" s="27"/>
      <c r="I628" s="27"/>
      <c r="J628" s="27"/>
      <c r="K628" s="27"/>
      <c r="L628" s="27"/>
      <c r="M628" s="27"/>
      <c r="N628" s="27"/>
      <c r="O628" s="27"/>
      <c r="P628" s="27"/>
      <c r="Q628" s="27"/>
      <c r="R628" s="27"/>
      <c r="S628" s="27"/>
      <c r="T628" s="27">
        <f>IF(LEFT(Control_Achizitii!$E628,4)="Fact",1,0)</f>
        <v>0</v>
      </c>
      <c r="U628" s="27">
        <f>IF(Control_Achizitii!$C628="",0,IF(ISNUMBER(Control_Achizitii!$B628),0,1))</f>
        <v>0</v>
      </c>
      <c r="V628" s="27">
        <f>IF(Control_Achizitii!$C628="",0,IF($Z$2&lt;&gt;"OK",0,IF(AND(ISNUMBER(Control_Achizitii!$B628),Control_Achizitii!$B628&gt;=$E$5,Control_Achizitii!$B628&lt;$J$5+1,OR($O$5="Toate proiectele",Control_Achizitii!$Q628=$O$5)),1,0)))</f>
        <v>0</v>
      </c>
      <c r="W628" s="27">
        <f>IF(AND(V628=1,OR(Control_Achizitii!$J628&lt;&gt;"DOSAR COMPLET",Control_Achizitii!$K628&lt;&gt;"")),ROW(),1000000000)</f>
        <v>1000000000</v>
      </c>
      <c r="X628" s="27">
        <f>IF(AND(V628=1,LEFT(Control_Achizitii!$E628,4)="Fact",NOT(ISNUMBER(Control_Achizitii!$P628))),1,0)</f>
        <v>0</v>
      </c>
      <c r="Y628" s="27">
        <f>IF(V628=0,0,IF(Control_Achizitii!$J628="DOSAR COMPLET",1,IF(LEFT(Control_Achizitii!$J628,9)="INCOMPLET",2,3)))</f>
        <v>0</v>
      </c>
      <c r="Z628" s="27"/>
      <c r="AA628" s="27"/>
      <c r="AB628" s="27"/>
      <c r="AC628" s="27"/>
      <c r="AD628" s="27"/>
      <c r="AE628" s="27"/>
      <c r="AF628" s="27"/>
      <c r="AG628" s="27"/>
      <c r="AH628" s="27">
        <f>IF(AND(V628=1,Control_Achizitii!$J628="DOSAR COMPLET",Control_Achizitii!$K628&lt;&gt;""),1,0)</f>
        <v>0</v>
      </c>
    </row>
    <row r="629" spans="1:34">
      <c r="A629" s="27"/>
      <c r="B629" s="27"/>
      <c r="C629" s="27"/>
      <c r="D629" s="27"/>
      <c r="E629" s="27"/>
      <c r="F629" s="27"/>
      <c r="G629" s="27"/>
      <c r="H629" s="27"/>
      <c r="I629" s="27"/>
      <c r="J629" s="27"/>
      <c r="K629" s="27"/>
      <c r="L629" s="27"/>
      <c r="M629" s="27"/>
      <c r="N629" s="27"/>
      <c r="O629" s="27"/>
      <c r="P629" s="27"/>
      <c r="Q629" s="27"/>
      <c r="R629" s="27"/>
      <c r="S629" s="27"/>
      <c r="T629" s="27">
        <f>IF(LEFT(Control_Achizitii!$E629,4)="Fact",1,0)</f>
        <v>0</v>
      </c>
      <c r="U629" s="27">
        <f>IF(Control_Achizitii!$C629="",0,IF(ISNUMBER(Control_Achizitii!$B629),0,1))</f>
        <v>0</v>
      </c>
      <c r="V629" s="27">
        <f>IF(Control_Achizitii!$C629="",0,IF($Z$2&lt;&gt;"OK",0,IF(AND(ISNUMBER(Control_Achizitii!$B629),Control_Achizitii!$B629&gt;=$E$5,Control_Achizitii!$B629&lt;$J$5+1,OR($O$5="Toate proiectele",Control_Achizitii!$Q629=$O$5)),1,0)))</f>
        <v>0</v>
      </c>
      <c r="W629" s="27">
        <f>IF(AND(V629=1,OR(Control_Achizitii!$J629&lt;&gt;"DOSAR COMPLET",Control_Achizitii!$K629&lt;&gt;"")),ROW(),1000000000)</f>
        <v>1000000000</v>
      </c>
      <c r="X629" s="27">
        <f>IF(AND(V629=1,LEFT(Control_Achizitii!$E629,4)="Fact",NOT(ISNUMBER(Control_Achizitii!$P629))),1,0)</f>
        <v>0</v>
      </c>
      <c r="Y629" s="27">
        <f>IF(V629=0,0,IF(Control_Achizitii!$J629="DOSAR COMPLET",1,IF(LEFT(Control_Achizitii!$J629,9)="INCOMPLET",2,3)))</f>
        <v>0</v>
      </c>
      <c r="Z629" s="27"/>
      <c r="AA629" s="27"/>
      <c r="AB629" s="27"/>
      <c r="AC629" s="27"/>
      <c r="AD629" s="27"/>
      <c r="AE629" s="27"/>
      <c r="AF629" s="27"/>
      <c r="AG629" s="27"/>
      <c r="AH629" s="27">
        <f>IF(AND(V629=1,Control_Achizitii!$J629="DOSAR COMPLET",Control_Achizitii!$K629&lt;&gt;""),1,0)</f>
        <v>0</v>
      </c>
    </row>
    <row r="630" spans="1:34">
      <c r="A630" s="27"/>
      <c r="B630" s="27"/>
      <c r="C630" s="27"/>
      <c r="D630" s="27"/>
      <c r="E630" s="27"/>
      <c r="F630" s="27"/>
      <c r="G630" s="27"/>
      <c r="H630" s="27"/>
      <c r="I630" s="27"/>
      <c r="J630" s="27"/>
      <c r="K630" s="27"/>
      <c r="L630" s="27"/>
      <c r="M630" s="27"/>
      <c r="N630" s="27"/>
      <c r="O630" s="27"/>
      <c r="P630" s="27"/>
      <c r="Q630" s="27"/>
      <c r="R630" s="27"/>
      <c r="S630" s="27"/>
      <c r="T630" s="27">
        <f>IF(LEFT(Control_Achizitii!$E630,4)="Fact",1,0)</f>
        <v>0</v>
      </c>
      <c r="U630" s="27">
        <f>IF(Control_Achizitii!$C630="",0,IF(ISNUMBER(Control_Achizitii!$B630),0,1))</f>
        <v>0</v>
      </c>
      <c r="V630" s="27">
        <f>IF(Control_Achizitii!$C630="",0,IF($Z$2&lt;&gt;"OK",0,IF(AND(ISNUMBER(Control_Achizitii!$B630),Control_Achizitii!$B630&gt;=$E$5,Control_Achizitii!$B630&lt;$J$5+1,OR($O$5="Toate proiectele",Control_Achizitii!$Q630=$O$5)),1,0)))</f>
        <v>0</v>
      </c>
      <c r="W630" s="27">
        <f>IF(AND(V630=1,OR(Control_Achizitii!$J630&lt;&gt;"DOSAR COMPLET",Control_Achizitii!$K630&lt;&gt;"")),ROW(),1000000000)</f>
        <v>1000000000</v>
      </c>
      <c r="X630" s="27">
        <f>IF(AND(V630=1,LEFT(Control_Achizitii!$E630,4)="Fact",NOT(ISNUMBER(Control_Achizitii!$P630))),1,0)</f>
        <v>0</v>
      </c>
      <c r="Y630" s="27">
        <f>IF(V630=0,0,IF(Control_Achizitii!$J630="DOSAR COMPLET",1,IF(LEFT(Control_Achizitii!$J630,9)="INCOMPLET",2,3)))</f>
        <v>0</v>
      </c>
      <c r="Z630" s="27"/>
      <c r="AA630" s="27"/>
      <c r="AB630" s="27"/>
      <c r="AC630" s="27"/>
      <c r="AD630" s="27"/>
      <c r="AE630" s="27"/>
      <c r="AF630" s="27"/>
      <c r="AG630" s="27"/>
      <c r="AH630" s="27">
        <f>IF(AND(V630=1,Control_Achizitii!$J630="DOSAR COMPLET",Control_Achizitii!$K630&lt;&gt;""),1,0)</f>
        <v>0</v>
      </c>
    </row>
    <row r="631" spans="1:34">
      <c r="A631" s="27"/>
      <c r="B631" s="27"/>
      <c r="C631" s="27"/>
      <c r="D631" s="27"/>
      <c r="E631" s="27"/>
      <c r="F631" s="27"/>
      <c r="G631" s="27"/>
      <c r="H631" s="27"/>
      <c r="I631" s="27"/>
      <c r="J631" s="27"/>
      <c r="K631" s="27"/>
      <c r="L631" s="27"/>
      <c r="M631" s="27"/>
      <c r="N631" s="27"/>
      <c r="O631" s="27"/>
      <c r="P631" s="27"/>
      <c r="Q631" s="27"/>
      <c r="R631" s="27"/>
      <c r="S631" s="27"/>
      <c r="T631" s="27">
        <f>IF(LEFT(Control_Achizitii!$E631,4)="Fact",1,0)</f>
        <v>0</v>
      </c>
      <c r="U631" s="27">
        <f>IF(Control_Achizitii!$C631="",0,IF(ISNUMBER(Control_Achizitii!$B631),0,1))</f>
        <v>0</v>
      </c>
      <c r="V631" s="27">
        <f>IF(Control_Achizitii!$C631="",0,IF($Z$2&lt;&gt;"OK",0,IF(AND(ISNUMBER(Control_Achizitii!$B631),Control_Achizitii!$B631&gt;=$E$5,Control_Achizitii!$B631&lt;$J$5+1,OR($O$5="Toate proiectele",Control_Achizitii!$Q631=$O$5)),1,0)))</f>
        <v>0</v>
      </c>
      <c r="W631" s="27">
        <f>IF(AND(V631=1,OR(Control_Achizitii!$J631&lt;&gt;"DOSAR COMPLET",Control_Achizitii!$K631&lt;&gt;"")),ROW(),1000000000)</f>
        <v>1000000000</v>
      </c>
      <c r="X631" s="27">
        <f>IF(AND(V631=1,LEFT(Control_Achizitii!$E631,4)="Fact",NOT(ISNUMBER(Control_Achizitii!$P631))),1,0)</f>
        <v>0</v>
      </c>
      <c r="Y631" s="27">
        <f>IF(V631=0,0,IF(Control_Achizitii!$J631="DOSAR COMPLET",1,IF(LEFT(Control_Achizitii!$J631,9)="INCOMPLET",2,3)))</f>
        <v>0</v>
      </c>
      <c r="Z631" s="27"/>
      <c r="AA631" s="27"/>
      <c r="AB631" s="27"/>
      <c r="AC631" s="27"/>
      <c r="AD631" s="27"/>
      <c r="AE631" s="27"/>
      <c r="AF631" s="27"/>
      <c r="AG631" s="27"/>
      <c r="AH631" s="27">
        <f>IF(AND(V631=1,Control_Achizitii!$J631="DOSAR COMPLET",Control_Achizitii!$K631&lt;&gt;""),1,0)</f>
        <v>0</v>
      </c>
    </row>
    <row r="632" spans="1:34">
      <c r="A632" s="27"/>
      <c r="B632" s="27"/>
      <c r="C632" s="27"/>
      <c r="D632" s="27"/>
      <c r="E632" s="27"/>
      <c r="F632" s="27"/>
      <c r="G632" s="27"/>
      <c r="H632" s="27"/>
      <c r="I632" s="27"/>
      <c r="J632" s="27"/>
      <c r="K632" s="27"/>
      <c r="L632" s="27"/>
      <c r="M632" s="27"/>
      <c r="N632" s="27"/>
      <c r="O632" s="27"/>
      <c r="P632" s="27"/>
      <c r="Q632" s="27"/>
      <c r="R632" s="27"/>
      <c r="S632" s="27"/>
      <c r="T632" s="27">
        <f>IF(LEFT(Control_Achizitii!$E632,4)="Fact",1,0)</f>
        <v>0</v>
      </c>
      <c r="U632" s="27">
        <f>IF(Control_Achizitii!$C632="",0,IF(ISNUMBER(Control_Achizitii!$B632),0,1))</f>
        <v>0</v>
      </c>
      <c r="V632" s="27">
        <f>IF(Control_Achizitii!$C632="",0,IF($Z$2&lt;&gt;"OK",0,IF(AND(ISNUMBER(Control_Achizitii!$B632),Control_Achizitii!$B632&gt;=$E$5,Control_Achizitii!$B632&lt;$J$5+1,OR($O$5="Toate proiectele",Control_Achizitii!$Q632=$O$5)),1,0)))</f>
        <v>0</v>
      </c>
      <c r="W632" s="27">
        <f>IF(AND(V632=1,OR(Control_Achizitii!$J632&lt;&gt;"DOSAR COMPLET",Control_Achizitii!$K632&lt;&gt;"")),ROW(),1000000000)</f>
        <v>1000000000</v>
      </c>
      <c r="X632" s="27">
        <f>IF(AND(V632=1,LEFT(Control_Achizitii!$E632,4)="Fact",NOT(ISNUMBER(Control_Achizitii!$P632))),1,0)</f>
        <v>0</v>
      </c>
      <c r="Y632" s="27">
        <f>IF(V632=0,0,IF(Control_Achizitii!$J632="DOSAR COMPLET",1,IF(LEFT(Control_Achizitii!$J632,9)="INCOMPLET",2,3)))</f>
        <v>0</v>
      </c>
      <c r="Z632" s="27"/>
      <c r="AA632" s="27"/>
      <c r="AB632" s="27"/>
      <c r="AC632" s="27"/>
      <c r="AD632" s="27"/>
      <c r="AE632" s="27"/>
      <c r="AF632" s="27"/>
      <c r="AG632" s="27"/>
      <c r="AH632" s="27">
        <f>IF(AND(V632=1,Control_Achizitii!$J632="DOSAR COMPLET",Control_Achizitii!$K632&lt;&gt;""),1,0)</f>
        <v>0</v>
      </c>
    </row>
    <row r="633" spans="1:34">
      <c r="A633" s="27"/>
      <c r="B633" s="27"/>
      <c r="C633" s="27"/>
      <c r="D633" s="27"/>
      <c r="E633" s="27"/>
      <c r="F633" s="27"/>
      <c r="G633" s="27"/>
      <c r="H633" s="27"/>
      <c r="I633" s="27"/>
      <c r="J633" s="27"/>
      <c r="K633" s="27"/>
      <c r="L633" s="27"/>
      <c r="M633" s="27"/>
      <c r="N633" s="27"/>
      <c r="O633" s="27"/>
      <c r="P633" s="27"/>
      <c r="Q633" s="27"/>
      <c r="R633" s="27"/>
      <c r="S633" s="27"/>
      <c r="T633" s="27">
        <f>IF(LEFT(Control_Achizitii!$E633,4)="Fact",1,0)</f>
        <v>0</v>
      </c>
      <c r="U633" s="27">
        <f>IF(Control_Achizitii!$C633="",0,IF(ISNUMBER(Control_Achizitii!$B633),0,1))</f>
        <v>0</v>
      </c>
      <c r="V633" s="27">
        <f>IF(Control_Achizitii!$C633="",0,IF($Z$2&lt;&gt;"OK",0,IF(AND(ISNUMBER(Control_Achizitii!$B633),Control_Achizitii!$B633&gt;=$E$5,Control_Achizitii!$B633&lt;$J$5+1,OR($O$5="Toate proiectele",Control_Achizitii!$Q633=$O$5)),1,0)))</f>
        <v>0</v>
      </c>
      <c r="W633" s="27">
        <f>IF(AND(V633=1,OR(Control_Achizitii!$J633&lt;&gt;"DOSAR COMPLET",Control_Achizitii!$K633&lt;&gt;"")),ROW(),1000000000)</f>
        <v>1000000000</v>
      </c>
      <c r="X633" s="27">
        <f>IF(AND(V633=1,LEFT(Control_Achizitii!$E633,4)="Fact",NOT(ISNUMBER(Control_Achizitii!$P633))),1,0)</f>
        <v>0</v>
      </c>
      <c r="Y633" s="27">
        <f>IF(V633=0,0,IF(Control_Achizitii!$J633="DOSAR COMPLET",1,IF(LEFT(Control_Achizitii!$J633,9)="INCOMPLET",2,3)))</f>
        <v>0</v>
      </c>
      <c r="Z633" s="27"/>
      <c r="AA633" s="27"/>
      <c r="AB633" s="27"/>
      <c r="AC633" s="27"/>
      <c r="AD633" s="27"/>
      <c r="AE633" s="27"/>
      <c r="AF633" s="27"/>
      <c r="AG633" s="27"/>
      <c r="AH633" s="27">
        <f>IF(AND(V633=1,Control_Achizitii!$J633="DOSAR COMPLET",Control_Achizitii!$K633&lt;&gt;""),1,0)</f>
        <v>0</v>
      </c>
    </row>
    <row r="634" spans="1:34">
      <c r="A634" s="27"/>
      <c r="B634" s="27"/>
      <c r="C634" s="27"/>
      <c r="D634" s="27"/>
      <c r="E634" s="27"/>
      <c r="F634" s="27"/>
      <c r="G634" s="27"/>
      <c r="H634" s="27"/>
      <c r="I634" s="27"/>
      <c r="J634" s="27"/>
      <c r="K634" s="27"/>
      <c r="L634" s="27"/>
      <c r="M634" s="27"/>
      <c r="N634" s="27"/>
      <c r="O634" s="27"/>
      <c r="P634" s="27"/>
      <c r="Q634" s="27"/>
      <c r="R634" s="27"/>
      <c r="S634" s="27"/>
      <c r="T634" s="27">
        <f>IF(LEFT(Control_Achizitii!$E634,4)="Fact",1,0)</f>
        <v>0</v>
      </c>
      <c r="U634" s="27">
        <f>IF(Control_Achizitii!$C634="",0,IF(ISNUMBER(Control_Achizitii!$B634),0,1))</f>
        <v>0</v>
      </c>
      <c r="V634" s="27">
        <f>IF(Control_Achizitii!$C634="",0,IF($Z$2&lt;&gt;"OK",0,IF(AND(ISNUMBER(Control_Achizitii!$B634),Control_Achizitii!$B634&gt;=$E$5,Control_Achizitii!$B634&lt;$J$5+1,OR($O$5="Toate proiectele",Control_Achizitii!$Q634=$O$5)),1,0)))</f>
        <v>0</v>
      </c>
      <c r="W634" s="27">
        <f>IF(AND(V634=1,OR(Control_Achizitii!$J634&lt;&gt;"DOSAR COMPLET",Control_Achizitii!$K634&lt;&gt;"")),ROW(),1000000000)</f>
        <v>1000000000</v>
      </c>
      <c r="X634" s="27">
        <f>IF(AND(V634=1,LEFT(Control_Achizitii!$E634,4)="Fact",NOT(ISNUMBER(Control_Achizitii!$P634))),1,0)</f>
        <v>0</v>
      </c>
      <c r="Y634" s="27">
        <f>IF(V634=0,0,IF(Control_Achizitii!$J634="DOSAR COMPLET",1,IF(LEFT(Control_Achizitii!$J634,9)="INCOMPLET",2,3)))</f>
        <v>0</v>
      </c>
      <c r="Z634" s="27"/>
      <c r="AA634" s="27"/>
      <c r="AB634" s="27"/>
      <c r="AC634" s="27"/>
      <c r="AD634" s="27"/>
      <c r="AE634" s="27"/>
      <c r="AF634" s="27"/>
      <c r="AG634" s="27"/>
      <c r="AH634" s="27">
        <f>IF(AND(V634=1,Control_Achizitii!$J634="DOSAR COMPLET",Control_Achizitii!$K634&lt;&gt;""),1,0)</f>
        <v>0</v>
      </c>
    </row>
    <row r="635" spans="1:34">
      <c r="A635" s="27"/>
      <c r="B635" s="27"/>
      <c r="C635" s="27"/>
      <c r="D635" s="27"/>
      <c r="E635" s="27"/>
      <c r="F635" s="27"/>
      <c r="G635" s="27"/>
      <c r="H635" s="27"/>
      <c r="I635" s="27"/>
      <c r="J635" s="27"/>
      <c r="K635" s="27"/>
      <c r="L635" s="27"/>
      <c r="M635" s="27"/>
      <c r="N635" s="27"/>
      <c r="O635" s="27"/>
      <c r="P635" s="27"/>
      <c r="Q635" s="27"/>
      <c r="R635" s="27"/>
      <c r="S635" s="27"/>
      <c r="T635" s="27">
        <f>IF(LEFT(Control_Achizitii!$E635,4)="Fact",1,0)</f>
        <v>0</v>
      </c>
      <c r="U635" s="27">
        <f>IF(Control_Achizitii!$C635="",0,IF(ISNUMBER(Control_Achizitii!$B635),0,1))</f>
        <v>0</v>
      </c>
      <c r="V635" s="27">
        <f>IF(Control_Achizitii!$C635="",0,IF($Z$2&lt;&gt;"OK",0,IF(AND(ISNUMBER(Control_Achizitii!$B635),Control_Achizitii!$B635&gt;=$E$5,Control_Achizitii!$B635&lt;$J$5+1,OR($O$5="Toate proiectele",Control_Achizitii!$Q635=$O$5)),1,0)))</f>
        <v>0</v>
      </c>
      <c r="W635" s="27">
        <f>IF(AND(V635=1,OR(Control_Achizitii!$J635&lt;&gt;"DOSAR COMPLET",Control_Achizitii!$K635&lt;&gt;"")),ROW(),1000000000)</f>
        <v>1000000000</v>
      </c>
      <c r="X635" s="27">
        <f>IF(AND(V635=1,LEFT(Control_Achizitii!$E635,4)="Fact",NOT(ISNUMBER(Control_Achizitii!$P635))),1,0)</f>
        <v>0</v>
      </c>
      <c r="Y635" s="27">
        <f>IF(V635=0,0,IF(Control_Achizitii!$J635="DOSAR COMPLET",1,IF(LEFT(Control_Achizitii!$J635,9)="INCOMPLET",2,3)))</f>
        <v>0</v>
      </c>
      <c r="Z635" s="27"/>
      <c r="AA635" s="27"/>
      <c r="AB635" s="27"/>
      <c r="AC635" s="27"/>
      <c r="AD635" s="27"/>
      <c r="AE635" s="27"/>
      <c r="AF635" s="27"/>
      <c r="AG635" s="27"/>
      <c r="AH635" s="27">
        <f>IF(AND(V635=1,Control_Achizitii!$J635="DOSAR COMPLET",Control_Achizitii!$K635&lt;&gt;""),1,0)</f>
        <v>0</v>
      </c>
    </row>
    <row r="636" spans="1:34">
      <c r="A636" s="27"/>
      <c r="B636" s="27"/>
      <c r="C636" s="27"/>
      <c r="D636" s="27"/>
      <c r="E636" s="27"/>
      <c r="F636" s="27"/>
      <c r="G636" s="27"/>
      <c r="H636" s="27"/>
      <c r="I636" s="27"/>
      <c r="J636" s="27"/>
      <c r="K636" s="27"/>
      <c r="L636" s="27"/>
      <c r="M636" s="27"/>
      <c r="N636" s="27"/>
      <c r="O636" s="27"/>
      <c r="P636" s="27"/>
      <c r="Q636" s="27"/>
      <c r="R636" s="27"/>
      <c r="S636" s="27"/>
      <c r="T636" s="27">
        <f>IF(LEFT(Control_Achizitii!$E636,4)="Fact",1,0)</f>
        <v>0</v>
      </c>
      <c r="U636" s="27">
        <f>IF(Control_Achizitii!$C636="",0,IF(ISNUMBER(Control_Achizitii!$B636),0,1))</f>
        <v>0</v>
      </c>
      <c r="V636" s="27">
        <f>IF(Control_Achizitii!$C636="",0,IF($Z$2&lt;&gt;"OK",0,IF(AND(ISNUMBER(Control_Achizitii!$B636),Control_Achizitii!$B636&gt;=$E$5,Control_Achizitii!$B636&lt;$J$5+1,OR($O$5="Toate proiectele",Control_Achizitii!$Q636=$O$5)),1,0)))</f>
        <v>0</v>
      </c>
      <c r="W636" s="27">
        <f>IF(AND(V636=1,OR(Control_Achizitii!$J636&lt;&gt;"DOSAR COMPLET",Control_Achizitii!$K636&lt;&gt;"")),ROW(),1000000000)</f>
        <v>1000000000</v>
      </c>
      <c r="X636" s="27">
        <f>IF(AND(V636=1,LEFT(Control_Achizitii!$E636,4)="Fact",NOT(ISNUMBER(Control_Achizitii!$P636))),1,0)</f>
        <v>0</v>
      </c>
      <c r="Y636" s="27">
        <f>IF(V636=0,0,IF(Control_Achizitii!$J636="DOSAR COMPLET",1,IF(LEFT(Control_Achizitii!$J636,9)="INCOMPLET",2,3)))</f>
        <v>0</v>
      </c>
      <c r="Z636" s="27"/>
      <c r="AA636" s="27"/>
      <c r="AB636" s="27"/>
      <c r="AC636" s="27"/>
      <c r="AD636" s="27"/>
      <c r="AE636" s="27"/>
      <c r="AF636" s="27"/>
      <c r="AG636" s="27"/>
      <c r="AH636" s="27">
        <f>IF(AND(V636=1,Control_Achizitii!$J636="DOSAR COMPLET",Control_Achizitii!$K636&lt;&gt;""),1,0)</f>
        <v>0</v>
      </c>
    </row>
    <row r="637" spans="1:34">
      <c r="A637" s="27"/>
      <c r="B637" s="27"/>
      <c r="C637" s="27"/>
      <c r="D637" s="27"/>
      <c r="E637" s="27"/>
      <c r="F637" s="27"/>
      <c r="G637" s="27"/>
      <c r="H637" s="27"/>
      <c r="I637" s="27"/>
      <c r="J637" s="27"/>
      <c r="K637" s="27"/>
      <c r="L637" s="27"/>
      <c r="M637" s="27"/>
      <c r="N637" s="27"/>
      <c r="O637" s="27"/>
      <c r="P637" s="27"/>
      <c r="Q637" s="27"/>
      <c r="R637" s="27"/>
      <c r="S637" s="27"/>
      <c r="T637" s="27">
        <f>IF(LEFT(Control_Achizitii!$E637,4)="Fact",1,0)</f>
        <v>0</v>
      </c>
      <c r="U637" s="27">
        <f>IF(Control_Achizitii!$C637="",0,IF(ISNUMBER(Control_Achizitii!$B637),0,1))</f>
        <v>0</v>
      </c>
      <c r="V637" s="27">
        <f>IF(Control_Achizitii!$C637="",0,IF($Z$2&lt;&gt;"OK",0,IF(AND(ISNUMBER(Control_Achizitii!$B637),Control_Achizitii!$B637&gt;=$E$5,Control_Achizitii!$B637&lt;$J$5+1,OR($O$5="Toate proiectele",Control_Achizitii!$Q637=$O$5)),1,0)))</f>
        <v>0</v>
      </c>
      <c r="W637" s="27">
        <f>IF(AND(V637=1,OR(Control_Achizitii!$J637&lt;&gt;"DOSAR COMPLET",Control_Achizitii!$K637&lt;&gt;"")),ROW(),1000000000)</f>
        <v>1000000000</v>
      </c>
      <c r="X637" s="27">
        <f>IF(AND(V637=1,LEFT(Control_Achizitii!$E637,4)="Fact",NOT(ISNUMBER(Control_Achizitii!$P637))),1,0)</f>
        <v>0</v>
      </c>
      <c r="Y637" s="27">
        <f>IF(V637=0,0,IF(Control_Achizitii!$J637="DOSAR COMPLET",1,IF(LEFT(Control_Achizitii!$J637,9)="INCOMPLET",2,3)))</f>
        <v>0</v>
      </c>
      <c r="Z637" s="27"/>
      <c r="AA637" s="27"/>
      <c r="AB637" s="27"/>
      <c r="AC637" s="27"/>
      <c r="AD637" s="27"/>
      <c r="AE637" s="27"/>
      <c r="AF637" s="27"/>
      <c r="AG637" s="27"/>
      <c r="AH637" s="27">
        <f>IF(AND(V637=1,Control_Achizitii!$J637="DOSAR COMPLET",Control_Achizitii!$K637&lt;&gt;""),1,0)</f>
        <v>0</v>
      </c>
    </row>
    <row r="638" spans="1:34">
      <c r="A638" s="27"/>
      <c r="B638" s="27"/>
      <c r="C638" s="27"/>
      <c r="D638" s="27"/>
      <c r="E638" s="27"/>
      <c r="F638" s="27"/>
      <c r="G638" s="27"/>
      <c r="H638" s="27"/>
      <c r="I638" s="27"/>
      <c r="J638" s="27"/>
      <c r="K638" s="27"/>
      <c r="L638" s="27"/>
      <c r="M638" s="27"/>
      <c r="N638" s="27"/>
      <c r="O638" s="27"/>
      <c r="P638" s="27"/>
      <c r="Q638" s="27"/>
      <c r="R638" s="27"/>
      <c r="S638" s="27"/>
      <c r="T638" s="27">
        <f>IF(LEFT(Control_Achizitii!$E638,4)="Fact",1,0)</f>
        <v>0</v>
      </c>
      <c r="U638" s="27">
        <f>IF(Control_Achizitii!$C638="",0,IF(ISNUMBER(Control_Achizitii!$B638),0,1))</f>
        <v>0</v>
      </c>
      <c r="V638" s="27">
        <f>IF(Control_Achizitii!$C638="",0,IF($Z$2&lt;&gt;"OK",0,IF(AND(ISNUMBER(Control_Achizitii!$B638),Control_Achizitii!$B638&gt;=$E$5,Control_Achizitii!$B638&lt;$J$5+1,OR($O$5="Toate proiectele",Control_Achizitii!$Q638=$O$5)),1,0)))</f>
        <v>0</v>
      </c>
      <c r="W638" s="27">
        <f>IF(AND(V638=1,OR(Control_Achizitii!$J638&lt;&gt;"DOSAR COMPLET",Control_Achizitii!$K638&lt;&gt;"")),ROW(),1000000000)</f>
        <v>1000000000</v>
      </c>
      <c r="X638" s="27">
        <f>IF(AND(V638=1,LEFT(Control_Achizitii!$E638,4)="Fact",NOT(ISNUMBER(Control_Achizitii!$P638))),1,0)</f>
        <v>0</v>
      </c>
      <c r="Y638" s="27">
        <f>IF(V638=0,0,IF(Control_Achizitii!$J638="DOSAR COMPLET",1,IF(LEFT(Control_Achizitii!$J638,9)="INCOMPLET",2,3)))</f>
        <v>0</v>
      </c>
      <c r="Z638" s="27"/>
      <c r="AA638" s="27"/>
      <c r="AB638" s="27"/>
      <c r="AC638" s="27"/>
      <c r="AD638" s="27"/>
      <c r="AE638" s="27"/>
      <c r="AF638" s="27"/>
      <c r="AG638" s="27"/>
      <c r="AH638" s="27">
        <f>IF(AND(V638=1,Control_Achizitii!$J638="DOSAR COMPLET",Control_Achizitii!$K638&lt;&gt;""),1,0)</f>
        <v>0</v>
      </c>
    </row>
    <row r="639" spans="1:34">
      <c r="A639" s="27"/>
      <c r="B639" s="27"/>
      <c r="C639" s="27"/>
      <c r="D639" s="27"/>
      <c r="E639" s="27"/>
      <c r="F639" s="27"/>
      <c r="G639" s="27"/>
      <c r="H639" s="27"/>
      <c r="I639" s="27"/>
      <c r="J639" s="27"/>
      <c r="K639" s="27"/>
      <c r="L639" s="27"/>
      <c r="M639" s="27"/>
      <c r="N639" s="27"/>
      <c r="O639" s="27"/>
      <c r="P639" s="27"/>
      <c r="Q639" s="27"/>
      <c r="R639" s="27"/>
      <c r="S639" s="27"/>
      <c r="T639" s="27">
        <f>IF(LEFT(Control_Achizitii!$E639,4)="Fact",1,0)</f>
        <v>0</v>
      </c>
      <c r="U639" s="27">
        <f>IF(Control_Achizitii!$C639="",0,IF(ISNUMBER(Control_Achizitii!$B639),0,1))</f>
        <v>0</v>
      </c>
      <c r="V639" s="27">
        <f>IF(Control_Achizitii!$C639="",0,IF($Z$2&lt;&gt;"OK",0,IF(AND(ISNUMBER(Control_Achizitii!$B639),Control_Achizitii!$B639&gt;=$E$5,Control_Achizitii!$B639&lt;$J$5+1,OR($O$5="Toate proiectele",Control_Achizitii!$Q639=$O$5)),1,0)))</f>
        <v>0</v>
      </c>
      <c r="W639" s="27">
        <f>IF(AND(V639=1,OR(Control_Achizitii!$J639&lt;&gt;"DOSAR COMPLET",Control_Achizitii!$K639&lt;&gt;"")),ROW(),1000000000)</f>
        <v>1000000000</v>
      </c>
      <c r="X639" s="27">
        <f>IF(AND(V639=1,LEFT(Control_Achizitii!$E639,4)="Fact",NOT(ISNUMBER(Control_Achizitii!$P639))),1,0)</f>
        <v>0</v>
      </c>
      <c r="Y639" s="27">
        <f>IF(V639=0,0,IF(Control_Achizitii!$J639="DOSAR COMPLET",1,IF(LEFT(Control_Achizitii!$J639,9)="INCOMPLET",2,3)))</f>
        <v>0</v>
      </c>
      <c r="Z639" s="27"/>
      <c r="AA639" s="27"/>
      <c r="AB639" s="27"/>
      <c r="AC639" s="27"/>
      <c r="AD639" s="27"/>
      <c r="AE639" s="27"/>
      <c r="AF639" s="27"/>
      <c r="AG639" s="27"/>
      <c r="AH639" s="27">
        <f>IF(AND(V639=1,Control_Achizitii!$J639="DOSAR COMPLET",Control_Achizitii!$K639&lt;&gt;""),1,0)</f>
        <v>0</v>
      </c>
    </row>
    <row r="640" spans="1:34">
      <c r="A640" s="27"/>
      <c r="B640" s="27"/>
      <c r="C640" s="27"/>
      <c r="D640" s="27"/>
      <c r="E640" s="27"/>
      <c r="F640" s="27"/>
      <c r="G640" s="27"/>
      <c r="H640" s="27"/>
      <c r="I640" s="27"/>
      <c r="J640" s="27"/>
      <c r="K640" s="27"/>
      <c r="L640" s="27"/>
      <c r="M640" s="27"/>
      <c r="N640" s="27"/>
      <c r="O640" s="27"/>
      <c r="P640" s="27"/>
      <c r="Q640" s="27"/>
      <c r="R640" s="27"/>
      <c r="S640" s="27"/>
      <c r="T640" s="27">
        <f>IF(LEFT(Control_Achizitii!$E640,4)="Fact",1,0)</f>
        <v>0</v>
      </c>
      <c r="U640" s="27">
        <f>IF(Control_Achizitii!$C640="",0,IF(ISNUMBER(Control_Achizitii!$B640),0,1))</f>
        <v>0</v>
      </c>
      <c r="V640" s="27">
        <f>IF(Control_Achizitii!$C640="",0,IF($Z$2&lt;&gt;"OK",0,IF(AND(ISNUMBER(Control_Achizitii!$B640),Control_Achizitii!$B640&gt;=$E$5,Control_Achizitii!$B640&lt;$J$5+1,OR($O$5="Toate proiectele",Control_Achizitii!$Q640=$O$5)),1,0)))</f>
        <v>0</v>
      </c>
      <c r="W640" s="27">
        <f>IF(AND(V640=1,OR(Control_Achizitii!$J640&lt;&gt;"DOSAR COMPLET",Control_Achizitii!$K640&lt;&gt;"")),ROW(),1000000000)</f>
        <v>1000000000</v>
      </c>
      <c r="X640" s="27">
        <f>IF(AND(V640=1,LEFT(Control_Achizitii!$E640,4)="Fact",NOT(ISNUMBER(Control_Achizitii!$P640))),1,0)</f>
        <v>0</v>
      </c>
      <c r="Y640" s="27">
        <f>IF(V640=0,0,IF(Control_Achizitii!$J640="DOSAR COMPLET",1,IF(LEFT(Control_Achizitii!$J640,9)="INCOMPLET",2,3)))</f>
        <v>0</v>
      </c>
      <c r="Z640" s="27"/>
      <c r="AA640" s="27"/>
      <c r="AB640" s="27"/>
      <c r="AC640" s="27"/>
      <c r="AD640" s="27"/>
      <c r="AE640" s="27"/>
      <c r="AF640" s="27"/>
      <c r="AG640" s="27"/>
      <c r="AH640" s="27">
        <f>IF(AND(V640=1,Control_Achizitii!$J640="DOSAR COMPLET",Control_Achizitii!$K640&lt;&gt;""),1,0)</f>
        <v>0</v>
      </c>
    </row>
    <row r="641" spans="1:34">
      <c r="A641" s="27"/>
      <c r="B641" s="27"/>
      <c r="C641" s="27"/>
      <c r="D641" s="27"/>
      <c r="E641" s="27"/>
      <c r="F641" s="27"/>
      <c r="G641" s="27"/>
      <c r="H641" s="27"/>
      <c r="I641" s="27"/>
      <c r="J641" s="27"/>
      <c r="K641" s="27"/>
      <c r="L641" s="27"/>
      <c r="M641" s="27"/>
      <c r="N641" s="27"/>
      <c r="O641" s="27"/>
      <c r="P641" s="27"/>
      <c r="Q641" s="27"/>
      <c r="R641" s="27"/>
      <c r="S641" s="27"/>
      <c r="T641" s="27">
        <f>IF(LEFT(Control_Achizitii!$E641,4)="Fact",1,0)</f>
        <v>0</v>
      </c>
      <c r="U641" s="27">
        <f>IF(Control_Achizitii!$C641="",0,IF(ISNUMBER(Control_Achizitii!$B641),0,1))</f>
        <v>0</v>
      </c>
      <c r="V641" s="27">
        <f>IF(Control_Achizitii!$C641="",0,IF($Z$2&lt;&gt;"OK",0,IF(AND(ISNUMBER(Control_Achizitii!$B641),Control_Achizitii!$B641&gt;=$E$5,Control_Achizitii!$B641&lt;$J$5+1,OR($O$5="Toate proiectele",Control_Achizitii!$Q641=$O$5)),1,0)))</f>
        <v>0</v>
      </c>
      <c r="W641" s="27">
        <f>IF(AND(V641=1,OR(Control_Achizitii!$J641&lt;&gt;"DOSAR COMPLET",Control_Achizitii!$K641&lt;&gt;"")),ROW(),1000000000)</f>
        <v>1000000000</v>
      </c>
      <c r="X641" s="27">
        <f>IF(AND(V641=1,LEFT(Control_Achizitii!$E641,4)="Fact",NOT(ISNUMBER(Control_Achizitii!$P641))),1,0)</f>
        <v>0</v>
      </c>
      <c r="Y641" s="27">
        <f>IF(V641=0,0,IF(Control_Achizitii!$J641="DOSAR COMPLET",1,IF(LEFT(Control_Achizitii!$J641,9)="INCOMPLET",2,3)))</f>
        <v>0</v>
      </c>
      <c r="Z641" s="27"/>
      <c r="AA641" s="27"/>
      <c r="AB641" s="27"/>
      <c r="AC641" s="27"/>
      <c r="AD641" s="27"/>
      <c r="AE641" s="27"/>
      <c r="AF641" s="27"/>
      <c r="AG641" s="27"/>
      <c r="AH641" s="27">
        <f>IF(AND(V641=1,Control_Achizitii!$J641="DOSAR COMPLET",Control_Achizitii!$K641&lt;&gt;""),1,0)</f>
        <v>0</v>
      </c>
    </row>
    <row r="642" spans="1:34">
      <c r="A642" s="27"/>
      <c r="B642" s="27"/>
      <c r="C642" s="27"/>
      <c r="D642" s="27"/>
      <c r="E642" s="27"/>
      <c r="F642" s="27"/>
      <c r="G642" s="27"/>
      <c r="H642" s="27"/>
      <c r="I642" s="27"/>
      <c r="J642" s="27"/>
      <c r="K642" s="27"/>
      <c r="L642" s="27"/>
      <c r="M642" s="27"/>
      <c r="N642" s="27"/>
      <c r="O642" s="27"/>
      <c r="P642" s="27"/>
      <c r="Q642" s="27"/>
      <c r="R642" s="27"/>
      <c r="S642" s="27"/>
      <c r="T642" s="27">
        <f>IF(LEFT(Control_Achizitii!$E642,4)="Fact",1,0)</f>
        <v>0</v>
      </c>
      <c r="U642" s="27">
        <f>IF(Control_Achizitii!$C642="",0,IF(ISNUMBER(Control_Achizitii!$B642),0,1))</f>
        <v>0</v>
      </c>
      <c r="V642" s="27">
        <f>IF(Control_Achizitii!$C642="",0,IF($Z$2&lt;&gt;"OK",0,IF(AND(ISNUMBER(Control_Achizitii!$B642),Control_Achizitii!$B642&gt;=$E$5,Control_Achizitii!$B642&lt;$J$5+1,OR($O$5="Toate proiectele",Control_Achizitii!$Q642=$O$5)),1,0)))</f>
        <v>0</v>
      </c>
      <c r="W642" s="27">
        <f>IF(AND(V642=1,OR(Control_Achizitii!$J642&lt;&gt;"DOSAR COMPLET",Control_Achizitii!$K642&lt;&gt;"")),ROW(),1000000000)</f>
        <v>1000000000</v>
      </c>
      <c r="X642" s="27">
        <f>IF(AND(V642=1,LEFT(Control_Achizitii!$E642,4)="Fact",NOT(ISNUMBER(Control_Achizitii!$P642))),1,0)</f>
        <v>0</v>
      </c>
      <c r="Y642" s="27">
        <f>IF(V642=0,0,IF(Control_Achizitii!$J642="DOSAR COMPLET",1,IF(LEFT(Control_Achizitii!$J642,9)="INCOMPLET",2,3)))</f>
        <v>0</v>
      </c>
      <c r="Z642" s="27"/>
      <c r="AA642" s="27"/>
      <c r="AB642" s="27"/>
      <c r="AC642" s="27"/>
      <c r="AD642" s="27"/>
      <c r="AE642" s="27"/>
      <c r="AF642" s="27"/>
      <c r="AG642" s="27"/>
      <c r="AH642" s="27">
        <f>IF(AND(V642=1,Control_Achizitii!$J642="DOSAR COMPLET",Control_Achizitii!$K642&lt;&gt;""),1,0)</f>
        <v>0</v>
      </c>
    </row>
    <row r="643" spans="1:34">
      <c r="A643" s="27"/>
      <c r="B643" s="27"/>
      <c r="C643" s="27"/>
      <c r="D643" s="27"/>
      <c r="E643" s="27"/>
      <c r="F643" s="27"/>
      <c r="G643" s="27"/>
      <c r="H643" s="27"/>
      <c r="I643" s="27"/>
      <c r="J643" s="27"/>
      <c r="K643" s="27"/>
      <c r="L643" s="27"/>
      <c r="M643" s="27"/>
      <c r="N643" s="27"/>
      <c r="O643" s="27"/>
      <c r="P643" s="27"/>
      <c r="Q643" s="27"/>
      <c r="R643" s="27"/>
      <c r="S643" s="27"/>
      <c r="T643" s="27">
        <f>IF(LEFT(Control_Achizitii!$E643,4)="Fact",1,0)</f>
        <v>0</v>
      </c>
      <c r="U643" s="27">
        <f>IF(Control_Achizitii!$C643="",0,IF(ISNUMBER(Control_Achizitii!$B643),0,1))</f>
        <v>0</v>
      </c>
      <c r="V643" s="27">
        <f>IF(Control_Achizitii!$C643="",0,IF($Z$2&lt;&gt;"OK",0,IF(AND(ISNUMBER(Control_Achizitii!$B643),Control_Achizitii!$B643&gt;=$E$5,Control_Achizitii!$B643&lt;$J$5+1,OR($O$5="Toate proiectele",Control_Achizitii!$Q643=$O$5)),1,0)))</f>
        <v>0</v>
      </c>
      <c r="W643" s="27">
        <f>IF(AND(V643=1,OR(Control_Achizitii!$J643&lt;&gt;"DOSAR COMPLET",Control_Achizitii!$K643&lt;&gt;"")),ROW(),1000000000)</f>
        <v>1000000000</v>
      </c>
      <c r="X643" s="27">
        <f>IF(AND(V643=1,LEFT(Control_Achizitii!$E643,4)="Fact",NOT(ISNUMBER(Control_Achizitii!$P643))),1,0)</f>
        <v>0</v>
      </c>
      <c r="Y643" s="27">
        <f>IF(V643=0,0,IF(Control_Achizitii!$J643="DOSAR COMPLET",1,IF(LEFT(Control_Achizitii!$J643,9)="INCOMPLET",2,3)))</f>
        <v>0</v>
      </c>
      <c r="Z643" s="27"/>
      <c r="AA643" s="27"/>
      <c r="AB643" s="27"/>
      <c r="AC643" s="27"/>
      <c r="AD643" s="27"/>
      <c r="AE643" s="27"/>
      <c r="AF643" s="27"/>
      <c r="AG643" s="27"/>
      <c r="AH643" s="27">
        <f>IF(AND(V643=1,Control_Achizitii!$J643="DOSAR COMPLET",Control_Achizitii!$K643&lt;&gt;""),1,0)</f>
        <v>0</v>
      </c>
    </row>
    <row r="644" spans="1:34">
      <c r="A644" s="27"/>
      <c r="B644" s="27"/>
      <c r="C644" s="27"/>
      <c r="D644" s="27"/>
      <c r="E644" s="27"/>
      <c r="F644" s="27"/>
      <c r="G644" s="27"/>
      <c r="H644" s="27"/>
      <c r="I644" s="27"/>
      <c r="J644" s="27"/>
      <c r="K644" s="27"/>
      <c r="L644" s="27"/>
      <c r="M644" s="27"/>
      <c r="N644" s="27"/>
      <c r="O644" s="27"/>
      <c r="P644" s="27"/>
      <c r="Q644" s="27"/>
      <c r="R644" s="27"/>
      <c r="S644" s="27"/>
      <c r="T644" s="27">
        <f>IF(LEFT(Control_Achizitii!$E644,4)="Fact",1,0)</f>
        <v>0</v>
      </c>
      <c r="U644" s="27">
        <f>IF(Control_Achizitii!$C644="",0,IF(ISNUMBER(Control_Achizitii!$B644),0,1))</f>
        <v>0</v>
      </c>
      <c r="V644" s="27">
        <f>IF(Control_Achizitii!$C644="",0,IF($Z$2&lt;&gt;"OK",0,IF(AND(ISNUMBER(Control_Achizitii!$B644),Control_Achizitii!$B644&gt;=$E$5,Control_Achizitii!$B644&lt;$J$5+1,OR($O$5="Toate proiectele",Control_Achizitii!$Q644=$O$5)),1,0)))</f>
        <v>0</v>
      </c>
      <c r="W644" s="27">
        <f>IF(AND(V644=1,OR(Control_Achizitii!$J644&lt;&gt;"DOSAR COMPLET",Control_Achizitii!$K644&lt;&gt;"")),ROW(),1000000000)</f>
        <v>1000000000</v>
      </c>
      <c r="X644" s="27">
        <f>IF(AND(V644=1,LEFT(Control_Achizitii!$E644,4)="Fact",NOT(ISNUMBER(Control_Achizitii!$P644))),1,0)</f>
        <v>0</v>
      </c>
      <c r="Y644" s="27">
        <f>IF(V644=0,0,IF(Control_Achizitii!$J644="DOSAR COMPLET",1,IF(LEFT(Control_Achizitii!$J644,9)="INCOMPLET",2,3)))</f>
        <v>0</v>
      </c>
      <c r="Z644" s="27"/>
      <c r="AA644" s="27"/>
      <c r="AB644" s="27"/>
      <c r="AC644" s="27"/>
      <c r="AD644" s="27"/>
      <c r="AE644" s="27"/>
      <c r="AF644" s="27"/>
      <c r="AG644" s="27"/>
      <c r="AH644" s="27">
        <f>IF(AND(V644=1,Control_Achizitii!$J644="DOSAR COMPLET",Control_Achizitii!$K644&lt;&gt;""),1,0)</f>
        <v>0</v>
      </c>
    </row>
    <row r="645" spans="1:34">
      <c r="A645" s="27"/>
      <c r="B645" s="27"/>
      <c r="C645" s="27"/>
      <c r="D645" s="27"/>
      <c r="E645" s="27"/>
      <c r="F645" s="27"/>
      <c r="G645" s="27"/>
      <c r="H645" s="27"/>
      <c r="I645" s="27"/>
      <c r="J645" s="27"/>
      <c r="K645" s="27"/>
      <c r="L645" s="27"/>
      <c r="M645" s="27"/>
      <c r="N645" s="27"/>
      <c r="O645" s="27"/>
      <c r="P645" s="27"/>
      <c r="Q645" s="27"/>
      <c r="R645" s="27"/>
      <c r="S645" s="27"/>
      <c r="T645" s="27">
        <f>IF(LEFT(Control_Achizitii!$E645,4)="Fact",1,0)</f>
        <v>0</v>
      </c>
      <c r="U645" s="27">
        <f>IF(Control_Achizitii!$C645="",0,IF(ISNUMBER(Control_Achizitii!$B645),0,1))</f>
        <v>0</v>
      </c>
      <c r="V645" s="27">
        <f>IF(Control_Achizitii!$C645="",0,IF($Z$2&lt;&gt;"OK",0,IF(AND(ISNUMBER(Control_Achizitii!$B645),Control_Achizitii!$B645&gt;=$E$5,Control_Achizitii!$B645&lt;$J$5+1,OR($O$5="Toate proiectele",Control_Achizitii!$Q645=$O$5)),1,0)))</f>
        <v>0</v>
      </c>
      <c r="W645" s="27">
        <f>IF(AND(V645=1,OR(Control_Achizitii!$J645&lt;&gt;"DOSAR COMPLET",Control_Achizitii!$K645&lt;&gt;"")),ROW(),1000000000)</f>
        <v>1000000000</v>
      </c>
      <c r="X645" s="27">
        <f>IF(AND(V645=1,LEFT(Control_Achizitii!$E645,4)="Fact",NOT(ISNUMBER(Control_Achizitii!$P645))),1,0)</f>
        <v>0</v>
      </c>
      <c r="Y645" s="27">
        <f>IF(V645=0,0,IF(Control_Achizitii!$J645="DOSAR COMPLET",1,IF(LEFT(Control_Achizitii!$J645,9)="INCOMPLET",2,3)))</f>
        <v>0</v>
      </c>
      <c r="Z645" s="27"/>
      <c r="AA645" s="27"/>
      <c r="AB645" s="27"/>
      <c r="AC645" s="27"/>
      <c r="AD645" s="27"/>
      <c r="AE645" s="27"/>
      <c r="AF645" s="27"/>
      <c r="AG645" s="27"/>
      <c r="AH645" s="27">
        <f>IF(AND(V645=1,Control_Achizitii!$J645="DOSAR COMPLET",Control_Achizitii!$K645&lt;&gt;""),1,0)</f>
        <v>0</v>
      </c>
    </row>
    <row r="646" spans="1:34">
      <c r="A646" s="27"/>
      <c r="B646" s="27"/>
      <c r="C646" s="27"/>
      <c r="D646" s="27"/>
      <c r="E646" s="27"/>
      <c r="F646" s="27"/>
      <c r="G646" s="27"/>
      <c r="H646" s="27"/>
      <c r="I646" s="27"/>
      <c r="J646" s="27"/>
      <c r="K646" s="27"/>
      <c r="L646" s="27"/>
      <c r="M646" s="27"/>
      <c r="N646" s="27"/>
      <c r="O646" s="27"/>
      <c r="P646" s="27"/>
      <c r="Q646" s="27"/>
      <c r="R646" s="27"/>
      <c r="S646" s="27"/>
      <c r="T646" s="27">
        <f>IF(LEFT(Control_Achizitii!$E646,4)="Fact",1,0)</f>
        <v>0</v>
      </c>
      <c r="U646" s="27">
        <f>IF(Control_Achizitii!$C646="",0,IF(ISNUMBER(Control_Achizitii!$B646),0,1))</f>
        <v>0</v>
      </c>
      <c r="V646" s="27">
        <f>IF(Control_Achizitii!$C646="",0,IF($Z$2&lt;&gt;"OK",0,IF(AND(ISNUMBER(Control_Achizitii!$B646),Control_Achizitii!$B646&gt;=$E$5,Control_Achizitii!$B646&lt;$J$5+1,OR($O$5="Toate proiectele",Control_Achizitii!$Q646=$O$5)),1,0)))</f>
        <v>0</v>
      </c>
      <c r="W646" s="27">
        <f>IF(AND(V646=1,OR(Control_Achizitii!$J646&lt;&gt;"DOSAR COMPLET",Control_Achizitii!$K646&lt;&gt;"")),ROW(),1000000000)</f>
        <v>1000000000</v>
      </c>
      <c r="X646" s="27">
        <f>IF(AND(V646=1,LEFT(Control_Achizitii!$E646,4)="Fact",NOT(ISNUMBER(Control_Achizitii!$P646))),1,0)</f>
        <v>0</v>
      </c>
      <c r="Y646" s="27">
        <f>IF(V646=0,0,IF(Control_Achizitii!$J646="DOSAR COMPLET",1,IF(LEFT(Control_Achizitii!$J646,9)="INCOMPLET",2,3)))</f>
        <v>0</v>
      </c>
      <c r="Z646" s="27"/>
      <c r="AA646" s="27"/>
      <c r="AB646" s="27"/>
      <c r="AC646" s="27"/>
      <c r="AD646" s="27"/>
      <c r="AE646" s="27"/>
      <c r="AF646" s="27"/>
      <c r="AG646" s="27"/>
      <c r="AH646" s="27">
        <f>IF(AND(V646=1,Control_Achizitii!$J646="DOSAR COMPLET",Control_Achizitii!$K646&lt;&gt;""),1,0)</f>
        <v>0</v>
      </c>
    </row>
    <row r="647" spans="1:34">
      <c r="A647" s="27"/>
      <c r="B647" s="27"/>
      <c r="C647" s="27"/>
      <c r="D647" s="27"/>
      <c r="E647" s="27"/>
      <c r="F647" s="27"/>
      <c r="G647" s="27"/>
      <c r="H647" s="27"/>
      <c r="I647" s="27"/>
      <c r="J647" s="27"/>
      <c r="K647" s="27"/>
      <c r="L647" s="27"/>
      <c r="M647" s="27"/>
      <c r="N647" s="27"/>
      <c r="O647" s="27"/>
      <c r="P647" s="27"/>
      <c r="Q647" s="27"/>
      <c r="R647" s="27"/>
      <c r="S647" s="27"/>
      <c r="T647" s="27">
        <f>IF(LEFT(Control_Achizitii!$E647,4)="Fact",1,0)</f>
        <v>0</v>
      </c>
      <c r="U647" s="27">
        <f>IF(Control_Achizitii!$C647="",0,IF(ISNUMBER(Control_Achizitii!$B647),0,1))</f>
        <v>0</v>
      </c>
      <c r="V647" s="27">
        <f>IF(Control_Achizitii!$C647="",0,IF($Z$2&lt;&gt;"OK",0,IF(AND(ISNUMBER(Control_Achizitii!$B647),Control_Achizitii!$B647&gt;=$E$5,Control_Achizitii!$B647&lt;$J$5+1,OR($O$5="Toate proiectele",Control_Achizitii!$Q647=$O$5)),1,0)))</f>
        <v>0</v>
      </c>
      <c r="W647" s="27">
        <f>IF(AND(V647=1,OR(Control_Achizitii!$J647&lt;&gt;"DOSAR COMPLET",Control_Achizitii!$K647&lt;&gt;"")),ROW(),1000000000)</f>
        <v>1000000000</v>
      </c>
      <c r="X647" s="27">
        <f>IF(AND(V647=1,LEFT(Control_Achizitii!$E647,4)="Fact",NOT(ISNUMBER(Control_Achizitii!$P647))),1,0)</f>
        <v>0</v>
      </c>
      <c r="Y647" s="27">
        <f>IF(V647=0,0,IF(Control_Achizitii!$J647="DOSAR COMPLET",1,IF(LEFT(Control_Achizitii!$J647,9)="INCOMPLET",2,3)))</f>
        <v>0</v>
      </c>
      <c r="Z647" s="27"/>
      <c r="AA647" s="27"/>
      <c r="AB647" s="27"/>
      <c r="AC647" s="27"/>
      <c r="AD647" s="27"/>
      <c r="AE647" s="27"/>
      <c r="AF647" s="27"/>
      <c r="AG647" s="27"/>
      <c r="AH647" s="27">
        <f>IF(AND(V647=1,Control_Achizitii!$J647="DOSAR COMPLET",Control_Achizitii!$K647&lt;&gt;""),1,0)</f>
        <v>0</v>
      </c>
    </row>
    <row r="648" spans="1:34">
      <c r="A648" s="27"/>
      <c r="B648" s="27"/>
      <c r="C648" s="27"/>
      <c r="D648" s="27"/>
      <c r="E648" s="27"/>
      <c r="F648" s="27"/>
      <c r="G648" s="27"/>
      <c r="H648" s="27"/>
      <c r="I648" s="27"/>
      <c r="J648" s="27"/>
      <c r="K648" s="27"/>
      <c r="L648" s="27"/>
      <c r="M648" s="27"/>
      <c r="N648" s="27"/>
      <c r="O648" s="27"/>
      <c r="P648" s="27"/>
      <c r="Q648" s="27"/>
      <c r="R648" s="27"/>
      <c r="S648" s="27"/>
      <c r="T648" s="27">
        <f>IF(LEFT(Control_Achizitii!$E648,4)="Fact",1,0)</f>
        <v>0</v>
      </c>
      <c r="U648" s="27">
        <f>IF(Control_Achizitii!$C648="",0,IF(ISNUMBER(Control_Achizitii!$B648),0,1))</f>
        <v>0</v>
      </c>
      <c r="V648" s="27">
        <f>IF(Control_Achizitii!$C648="",0,IF($Z$2&lt;&gt;"OK",0,IF(AND(ISNUMBER(Control_Achizitii!$B648),Control_Achizitii!$B648&gt;=$E$5,Control_Achizitii!$B648&lt;$J$5+1,OR($O$5="Toate proiectele",Control_Achizitii!$Q648=$O$5)),1,0)))</f>
        <v>0</v>
      </c>
      <c r="W648" s="27">
        <f>IF(AND(V648=1,OR(Control_Achizitii!$J648&lt;&gt;"DOSAR COMPLET",Control_Achizitii!$K648&lt;&gt;"")),ROW(),1000000000)</f>
        <v>1000000000</v>
      </c>
      <c r="X648" s="27">
        <f>IF(AND(V648=1,LEFT(Control_Achizitii!$E648,4)="Fact",NOT(ISNUMBER(Control_Achizitii!$P648))),1,0)</f>
        <v>0</v>
      </c>
      <c r="Y648" s="27">
        <f>IF(V648=0,0,IF(Control_Achizitii!$J648="DOSAR COMPLET",1,IF(LEFT(Control_Achizitii!$J648,9)="INCOMPLET",2,3)))</f>
        <v>0</v>
      </c>
      <c r="Z648" s="27"/>
      <c r="AA648" s="27"/>
      <c r="AB648" s="27"/>
      <c r="AC648" s="27"/>
      <c r="AD648" s="27"/>
      <c r="AE648" s="27"/>
      <c r="AF648" s="27"/>
      <c r="AG648" s="27"/>
      <c r="AH648" s="27">
        <f>IF(AND(V648=1,Control_Achizitii!$J648="DOSAR COMPLET",Control_Achizitii!$K648&lt;&gt;""),1,0)</f>
        <v>0</v>
      </c>
    </row>
    <row r="649" spans="1:34">
      <c r="A649" s="27"/>
      <c r="B649" s="27"/>
      <c r="C649" s="27"/>
      <c r="D649" s="27"/>
      <c r="E649" s="27"/>
      <c r="F649" s="27"/>
      <c r="G649" s="27"/>
      <c r="H649" s="27"/>
      <c r="I649" s="27"/>
      <c r="J649" s="27"/>
      <c r="K649" s="27"/>
      <c r="L649" s="27"/>
      <c r="M649" s="27"/>
      <c r="N649" s="27"/>
      <c r="O649" s="27"/>
      <c r="P649" s="27"/>
      <c r="Q649" s="27"/>
      <c r="R649" s="27"/>
      <c r="S649" s="27"/>
      <c r="T649" s="27">
        <f>IF(LEFT(Control_Achizitii!$E649,4)="Fact",1,0)</f>
        <v>0</v>
      </c>
      <c r="U649" s="27">
        <f>IF(Control_Achizitii!$C649="",0,IF(ISNUMBER(Control_Achizitii!$B649),0,1))</f>
        <v>0</v>
      </c>
      <c r="V649" s="27">
        <f>IF(Control_Achizitii!$C649="",0,IF($Z$2&lt;&gt;"OK",0,IF(AND(ISNUMBER(Control_Achizitii!$B649),Control_Achizitii!$B649&gt;=$E$5,Control_Achizitii!$B649&lt;$J$5+1,OR($O$5="Toate proiectele",Control_Achizitii!$Q649=$O$5)),1,0)))</f>
        <v>0</v>
      </c>
      <c r="W649" s="27">
        <f>IF(AND(V649=1,OR(Control_Achizitii!$J649&lt;&gt;"DOSAR COMPLET",Control_Achizitii!$K649&lt;&gt;"")),ROW(),1000000000)</f>
        <v>1000000000</v>
      </c>
      <c r="X649" s="27">
        <f>IF(AND(V649=1,LEFT(Control_Achizitii!$E649,4)="Fact",NOT(ISNUMBER(Control_Achizitii!$P649))),1,0)</f>
        <v>0</v>
      </c>
      <c r="Y649" s="27">
        <f>IF(V649=0,0,IF(Control_Achizitii!$J649="DOSAR COMPLET",1,IF(LEFT(Control_Achizitii!$J649,9)="INCOMPLET",2,3)))</f>
        <v>0</v>
      </c>
      <c r="Z649" s="27"/>
      <c r="AA649" s="27"/>
      <c r="AB649" s="27"/>
      <c r="AC649" s="27"/>
      <c r="AD649" s="27"/>
      <c r="AE649" s="27"/>
      <c r="AF649" s="27"/>
      <c r="AG649" s="27"/>
      <c r="AH649" s="27">
        <f>IF(AND(V649=1,Control_Achizitii!$J649="DOSAR COMPLET",Control_Achizitii!$K649&lt;&gt;""),1,0)</f>
        <v>0</v>
      </c>
    </row>
    <row r="650" spans="1:34">
      <c r="A650" s="27"/>
      <c r="B650" s="27"/>
      <c r="C650" s="27"/>
      <c r="D650" s="27"/>
      <c r="E650" s="27"/>
      <c r="F650" s="27"/>
      <c r="G650" s="27"/>
      <c r="H650" s="27"/>
      <c r="I650" s="27"/>
      <c r="J650" s="27"/>
      <c r="K650" s="27"/>
      <c r="L650" s="27"/>
      <c r="M650" s="27"/>
      <c r="N650" s="27"/>
      <c r="O650" s="27"/>
      <c r="P650" s="27"/>
      <c r="Q650" s="27"/>
      <c r="R650" s="27"/>
      <c r="S650" s="27"/>
      <c r="T650" s="27">
        <f>IF(LEFT(Control_Achizitii!$E650,4)="Fact",1,0)</f>
        <v>0</v>
      </c>
      <c r="U650" s="27">
        <f>IF(Control_Achizitii!$C650="",0,IF(ISNUMBER(Control_Achizitii!$B650),0,1))</f>
        <v>0</v>
      </c>
      <c r="V650" s="27">
        <f>IF(Control_Achizitii!$C650="",0,IF($Z$2&lt;&gt;"OK",0,IF(AND(ISNUMBER(Control_Achizitii!$B650),Control_Achizitii!$B650&gt;=$E$5,Control_Achizitii!$B650&lt;$J$5+1,OR($O$5="Toate proiectele",Control_Achizitii!$Q650=$O$5)),1,0)))</f>
        <v>0</v>
      </c>
      <c r="W650" s="27">
        <f>IF(AND(V650=1,OR(Control_Achizitii!$J650&lt;&gt;"DOSAR COMPLET",Control_Achizitii!$K650&lt;&gt;"")),ROW(),1000000000)</f>
        <v>1000000000</v>
      </c>
      <c r="X650" s="27">
        <f>IF(AND(V650=1,LEFT(Control_Achizitii!$E650,4)="Fact",NOT(ISNUMBER(Control_Achizitii!$P650))),1,0)</f>
        <v>0</v>
      </c>
      <c r="Y650" s="27">
        <f>IF(V650=0,0,IF(Control_Achizitii!$J650="DOSAR COMPLET",1,IF(LEFT(Control_Achizitii!$J650,9)="INCOMPLET",2,3)))</f>
        <v>0</v>
      </c>
      <c r="Z650" s="27"/>
      <c r="AA650" s="27"/>
      <c r="AB650" s="27"/>
      <c r="AC650" s="27"/>
      <c r="AD650" s="27"/>
      <c r="AE650" s="27"/>
      <c r="AF650" s="27"/>
      <c r="AG650" s="27"/>
      <c r="AH650" s="27">
        <f>IF(AND(V650=1,Control_Achizitii!$J650="DOSAR COMPLET",Control_Achizitii!$K650&lt;&gt;""),1,0)</f>
        <v>0</v>
      </c>
    </row>
    <row r="651" spans="1:34">
      <c r="A651" s="27"/>
      <c r="B651" s="27"/>
      <c r="C651" s="27"/>
      <c r="D651" s="27"/>
      <c r="E651" s="27"/>
      <c r="F651" s="27"/>
      <c r="G651" s="27"/>
      <c r="H651" s="27"/>
      <c r="I651" s="27"/>
      <c r="J651" s="27"/>
      <c r="K651" s="27"/>
      <c r="L651" s="27"/>
      <c r="M651" s="27"/>
      <c r="N651" s="27"/>
      <c r="O651" s="27"/>
      <c r="P651" s="27"/>
      <c r="Q651" s="27"/>
      <c r="R651" s="27"/>
      <c r="S651" s="27"/>
      <c r="T651" s="27">
        <f>IF(LEFT(Control_Achizitii!$E651,4)="Fact",1,0)</f>
        <v>0</v>
      </c>
      <c r="U651" s="27">
        <f>IF(Control_Achizitii!$C651="",0,IF(ISNUMBER(Control_Achizitii!$B651),0,1))</f>
        <v>0</v>
      </c>
      <c r="V651" s="27">
        <f>IF(Control_Achizitii!$C651="",0,IF($Z$2&lt;&gt;"OK",0,IF(AND(ISNUMBER(Control_Achizitii!$B651),Control_Achizitii!$B651&gt;=$E$5,Control_Achizitii!$B651&lt;$J$5+1,OR($O$5="Toate proiectele",Control_Achizitii!$Q651=$O$5)),1,0)))</f>
        <v>0</v>
      </c>
      <c r="W651" s="27">
        <f>IF(AND(V651=1,OR(Control_Achizitii!$J651&lt;&gt;"DOSAR COMPLET",Control_Achizitii!$K651&lt;&gt;"")),ROW(),1000000000)</f>
        <v>1000000000</v>
      </c>
      <c r="X651" s="27">
        <f>IF(AND(V651=1,LEFT(Control_Achizitii!$E651,4)="Fact",NOT(ISNUMBER(Control_Achizitii!$P651))),1,0)</f>
        <v>0</v>
      </c>
      <c r="Y651" s="27">
        <f>IF(V651=0,0,IF(Control_Achizitii!$J651="DOSAR COMPLET",1,IF(LEFT(Control_Achizitii!$J651,9)="INCOMPLET",2,3)))</f>
        <v>0</v>
      </c>
      <c r="Z651" s="27"/>
      <c r="AA651" s="27"/>
      <c r="AB651" s="27"/>
      <c r="AC651" s="27"/>
      <c r="AD651" s="27"/>
      <c r="AE651" s="27"/>
      <c r="AF651" s="27"/>
      <c r="AG651" s="27"/>
      <c r="AH651" s="27">
        <f>IF(AND(V651=1,Control_Achizitii!$J651="DOSAR COMPLET",Control_Achizitii!$K651&lt;&gt;""),1,0)</f>
        <v>0</v>
      </c>
    </row>
    <row r="652" spans="1:34">
      <c r="A652" s="27"/>
      <c r="B652" s="27"/>
      <c r="C652" s="27"/>
      <c r="D652" s="27"/>
      <c r="E652" s="27"/>
      <c r="F652" s="27"/>
      <c r="G652" s="27"/>
      <c r="H652" s="27"/>
      <c r="I652" s="27"/>
      <c r="J652" s="27"/>
      <c r="K652" s="27"/>
      <c r="L652" s="27"/>
      <c r="M652" s="27"/>
      <c r="N652" s="27"/>
      <c r="O652" s="27"/>
      <c r="P652" s="27"/>
      <c r="Q652" s="27"/>
      <c r="R652" s="27"/>
      <c r="S652" s="27"/>
      <c r="T652" s="27">
        <f>IF(LEFT(Control_Achizitii!$E652,4)="Fact",1,0)</f>
        <v>0</v>
      </c>
      <c r="U652" s="27">
        <f>IF(Control_Achizitii!$C652="",0,IF(ISNUMBER(Control_Achizitii!$B652),0,1))</f>
        <v>0</v>
      </c>
      <c r="V652" s="27">
        <f>IF(Control_Achizitii!$C652="",0,IF($Z$2&lt;&gt;"OK",0,IF(AND(ISNUMBER(Control_Achizitii!$B652),Control_Achizitii!$B652&gt;=$E$5,Control_Achizitii!$B652&lt;$J$5+1,OR($O$5="Toate proiectele",Control_Achizitii!$Q652=$O$5)),1,0)))</f>
        <v>0</v>
      </c>
      <c r="W652" s="27">
        <f>IF(AND(V652=1,OR(Control_Achizitii!$J652&lt;&gt;"DOSAR COMPLET",Control_Achizitii!$K652&lt;&gt;"")),ROW(),1000000000)</f>
        <v>1000000000</v>
      </c>
      <c r="X652" s="27">
        <f>IF(AND(V652=1,LEFT(Control_Achizitii!$E652,4)="Fact",NOT(ISNUMBER(Control_Achizitii!$P652))),1,0)</f>
        <v>0</v>
      </c>
      <c r="Y652" s="27">
        <f>IF(V652=0,0,IF(Control_Achizitii!$J652="DOSAR COMPLET",1,IF(LEFT(Control_Achizitii!$J652,9)="INCOMPLET",2,3)))</f>
        <v>0</v>
      </c>
      <c r="Z652" s="27"/>
      <c r="AA652" s="27"/>
      <c r="AB652" s="27"/>
      <c r="AC652" s="27"/>
      <c r="AD652" s="27"/>
      <c r="AE652" s="27"/>
      <c r="AF652" s="27"/>
      <c r="AG652" s="27"/>
      <c r="AH652" s="27">
        <f>IF(AND(V652=1,Control_Achizitii!$J652="DOSAR COMPLET",Control_Achizitii!$K652&lt;&gt;""),1,0)</f>
        <v>0</v>
      </c>
    </row>
    <row r="653" spans="1:34">
      <c r="A653" s="27"/>
      <c r="B653" s="27"/>
      <c r="C653" s="27"/>
      <c r="D653" s="27"/>
      <c r="E653" s="27"/>
      <c r="F653" s="27"/>
      <c r="G653" s="27"/>
      <c r="H653" s="27"/>
      <c r="I653" s="27"/>
      <c r="J653" s="27"/>
      <c r="K653" s="27"/>
      <c r="L653" s="27"/>
      <c r="M653" s="27"/>
      <c r="N653" s="27"/>
      <c r="O653" s="27"/>
      <c r="P653" s="27"/>
      <c r="Q653" s="27"/>
      <c r="R653" s="27"/>
      <c r="S653" s="27"/>
      <c r="T653" s="27">
        <f>IF(LEFT(Control_Achizitii!$E653,4)="Fact",1,0)</f>
        <v>0</v>
      </c>
      <c r="U653" s="27">
        <f>IF(Control_Achizitii!$C653="",0,IF(ISNUMBER(Control_Achizitii!$B653),0,1))</f>
        <v>0</v>
      </c>
      <c r="V653" s="27">
        <f>IF(Control_Achizitii!$C653="",0,IF($Z$2&lt;&gt;"OK",0,IF(AND(ISNUMBER(Control_Achizitii!$B653),Control_Achizitii!$B653&gt;=$E$5,Control_Achizitii!$B653&lt;$J$5+1,OR($O$5="Toate proiectele",Control_Achizitii!$Q653=$O$5)),1,0)))</f>
        <v>0</v>
      </c>
      <c r="W653" s="27">
        <f>IF(AND(V653=1,OR(Control_Achizitii!$J653&lt;&gt;"DOSAR COMPLET",Control_Achizitii!$K653&lt;&gt;"")),ROW(),1000000000)</f>
        <v>1000000000</v>
      </c>
      <c r="X653" s="27">
        <f>IF(AND(V653=1,LEFT(Control_Achizitii!$E653,4)="Fact",NOT(ISNUMBER(Control_Achizitii!$P653))),1,0)</f>
        <v>0</v>
      </c>
      <c r="Y653" s="27">
        <f>IF(V653=0,0,IF(Control_Achizitii!$J653="DOSAR COMPLET",1,IF(LEFT(Control_Achizitii!$J653,9)="INCOMPLET",2,3)))</f>
        <v>0</v>
      </c>
      <c r="Z653" s="27"/>
      <c r="AA653" s="27"/>
      <c r="AB653" s="27"/>
      <c r="AC653" s="27"/>
      <c r="AD653" s="27"/>
      <c r="AE653" s="27"/>
      <c r="AF653" s="27"/>
      <c r="AG653" s="27"/>
      <c r="AH653" s="27">
        <f>IF(AND(V653=1,Control_Achizitii!$J653="DOSAR COMPLET",Control_Achizitii!$K653&lt;&gt;""),1,0)</f>
        <v>0</v>
      </c>
    </row>
    <row r="654" spans="1:34">
      <c r="A654" s="27"/>
      <c r="B654" s="27"/>
      <c r="C654" s="27"/>
      <c r="D654" s="27"/>
      <c r="E654" s="27"/>
      <c r="F654" s="27"/>
      <c r="G654" s="27"/>
      <c r="H654" s="27"/>
      <c r="I654" s="27"/>
      <c r="J654" s="27"/>
      <c r="K654" s="27"/>
      <c r="L654" s="27"/>
      <c r="M654" s="27"/>
      <c r="N654" s="27"/>
      <c r="O654" s="27"/>
      <c r="P654" s="27"/>
      <c r="Q654" s="27"/>
      <c r="R654" s="27"/>
      <c r="S654" s="27"/>
      <c r="T654" s="27">
        <f>IF(LEFT(Control_Achizitii!$E654,4)="Fact",1,0)</f>
        <v>0</v>
      </c>
      <c r="U654" s="27">
        <f>IF(Control_Achizitii!$C654="",0,IF(ISNUMBER(Control_Achizitii!$B654),0,1))</f>
        <v>0</v>
      </c>
      <c r="V654" s="27">
        <f>IF(Control_Achizitii!$C654="",0,IF($Z$2&lt;&gt;"OK",0,IF(AND(ISNUMBER(Control_Achizitii!$B654),Control_Achizitii!$B654&gt;=$E$5,Control_Achizitii!$B654&lt;$J$5+1,OR($O$5="Toate proiectele",Control_Achizitii!$Q654=$O$5)),1,0)))</f>
        <v>0</v>
      </c>
      <c r="W654" s="27">
        <f>IF(AND(V654=1,OR(Control_Achizitii!$J654&lt;&gt;"DOSAR COMPLET",Control_Achizitii!$K654&lt;&gt;"")),ROW(),1000000000)</f>
        <v>1000000000</v>
      </c>
      <c r="X654" s="27">
        <f>IF(AND(V654=1,LEFT(Control_Achizitii!$E654,4)="Fact",NOT(ISNUMBER(Control_Achizitii!$P654))),1,0)</f>
        <v>0</v>
      </c>
      <c r="Y654" s="27">
        <f>IF(V654=0,0,IF(Control_Achizitii!$J654="DOSAR COMPLET",1,IF(LEFT(Control_Achizitii!$J654,9)="INCOMPLET",2,3)))</f>
        <v>0</v>
      </c>
      <c r="Z654" s="27"/>
      <c r="AA654" s="27"/>
      <c r="AB654" s="27"/>
      <c r="AC654" s="27"/>
      <c r="AD654" s="27"/>
      <c r="AE654" s="27"/>
      <c r="AF654" s="27"/>
      <c r="AG654" s="27"/>
      <c r="AH654" s="27">
        <f>IF(AND(V654=1,Control_Achizitii!$J654="DOSAR COMPLET",Control_Achizitii!$K654&lt;&gt;""),1,0)</f>
        <v>0</v>
      </c>
    </row>
    <row r="655" spans="1:34">
      <c r="A655" s="27"/>
      <c r="B655" s="27"/>
      <c r="C655" s="27"/>
      <c r="D655" s="27"/>
      <c r="E655" s="27"/>
      <c r="F655" s="27"/>
      <c r="G655" s="27"/>
      <c r="H655" s="27"/>
      <c r="I655" s="27"/>
      <c r="J655" s="27"/>
      <c r="K655" s="27"/>
      <c r="L655" s="27"/>
      <c r="M655" s="27"/>
      <c r="N655" s="27"/>
      <c r="O655" s="27"/>
      <c r="P655" s="27"/>
      <c r="Q655" s="27"/>
      <c r="R655" s="27"/>
      <c r="S655" s="27"/>
      <c r="T655" s="27">
        <f>IF(LEFT(Control_Achizitii!$E655,4)="Fact",1,0)</f>
        <v>0</v>
      </c>
      <c r="U655" s="27">
        <f>IF(Control_Achizitii!$C655="",0,IF(ISNUMBER(Control_Achizitii!$B655),0,1))</f>
        <v>0</v>
      </c>
      <c r="V655" s="27">
        <f>IF(Control_Achizitii!$C655="",0,IF($Z$2&lt;&gt;"OK",0,IF(AND(ISNUMBER(Control_Achizitii!$B655),Control_Achizitii!$B655&gt;=$E$5,Control_Achizitii!$B655&lt;$J$5+1,OR($O$5="Toate proiectele",Control_Achizitii!$Q655=$O$5)),1,0)))</f>
        <v>0</v>
      </c>
      <c r="W655" s="27">
        <f>IF(AND(V655=1,OR(Control_Achizitii!$J655&lt;&gt;"DOSAR COMPLET",Control_Achizitii!$K655&lt;&gt;"")),ROW(),1000000000)</f>
        <v>1000000000</v>
      </c>
      <c r="X655" s="27">
        <f>IF(AND(V655=1,LEFT(Control_Achizitii!$E655,4)="Fact",NOT(ISNUMBER(Control_Achizitii!$P655))),1,0)</f>
        <v>0</v>
      </c>
      <c r="Y655" s="27">
        <f>IF(V655=0,0,IF(Control_Achizitii!$J655="DOSAR COMPLET",1,IF(LEFT(Control_Achizitii!$J655,9)="INCOMPLET",2,3)))</f>
        <v>0</v>
      </c>
      <c r="Z655" s="27"/>
      <c r="AA655" s="27"/>
      <c r="AB655" s="27"/>
      <c r="AC655" s="27"/>
      <c r="AD655" s="27"/>
      <c r="AE655" s="27"/>
      <c r="AF655" s="27"/>
      <c r="AG655" s="27"/>
      <c r="AH655" s="27">
        <f>IF(AND(V655=1,Control_Achizitii!$J655="DOSAR COMPLET",Control_Achizitii!$K655&lt;&gt;""),1,0)</f>
        <v>0</v>
      </c>
    </row>
    <row r="656" spans="1:34">
      <c r="A656" s="27"/>
      <c r="B656" s="27"/>
      <c r="C656" s="27"/>
      <c r="D656" s="27"/>
      <c r="E656" s="27"/>
      <c r="F656" s="27"/>
      <c r="G656" s="27"/>
      <c r="H656" s="27"/>
      <c r="I656" s="27"/>
      <c r="J656" s="27"/>
      <c r="K656" s="27"/>
      <c r="L656" s="27"/>
      <c r="M656" s="27"/>
      <c r="N656" s="27"/>
      <c r="O656" s="27"/>
      <c r="P656" s="27"/>
      <c r="Q656" s="27"/>
      <c r="R656" s="27"/>
      <c r="S656" s="27"/>
      <c r="T656" s="27">
        <f>IF(LEFT(Control_Achizitii!$E656,4)="Fact",1,0)</f>
        <v>0</v>
      </c>
      <c r="U656" s="27">
        <f>IF(Control_Achizitii!$C656="",0,IF(ISNUMBER(Control_Achizitii!$B656),0,1))</f>
        <v>0</v>
      </c>
      <c r="V656" s="27">
        <f>IF(Control_Achizitii!$C656="",0,IF($Z$2&lt;&gt;"OK",0,IF(AND(ISNUMBER(Control_Achizitii!$B656),Control_Achizitii!$B656&gt;=$E$5,Control_Achizitii!$B656&lt;$J$5+1,OR($O$5="Toate proiectele",Control_Achizitii!$Q656=$O$5)),1,0)))</f>
        <v>0</v>
      </c>
      <c r="W656" s="27">
        <f>IF(AND(V656=1,OR(Control_Achizitii!$J656&lt;&gt;"DOSAR COMPLET",Control_Achizitii!$K656&lt;&gt;"")),ROW(),1000000000)</f>
        <v>1000000000</v>
      </c>
      <c r="X656" s="27">
        <f>IF(AND(V656=1,LEFT(Control_Achizitii!$E656,4)="Fact",NOT(ISNUMBER(Control_Achizitii!$P656))),1,0)</f>
        <v>0</v>
      </c>
      <c r="Y656" s="27">
        <f>IF(V656=0,0,IF(Control_Achizitii!$J656="DOSAR COMPLET",1,IF(LEFT(Control_Achizitii!$J656,9)="INCOMPLET",2,3)))</f>
        <v>0</v>
      </c>
      <c r="Z656" s="27"/>
      <c r="AA656" s="27"/>
      <c r="AB656" s="27"/>
      <c r="AC656" s="27"/>
      <c r="AD656" s="27"/>
      <c r="AE656" s="27"/>
      <c r="AF656" s="27"/>
      <c r="AG656" s="27"/>
      <c r="AH656" s="27">
        <f>IF(AND(V656=1,Control_Achizitii!$J656="DOSAR COMPLET",Control_Achizitii!$K656&lt;&gt;""),1,0)</f>
        <v>0</v>
      </c>
    </row>
    <row r="657" spans="1:34">
      <c r="A657" s="27"/>
      <c r="B657" s="27"/>
      <c r="C657" s="27"/>
      <c r="D657" s="27"/>
      <c r="E657" s="27"/>
      <c r="F657" s="27"/>
      <c r="G657" s="27"/>
      <c r="H657" s="27"/>
      <c r="I657" s="27"/>
      <c r="J657" s="27"/>
      <c r="K657" s="27"/>
      <c r="L657" s="27"/>
      <c r="M657" s="27"/>
      <c r="N657" s="27"/>
      <c r="O657" s="27"/>
      <c r="P657" s="27"/>
      <c r="Q657" s="27"/>
      <c r="R657" s="27"/>
      <c r="S657" s="27"/>
      <c r="T657" s="27">
        <f>IF(LEFT(Control_Achizitii!$E657,4)="Fact",1,0)</f>
        <v>0</v>
      </c>
      <c r="U657" s="27">
        <f>IF(Control_Achizitii!$C657="",0,IF(ISNUMBER(Control_Achizitii!$B657),0,1))</f>
        <v>0</v>
      </c>
      <c r="V657" s="27">
        <f>IF(Control_Achizitii!$C657="",0,IF($Z$2&lt;&gt;"OK",0,IF(AND(ISNUMBER(Control_Achizitii!$B657),Control_Achizitii!$B657&gt;=$E$5,Control_Achizitii!$B657&lt;$J$5+1,OR($O$5="Toate proiectele",Control_Achizitii!$Q657=$O$5)),1,0)))</f>
        <v>0</v>
      </c>
      <c r="W657" s="27">
        <f>IF(AND(V657=1,OR(Control_Achizitii!$J657&lt;&gt;"DOSAR COMPLET",Control_Achizitii!$K657&lt;&gt;"")),ROW(),1000000000)</f>
        <v>1000000000</v>
      </c>
      <c r="X657" s="27">
        <f>IF(AND(V657=1,LEFT(Control_Achizitii!$E657,4)="Fact",NOT(ISNUMBER(Control_Achizitii!$P657))),1,0)</f>
        <v>0</v>
      </c>
      <c r="Y657" s="27">
        <f>IF(V657=0,0,IF(Control_Achizitii!$J657="DOSAR COMPLET",1,IF(LEFT(Control_Achizitii!$J657,9)="INCOMPLET",2,3)))</f>
        <v>0</v>
      </c>
      <c r="Z657" s="27"/>
      <c r="AA657" s="27"/>
      <c r="AB657" s="27"/>
      <c r="AC657" s="27"/>
      <c r="AD657" s="27"/>
      <c r="AE657" s="27"/>
      <c r="AF657" s="27"/>
      <c r="AG657" s="27"/>
      <c r="AH657" s="27">
        <f>IF(AND(V657=1,Control_Achizitii!$J657="DOSAR COMPLET",Control_Achizitii!$K657&lt;&gt;""),1,0)</f>
        <v>0</v>
      </c>
    </row>
    <row r="658" spans="1:34">
      <c r="A658" s="27"/>
      <c r="B658" s="27"/>
      <c r="C658" s="27"/>
      <c r="D658" s="27"/>
      <c r="E658" s="27"/>
      <c r="F658" s="27"/>
      <c r="G658" s="27"/>
      <c r="H658" s="27"/>
      <c r="I658" s="27"/>
      <c r="J658" s="27"/>
      <c r="K658" s="27"/>
      <c r="L658" s="27"/>
      <c r="M658" s="27"/>
      <c r="N658" s="27"/>
      <c r="O658" s="27"/>
      <c r="P658" s="27"/>
      <c r="Q658" s="27"/>
      <c r="R658" s="27"/>
      <c r="S658" s="27"/>
      <c r="T658" s="27">
        <f>IF(LEFT(Control_Achizitii!$E658,4)="Fact",1,0)</f>
        <v>0</v>
      </c>
      <c r="U658" s="27">
        <f>IF(Control_Achizitii!$C658="",0,IF(ISNUMBER(Control_Achizitii!$B658),0,1))</f>
        <v>0</v>
      </c>
      <c r="V658" s="27">
        <f>IF(Control_Achizitii!$C658="",0,IF($Z$2&lt;&gt;"OK",0,IF(AND(ISNUMBER(Control_Achizitii!$B658),Control_Achizitii!$B658&gt;=$E$5,Control_Achizitii!$B658&lt;$J$5+1,OR($O$5="Toate proiectele",Control_Achizitii!$Q658=$O$5)),1,0)))</f>
        <v>0</v>
      </c>
      <c r="W658" s="27">
        <f>IF(AND(V658=1,OR(Control_Achizitii!$J658&lt;&gt;"DOSAR COMPLET",Control_Achizitii!$K658&lt;&gt;"")),ROW(),1000000000)</f>
        <v>1000000000</v>
      </c>
      <c r="X658" s="27">
        <f>IF(AND(V658=1,LEFT(Control_Achizitii!$E658,4)="Fact",NOT(ISNUMBER(Control_Achizitii!$P658))),1,0)</f>
        <v>0</v>
      </c>
      <c r="Y658" s="27">
        <f>IF(V658=0,0,IF(Control_Achizitii!$J658="DOSAR COMPLET",1,IF(LEFT(Control_Achizitii!$J658,9)="INCOMPLET",2,3)))</f>
        <v>0</v>
      </c>
      <c r="Z658" s="27"/>
      <c r="AA658" s="27"/>
      <c r="AB658" s="27"/>
      <c r="AC658" s="27"/>
      <c r="AD658" s="27"/>
      <c r="AE658" s="27"/>
      <c r="AF658" s="27"/>
      <c r="AG658" s="27"/>
      <c r="AH658" s="27">
        <f>IF(AND(V658=1,Control_Achizitii!$J658="DOSAR COMPLET",Control_Achizitii!$K658&lt;&gt;""),1,0)</f>
        <v>0</v>
      </c>
    </row>
    <row r="659" spans="1:34">
      <c r="A659" s="27"/>
      <c r="B659" s="27"/>
      <c r="C659" s="27"/>
      <c r="D659" s="27"/>
      <c r="E659" s="27"/>
      <c r="F659" s="27"/>
      <c r="G659" s="27"/>
      <c r="H659" s="27"/>
      <c r="I659" s="27"/>
      <c r="J659" s="27"/>
      <c r="K659" s="27"/>
      <c r="L659" s="27"/>
      <c r="M659" s="27"/>
      <c r="N659" s="27"/>
      <c r="O659" s="27"/>
      <c r="P659" s="27"/>
      <c r="Q659" s="27"/>
      <c r="R659" s="27"/>
      <c r="S659" s="27"/>
      <c r="T659" s="27">
        <f>IF(LEFT(Control_Achizitii!$E659,4)="Fact",1,0)</f>
        <v>0</v>
      </c>
      <c r="U659" s="27">
        <f>IF(Control_Achizitii!$C659="",0,IF(ISNUMBER(Control_Achizitii!$B659),0,1))</f>
        <v>0</v>
      </c>
      <c r="V659" s="27">
        <f>IF(Control_Achizitii!$C659="",0,IF($Z$2&lt;&gt;"OK",0,IF(AND(ISNUMBER(Control_Achizitii!$B659),Control_Achizitii!$B659&gt;=$E$5,Control_Achizitii!$B659&lt;$J$5+1,OR($O$5="Toate proiectele",Control_Achizitii!$Q659=$O$5)),1,0)))</f>
        <v>0</v>
      </c>
      <c r="W659" s="27">
        <f>IF(AND(V659=1,OR(Control_Achizitii!$J659&lt;&gt;"DOSAR COMPLET",Control_Achizitii!$K659&lt;&gt;"")),ROW(),1000000000)</f>
        <v>1000000000</v>
      </c>
      <c r="X659" s="27">
        <f>IF(AND(V659=1,LEFT(Control_Achizitii!$E659,4)="Fact",NOT(ISNUMBER(Control_Achizitii!$P659))),1,0)</f>
        <v>0</v>
      </c>
      <c r="Y659" s="27">
        <f>IF(V659=0,0,IF(Control_Achizitii!$J659="DOSAR COMPLET",1,IF(LEFT(Control_Achizitii!$J659,9)="INCOMPLET",2,3)))</f>
        <v>0</v>
      </c>
      <c r="Z659" s="27"/>
      <c r="AA659" s="27"/>
      <c r="AB659" s="27"/>
      <c r="AC659" s="27"/>
      <c r="AD659" s="27"/>
      <c r="AE659" s="27"/>
      <c r="AF659" s="27"/>
      <c r="AG659" s="27"/>
      <c r="AH659" s="27">
        <f>IF(AND(V659=1,Control_Achizitii!$J659="DOSAR COMPLET",Control_Achizitii!$K659&lt;&gt;""),1,0)</f>
        <v>0</v>
      </c>
    </row>
    <row r="660" spans="1:34">
      <c r="A660" s="27"/>
      <c r="B660" s="27"/>
      <c r="C660" s="27"/>
      <c r="D660" s="27"/>
      <c r="E660" s="27"/>
      <c r="F660" s="27"/>
      <c r="G660" s="27"/>
      <c r="H660" s="27"/>
      <c r="I660" s="27"/>
      <c r="J660" s="27"/>
      <c r="K660" s="27"/>
      <c r="L660" s="27"/>
      <c r="M660" s="27"/>
      <c r="N660" s="27"/>
      <c r="O660" s="27"/>
      <c r="P660" s="27"/>
      <c r="Q660" s="27"/>
      <c r="R660" s="27"/>
      <c r="S660" s="27"/>
      <c r="T660" s="27">
        <f>IF(LEFT(Control_Achizitii!$E660,4)="Fact",1,0)</f>
        <v>0</v>
      </c>
      <c r="U660" s="27">
        <f>IF(Control_Achizitii!$C660="",0,IF(ISNUMBER(Control_Achizitii!$B660),0,1))</f>
        <v>0</v>
      </c>
      <c r="V660" s="27">
        <f>IF(Control_Achizitii!$C660="",0,IF($Z$2&lt;&gt;"OK",0,IF(AND(ISNUMBER(Control_Achizitii!$B660),Control_Achizitii!$B660&gt;=$E$5,Control_Achizitii!$B660&lt;$J$5+1,OR($O$5="Toate proiectele",Control_Achizitii!$Q660=$O$5)),1,0)))</f>
        <v>0</v>
      </c>
      <c r="W660" s="27">
        <f>IF(AND(V660=1,OR(Control_Achizitii!$J660&lt;&gt;"DOSAR COMPLET",Control_Achizitii!$K660&lt;&gt;"")),ROW(),1000000000)</f>
        <v>1000000000</v>
      </c>
      <c r="X660" s="27">
        <f>IF(AND(V660=1,LEFT(Control_Achizitii!$E660,4)="Fact",NOT(ISNUMBER(Control_Achizitii!$P660))),1,0)</f>
        <v>0</v>
      </c>
      <c r="Y660" s="27">
        <f>IF(V660=0,0,IF(Control_Achizitii!$J660="DOSAR COMPLET",1,IF(LEFT(Control_Achizitii!$J660,9)="INCOMPLET",2,3)))</f>
        <v>0</v>
      </c>
      <c r="Z660" s="27"/>
      <c r="AA660" s="27"/>
      <c r="AB660" s="27"/>
      <c r="AC660" s="27"/>
      <c r="AD660" s="27"/>
      <c r="AE660" s="27"/>
      <c r="AF660" s="27"/>
      <c r="AG660" s="27"/>
      <c r="AH660" s="27">
        <f>IF(AND(V660=1,Control_Achizitii!$J660="DOSAR COMPLET",Control_Achizitii!$K660&lt;&gt;""),1,0)</f>
        <v>0</v>
      </c>
    </row>
    <row r="661" spans="1:34">
      <c r="A661" s="27"/>
      <c r="B661" s="27"/>
      <c r="C661" s="27"/>
      <c r="D661" s="27"/>
      <c r="E661" s="27"/>
      <c r="F661" s="27"/>
      <c r="G661" s="27"/>
      <c r="H661" s="27"/>
      <c r="I661" s="27"/>
      <c r="J661" s="27"/>
      <c r="K661" s="27"/>
      <c r="L661" s="27"/>
      <c r="M661" s="27"/>
      <c r="N661" s="27"/>
      <c r="O661" s="27"/>
      <c r="P661" s="27"/>
      <c r="Q661" s="27"/>
      <c r="R661" s="27"/>
      <c r="S661" s="27"/>
      <c r="T661" s="27">
        <f>IF(LEFT(Control_Achizitii!$E661,4)="Fact",1,0)</f>
        <v>0</v>
      </c>
      <c r="U661" s="27">
        <f>IF(Control_Achizitii!$C661="",0,IF(ISNUMBER(Control_Achizitii!$B661),0,1))</f>
        <v>0</v>
      </c>
      <c r="V661" s="27">
        <f>IF(Control_Achizitii!$C661="",0,IF($Z$2&lt;&gt;"OK",0,IF(AND(ISNUMBER(Control_Achizitii!$B661),Control_Achizitii!$B661&gt;=$E$5,Control_Achizitii!$B661&lt;$J$5+1,OR($O$5="Toate proiectele",Control_Achizitii!$Q661=$O$5)),1,0)))</f>
        <v>0</v>
      </c>
      <c r="W661" s="27">
        <f>IF(AND(V661=1,OR(Control_Achizitii!$J661&lt;&gt;"DOSAR COMPLET",Control_Achizitii!$K661&lt;&gt;"")),ROW(),1000000000)</f>
        <v>1000000000</v>
      </c>
      <c r="X661" s="27">
        <f>IF(AND(V661=1,LEFT(Control_Achizitii!$E661,4)="Fact",NOT(ISNUMBER(Control_Achizitii!$P661))),1,0)</f>
        <v>0</v>
      </c>
      <c r="Y661" s="27">
        <f>IF(V661=0,0,IF(Control_Achizitii!$J661="DOSAR COMPLET",1,IF(LEFT(Control_Achizitii!$J661,9)="INCOMPLET",2,3)))</f>
        <v>0</v>
      </c>
      <c r="Z661" s="27"/>
      <c r="AA661" s="27"/>
      <c r="AB661" s="27"/>
      <c r="AC661" s="27"/>
      <c r="AD661" s="27"/>
      <c r="AE661" s="27"/>
      <c r="AF661" s="27"/>
      <c r="AG661" s="27"/>
      <c r="AH661" s="27">
        <f>IF(AND(V661=1,Control_Achizitii!$J661="DOSAR COMPLET",Control_Achizitii!$K661&lt;&gt;""),1,0)</f>
        <v>0</v>
      </c>
    </row>
    <row r="662" spans="1:34">
      <c r="A662" s="27"/>
      <c r="B662" s="27"/>
      <c r="C662" s="27"/>
      <c r="D662" s="27"/>
      <c r="E662" s="27"/>
      <c r="F662" s="27"/>
      <c r="G662" s="27"/>
      <c r="H662" s="27"/>
      <c r="I662" s="27"/>
      <c r="J662" s="27"/>
      <c r="K662" s="27"/>
      <c r="L662" s="27"/>
      <c r="M662" s="27"/>
      <c r="N662" s="27"/>
      <c r="O662" s="27"/>
      <c r="P662" s="27"/>
      <c r="Q662" s="27"/>
      <c r="R662" s="27"/>
      <c r="S662" s="27"/>
      <c r="T662" s="27">
        <f>IF(LEFT(Control_Achizitii!$E662,4)="Fact",1,0)</f>
        <v>0</v>
      </c>
      <c r="U662" s="27">
        <f>IF(Control_Achizitii!$C662="",0,IF(ISNUMBER(Control_Achizitii!$B662),0,1))</f>
        <v>0</v>
      </c>
      <c r="V662" s="27">
        <f>IF(Control_Achizitii!$C662="",0,IF($Z$2&lt;&gt;"OK",0,IF(AND(ISNUMBER(Control_Achizitii!$B662),Control_Achizitii!$B662&gt;=$E$5,Control_Achizitii!$B662&lt;$J$5+1,OR($O$5="Toate proiectele",Control_Achizitii!$Q662=$O$5)),1,0)))</f>
        <v>0</v>
      </c>
      <c r="W662" s="27">
        <f>IF(AND(V662=1,OR(Control_Achizitii!$J662&lt;&gt;"DOSAR COMPLET",Control_Achizitii!$K662&lt;&gt;"")),ROW(),1000000000)</f>
        <v>1000000000</v>
      </c>
      <c r="X662" s="27">
        <f>IF(AND(V662=1,LEFT(Control_Achizitii!$E662,4)="Fact",NOT(ISNUMBER(Control_Achizitii!$P662))),1,0)</f>
        <v>0</v>
      </c>
      <c r="Y662" s="27">
        <f>IF(V662=0,0,IF(Control_Achizitii!$J662="DOSAR COMPLET",1,IF(LEFT(Control_Achizitii!$J662,9)="INCOMPLET",2,3)))</f>
        <v>0</v>
      </c>
      <c r="Z662" s="27"/>
      <c r="AA662" s="27"/>
      <c r="AB662" s="27"/>
      <c r="AC662" s="27"/>
      <c r="AD662" s="27"/>
      <c r="AE662" s="27"/>
      <c r="AF662" s="27"/>
      <c r="AG662" s="27"/>
      <c r="AH662" s="27">
        <f>IF(AND(V662=1,Control_Achizitii!$J662="DOSAR COMPLET",Control_Achizitii!$K662&lt;&gt;""),1,0)</f>
        <v>0</v>
      </c>
    </row>
    <row r="663" spans="1:34">
      <c r="A663" s="27"/>
      <c r="B663" s="27"/>
      <c r="C663" s="27"/>
      <c r="D663" s="27"/>
      <c r="E663" s="27"/>
      <c r="F663" s="27"/>
      <c r="G663" s="27"/>
      <c r="H663" s="27"/>
      <c r="I663" s="27"/>
      <c r="J663" s="27"/>
      <c r="K663" s="27"/>
      <c r="L663" s="27"/>
      <c r="M663" s="27"/>
      <c r="N663" s="27"/>
      <c r="O663" s="27"/>
      <c r="P663" s="27"/>
      <c r="Q663" s="27"/>
      <c r="R663" s="27"/>
      <c r="S663" s="27"/>
      <c r="T663" s="27">
        <f>IF(LEFT(Control_Achizitii!$E663,4)="Fact",1,0)</f>
        <v>0</v>
      </c>
      <c r="U663" s="27">
        <f>IF(Control_Achizitii!$C663="",0,IF(ISNUMBER(Control_Achizitii!$B663),0,1))</f>
        <v>0</v>
      </c>
      <c r="V663" s="27">
        <f>IF(Control_Achizitii!$C663="",0,IF($Z$2&lt;&gt;"OK",0,IF(AND(ISNUMBER(Control_Achizitii!$B663),Control_Achizitii!$B663&gt;=$E$5,Control_Achizitii!$B663&lt;$J$5+1,OR($O$5="Toate proiectele",Control_Achizitii!$Q663=$O$5)),1,0)))</f>
        <v>0</v>
      </c>
      <c r="W663" s="27">
        <f>IF(AND(V663=1,OR(Control_Achizitii!$J663&lt;&gt;"DOSAR COMPLET",Control_Achizitii!$K663&lt;&gt;"")),ROW(),1000000000)</f>
        <v>1000000000</v>
      </c>
      <c r="X663" s="27">
        <f>IF(AND(V663=1,LEFT(Control_Achizitii!$E663,4)="Fact",NOT(ISNUMBER(Control_Achizitii!$P663))),1,0)</f>
        <v>0</v>
      </c>
      <c r="Y663" s="27">
        <f>IF(V663=0,0,IF(Control_Achizitii!$J663="DOSAR COMPLET",1,IF(LEFT(Control_Achizitii!$J663,9)="INCOMPLET",2,3)))</f>
        <v>0</v>
      </c>
      <c r="Z663" s="27"/>
      <c r="AA663" s="27"/>
      <c r="AB663" s="27"/>
      <c r="AC663" s="27"/>
      <c r="AD663" s="27"/>
      <c r="AE663" s="27"/>
      <c r="AF663" s="27"/>
      <c r="AG663" s="27"/>
      <c r="AH663" s="27">
        <f>IF(AND(V663=1,Control_Achizitii!$J663="DOSAR COMPLET",Control_Achizitii!$K663&lt;&gt;""),1,0)</f>
        <v>0</v>
      </c>
    </row>
    <row r="664" spans="1:34">
      <c r="A664" s="27"/>
      <c r="B664" s="27"/>
      <c r="C664" s="27"/>
      <c r="D664" s="27"/>
      <c r="E664" s="27"/>
      <c r="F664" s="27"/>
      <c r="G664" s="27"/>
      <c r="H664" s="27"/>
      <c r="I664" s="27"/>
      <c r="J664" s="27"/>
      <c r="K664" s="27"/>
      <c r="L664" s="27"/>
      <c r="M664" s="27"/>
      <c r="N664" s="27"/>
      <c r="O664" s="27"/>
      <c r="P664" s="27"/>
      <c r="Q664" s="27"/>
      <c r="R664" s="27"/>
      <c r="S664" s="27"/>
      <c r="T664" s="27">
        <f>IF(LEFT(Control_Achizitii!$E664,4)="Fact",1,0)</f>
        <v>0</v>
      </c>
      <c r="U664" s="27">
        <f>IF(Control_Achizitii!$C664="",0,IF(ISNUMBER(Control_Achizitii!$B664),0,1))</f>
        <v>0</v>
      </c>
      <c r="V664" s="27">
        <f>IF(Control_Achizitii!$C664="",0,IF($Z$2&lt;&gt;"OK",0,IF(AND(ISNUMBER(Control_Achizitii!$B664),Control_Achizitii!$B664&gt;=$E$5,Control_Achizitii!$B664&lt;$J$5+1,OR($O$5="Toate proiectele",Control_Achizitii!$Q664=$O$5)),1,0)))</f>
        <v>0</v>
      </c>
      <c r="W664" s="27">
        <f>IF(AND(V664=1,OR(Control_Achizitii!$J664&lt;&gt;"DOSAR COMPLET",Control_Achizitii!$K664&lt;&gt;"")),ROW(),1000000000)</f>
        <v>1000000000</v>
      </c>
      <c r="X664" s="27">
        <f>IF(AND(V664=1,LEFT(Control_Achizitii!$E664,4)="Fact",NOT(ISNUMBER(Control_Achizitii!$P664))),1,0)</f>
        <v>0</v>
      </c>
      <c r="Y664" s="27">
        <f>IF(V664=0,0,IF(Control_Achizitii!$J664="DOSAR COMPLET",1,IF(LEFT(Control_Achizitii!$J664,9)="INCOMPLET",2,3)))</f>
        <v>0</v>
      </c>
      <c r="Z664" s="27"/>
      <c r="AA664" s="27"/>
      <c r="AB664" s="27"/>
      <c r="AC664" s="27"/>
      <c r="AD664" s="27"/>
      <c r="AE664" s="27"/>
      <c r="AF664" s="27"/>
      <c r="AG664" s="27"/>
      <c r="AH664" s="27">
        <f>IF(AND(V664=1,Control_Achizitii!$J664="DOSAR COMPLET",Control_Achizitii!$K664&lt;&gt;""),1,0)</f>
        <v>0</v>
      </c>
    </row>
    <row r="665" spans="1:34">
      <c r="A665" s="27"/>
      <c r="B665" s="27"/>
      <c r="C665" s="27"/>
      <c r="D665" s="27"/>
      <c r="E665" s="27"/>
      <c r="F665" s="27"/>
      <c r="G665" s="27"/>
      <c r="H665" s="27"/>
      <c r="I665" s="27"/>
      <c r="J665" s="27"/>
      <c r="K665" s="27"/>
      <c r="L665" s="27"/>
      <c r="M665" s="27"/>
      <c r="N665" s="27"/>
      <c r="O665" s="27"/>
      <c r="P665" s="27"/>
      <c r="Q665" s="27"/>
      <c r="R665" s="27"/>
      <c r="S665" s="27"/>
      <c r="T665" s="27">
        <f>IF(LEFT(Control_Achizitii!$E665,4)="Fact",1,0)</f>
        <v>0</v>
      </c>
      <c r="U665" s="27">
        <f>IF(Control_Achizitii!$C665="",0,IF(ISNUMBER(Control_Achizitii!$B665),0,1))</f>
        <v>0</v>
      </c>
      <c r="V665" s="27">
        <f>IF(Control_Achizitii!$C665="",0,IF($Z$2&lt;&gt;"OK",0,IF(AND(ISNUMBER(Control_Achizitii!$B665),Control_Achizitii!$B665&gt;=$E$5,Control_Achizitii!$B665&lt;$J$5+1,OR($O$5="Toate proiectele",Control_Achizitii!$Q665=$O$5)),1,0)))</f>
        <v>0</v>
      </c>
      <c r="W665" s="27">
        <f>IF(AND(V665=1,OR(Control_Achizitii!$J665&lt;&gt;"DOSAR COMPLET",Control_Achizitii!$K665&lt;&gt;"")),ROW(),1000000000)</f>
        <v>1000000000</v>
      </c>
      <c r="X665" s="27">
        <f>IF(AND(V665=1,LEFT(Control_Achizitii!$E665,4)="Fact",NOT(ISNUMBER(Control_Achizitii!$P665))),1,0)</f>
        <v>0</v>
      </c>
      <c r="Y665" s="27">
        <f>IF(V665=0,0,IF(Control_Achizitii!$J665="DOSAR COMPLET",1,IF(LEFT(Control_Achizitii!$J665,9)="INCOMPLET",2,3)))</f>
        <v>0</v>
      </c>
      <c r="Z665" s="27"/>
      <c r="AA665" s="27"/>
      <c r="AB665" s="27"/>
      <c r="AC665" s="27"/>
      <c r="AD665" s="27"/>
      <c r="AE665" s="27"/>
      <c r="AF665" s="27"/>
      <c r="AG665" s="27"/>
      <c r="AH665" s="27">
        <f>IF(AND(V665=1,Control_Achizitii!$J665="DOSAR COMPLET",Control_Achizitii!$K665&lt;&gt;""),1,0)</f>
        <v>0</v>
      </c>
    </row>
    <row r="666" spans="1:34">
      <c r="A666" s="27"/>
      <c r="B666" s="27"/>
      <c r="C666" s="27"/>
      <c r="D666" s="27"/>
      <c r="E666" s="27"/>
      <c r="F666" s="27"/>
      <c r="G666" s="27"/>
      <c r="H666" s="27"/>
      <c r="I666" s="27"/>
      <c r="J666" s="27"/>
      <c r="K666" s="27"/>
      <c r="L666" s="27"/>
      <c r="M666" s="27"/>
      <c r="N666" s="27"/>
      <c r="O666" s="27"/>
      <c r="P666" s="27"/>
      <c r="Q666" s="27"/>
      <c r="R666" s="27"/>
      <c r="S666" s="27"/>
      <c r="T666" s="27">
        <f>IF(LEFT(Control_Achizitii!$E666,4)="Fact",1,0)</f>
        <v>0</v>
      </c>
      <c r="U666" s="27">
        <f>IF(Control_Achizitii!$C666="",0,IF(ISNUMBER(Control_Achizitii!$B666),0,1))</f>
        <v>0</v>
      </c>
      <c r="V666" s="27">
        <f>IF(Control_Achizitii!$C666="",0,IF($Z$2&lt;&gt;"OK",0,IF(AND(ISNUMBER(Control_Achizitii!$B666),Control_Achizitii!$B666&gt;=$E$5,Control_Achizitii!$B666&lt;$J$5+1,OR($O$5="Toate proiectele",Control_Achizitii!$Q666=$O$5)),1,0)))</f>
        <v>0</v>
      </c>
      <c r="W666" s="27">
        <f>IF(AND(V666=1,OR(Control_Achizitii!$J666&lt;&gt;"DOSAR COMPLET",Control_Achizitii!$K666&lt;&gt;"")),ROW(),1000000000)</f>
        <v>1000000000</v>
      </c>
      <c r="X666" s="27">
        <f>IF(AND(V666=1,LEFT(Control_Achizitii!$E666,4)="Fact",NOT(ISNUMBER(Control_Achizitii!$P666))),1,0)</f>
        <v>0</v>
      </c>
      <c r="Y666" s="27">
        <f>IF(V666=0,0,IF(Control_Achizitii!$J666="DOSAR COMPLET",1,IF(LEFT(Control_Achizitii!$J666,9)="INCOMPLET",2,3)))</f>
        <v>0</v>
      </c>
      <c r="Z666" s="27"/>
      <c r="AA666" s="27"/>
      <c r="AB666" s="27"/>
      <c r="AC666" s="27"/>
      <c r="AD666" s="27"/>
      <c r="AE666" s="27"/>
      <c r="AF666" s="27"/>
      <c r="AG666" s="27"/>
      <c r="AH666" s="27">
        <f>IF(AND(V666=1,Control_Achizitii!$J666="DOSAR COMPLET",Control_Achizitii!$K666&lt;&gt;""),1,0)</f>
        <v>0</v>
      </c>
    </row>
    <row r="667" spans="1:34">
      <c r="A667" s="27"/>
      <c r="B667" s="27"/>
      <c r="C667" s="27"/>
      <c r="D667" s="27"/>
      <c r="E667" s="27"/>
      <c r="F667" s="27"/>
      <c r="G667" s="27"/>
      <c r="H667" s="27"/>
      <c r="I667" s="27"/>
      <c r="J667" s="27"/>
      <c r="K667" s="27"/>
      <c r="L667" s="27"/>
      <c r="M667" s="27"/>
      <c r="N667" s="27"/>
      <c r="O667" s="27"/>
      <c r="P667" s="27"/>
      <c r="Q667" s="27"/>
      <c r="R667" s="27"/>
      <c r="S667" s="27"/>
      <c r="T667" s="27">
        <f>IF(LEFT(Control_Achizitii!$E667,4)="Fact",1,0)</f>
        <v>0</v>
      </c>
      <c r="U667" s="27">
        <f>IF(Control_Achizitii!$C667="",0,IF(ISNUMBER(Control_Achizitii!$B667),0,1))</f>
        <v>0</v>
      </c>
      <c r="V667" s="27">
        <f>IF(Control_Achizitii!$C667="",0,IF($Z$2&lt;&gt;"OK",0,IF(AND(ISNUMBER(Control_Achizitii!$B667),Control_Achizitii!$B667&gt;=$E$5,Control_Achizitii!$B667&lt;$J$5+1,OR($O$5="Toate proiectele",Control_Achizitii!$Q667=$O$5)),1,0)))</f>
        <v>0</v>
      </c>
      <c r="W667" s="27">
        <f>IF(AND(V667=1,OR(Control_Achizitii!$J667&lt;&gt;"DOSAR COMPLET",Control_Achizitii!$K667&lt;&gt;"")),ROW(),1000000000)</f>
        <v>1000000000</v>
      </c>
      <c r="X667" s="27">
        <f>IF(AND(V667=1,LEFT(Control_Achizitii!$E667,4)="Fact",NOT(ISNUMBER(Control_Achizitii!$P667))),1,0)</f>
        <v>0</v>
      </c>
      <c r="Y667" s="27">
        <f>IF(V667=0,0,IF(Control_Achizitii!$J667="DOSAR COMPLET",1,IF(LEFT(Control_Achizitii!$J667,9)="INCOMPLET",2,3)))</f>
        <v>0</v>
      </c>
      <c r="Z667" s="27"/>
      <c r="AA667" s="27"/>
      <c r="AB667" s="27"/>
      <c r="AC667" s="27"/>
      <c r="AD667" s="27"/>
      <c r="AE667" s="27"/>
      <c r="AF667" s="27"/>
      <c r="AG667" s="27"/>
      <c r="AH667" s="27">
        <f>IF(AND(V667=1,Control_Achizitii!$J667="DOSAR COMPLET",Control_Achizitii!$K667&lt;&gt;""),1,0)</f>
        <v>0</v>
      </c>
    </row>
    <row r="668" spans="1:34">
      <c r="A668" s="27"/>
      <c r="B668" s="27"/>
      <c r="C668" s="27"/>
      <c r="D668" s="27"/>
      <c r="E668" s="27"/>
      <c r="F668" s="27"/>
      <c r="G668" s="27"/>
      <c r="H668" s="27"/>
      <c r="I668" s="27"/>
      <c r="J668" s="27"/>
      <c r="K668" s="27"/>
      <c r="L668" s="27"/>
      <c r="M668" s="27"/>
      <c r="N668" s="27"/>
      <c r="O668" s="27"/>
      <c r="P668" s="27"/>
      <c r="Q668" s="27"/>
      <c r="R668" s="27"/>
      <c r="S668" s="27"/>
      <c r="T668" s="27">
        <f>IF(LEFT(Control_Achizitii!$E668,4)="Fact",1,0)</f>
        <v>0</v>
      </c>
      <c r="U668" s="27">
        <f>IF(Control_Achizitii!$C668="",0,IF(ISNUMBER(Control_Achizitii!$B668),0,1))</f>
        <v>0</v>
      </c>
      <c r="V668" s="27">
        <f>IF(Control_Achizitii!$C668="",0,IF($Z$2&lt;&gt;"OK",0,IF(AND(ISNUMBER(Control_Achizitii!$B668),Control_Achizitii!$B668&gt;=$E$5,Control_Achizitii!$B668&lt;$J$5+1,OR($O$5="Toate proiectele",Control_Achizitii!$Q668=$O$5)),1,0)))</f>
        <v>0</v>
      </c>
      <c r="W668" s="27">
        <f>IF(AND(V668=1,OR(Control_Achizitii!$J668&lt;&gt;"DOSAR COMPLET",Control_Achizitii!$K668&lt;&gt;"")),ROW(),1000000000)</f>
        <v>1000000000</v>
      </c>
      <c r="X668" s="27">
        <f>IF(AND(V668=1,LEFT(Control_Achizitii!$E668,4)="Fact",NOT(ISNUMBER(Control_Achizitii!$P668))),1,0)</f>
        <v>0</v>
      </c>
      <c r="Y668" s="27">
        <f>IF(V668=0,0,IF(Control_Achizitii!$J668="DOSAR COMPLET",1,IF(LEFT(Control_Achizitii!$J668,9)="INCOMPLET",2,3)))</f>
        <v>0</v>
      </c>
      <c r="Z668" s="27"/>
      <c r="AA668" s="27"/>
      <c r="AB668" s="27"/>
      <c r="AC668" s="27"/>
      <c r="AD668" s="27"/>
      <c r="AE668" s="27"/>
      <c r="AF668" s="27"/>
      <c r="AG668" s="27"/>
      <c r="AH668" s="27">
        <f>IF(AND(V668=1,Control_Achizitii!$J668="DOSAR COMPLET",Control_Achizitii!$K668&lt;&gt;""),1,0)</f>
        <v>0</v>
      </c>
    </row>
    <row r="669" spans="1:34">
      <c r="A669" s="27"/>
      <c r="B669" s="27"/>
      <c r="C669" s="27"/>
      <c r="D669" s="27"/>
      <c r="E669" s="27"/>
      <c r="F669" s="27"/>
      <c r="G669" s="27"/>
      <c r="H669" s="27"/>
      <c r="I669" s="27"/>
      <c r="J669" s="27"/>
      <c r="K669" s="27"/>
      <c r="L669" s="27"/>
      <c r="M669" s="27"/>
      <c r="N669" s="27"/>
      <c r="O669" s="27"/>
      <c r="P669" s="27"/>
      <c r="Q669" s="27"/>
      <c r="R669" s="27"/>
      <c r="S669" s="27"/>
      <c r="T669" s="27">
        <f>IF(LEFT(Control_Achizitii!$E669,4)="Fact",1,0)</f>
        <v>0</v>
      </c>
      <c r="U669" s="27">
        <f>IF(Control_Achizitii!$C669="",0,IF(ISNUMBER(Control_Achizitii!$B669),0,1))</f>
        <v>0</v>
      </c>
      <c r="V669" s="27">
        <f>IF(Control_Achizitii!$C669="",0,IF($Z$2&lt;&gt;"OK",0,IF(AND(ISNUMBER(Control_Achizitii!$B669),Control_Achizitii!$B669&gt;=$E$5,Control_Achizitii!$B669&lt;$J$5+1,OR($O$5="Toate proiectele",Control_Achizitii!$Q669=$O$5)),1,0)))</f>
        <v>0</v>
      </c>
      <c r="W669" s="27">
        <f>IF(AND(V669=1,OR(Control_Achizitii!$J669&lt;&gt;"DOSAR COMPLET",Control_Achizitii!$K669&lt;&gt;"")),ROW(),1000000000)</f>
        <v>1000000000</v>
      </c>
      <c r="X669" s="27">
        <f>IF(AND(V669=1,LEFT(Control_Achizitii!$E669,4)="Fact",NOT(ISNUMBER(Control_Achizitii!$P669))),1,0)</f>
        <v>0</v>
      </c>
      <c r="Y669" s="27">
        <f>IF(V669=0,0,IF(Control_Achizitii!$J669="DOSAR COMPLET",1,IF(LEFT(Control_Achizitii!$J669,9)="INCOMPLET",2,3)))</f>
        <v>0</v>
      </c>
      <c r="Z669" s="27"/>
      <c r="AA669" s="27"/>
      <c r="AB669" s="27"/>
      <c r="AC669" s="27"/>
      <c r="AD669" s="27"/>
      <c r="AE669" s="27"/>
      <c r="AF669" s="27"/>
      <c r="AG669" s="27"/>
      <c r="AH669" s="27">
        <f>IF(AND(V669=1,Control_Achizitii!$J669="DOSAR COMPLET",Control_Achizitii!$K669&lt;&gt;""),1,0)</f>
        <v>0</v>
      </c>
    </row>
    <row r="670" spans="1:34">
      <c r="A670" s="27"/>
      <c r="B670" s="27"/>
      <c r="C670" s="27"/>
      <c r="D670" s="27"/>
      <c r="E670" s="27"/>
      <c r="F670" s="27"/>
      <c r="G670" s="27"/>
      <c r="H670" s="27"/>
      <c r="I670" s="27"/>
      <c r="J670" s="27"/>
      <c r="K670" s="27"/>
      <c r="L670" s="27"/>
      <c r="M670" s="27"/>
      <c r="N670" s="27"/>
      <c r="O670" s="27"/>
      <c r="P670" s="27"/>
      <c r="Q670" s="27"/>
      <c r="R670" s="27"/>
      <c r="S670" s="27"/>
      <c r="T670" s="27">
        <f>IF(LEFT(Control_Achizitii!$E670,4)="Fact",1,0)</f>
        <v>0</v>
      </c>
      <c r="U670" s="27">
        <f>IF(Control_Achizitii!$C670="",0,IF(ISNUMBER(Control_Achizitii!$B670),0,1))</f>
        <v>0</v>
      </c>
      <c r="V670" s="27">
        <f>IF(Control_Achizitii!$C670="",0,IF($Z$2&lt;&gt;"OK",0,IF(AND(ISNUMBER(Control_Achizitii!$B670),Control_Achizitii!$B670&gt;=$E$5,Control_Achizitii!$B670&lt;$J$5+1,OR($O$5="Toate proiectele",Control_Achizitii!$Q670=$O$5)),1,0)))</f>
        <v>0</v>
      </c>
      <c r="W670" s="27">
        <f>IF(AND(V670=1,OR(Control_Achizitii!$J670&lt;&gt;"DOSAR COMPLET",Control_Achizitii!$K670&lt;&gt;"")),ROW(),1000000000)</f>
        <v>1000000000</v>
      </c>
      <c r="X670" s="27">
        <f>IF(AND(V670=1,LEFT(Control_Achizitii!$E670,4)="Fact",NOT(ISNUMBER(Control_Achizitii!$P670))),1,0)</f>
        <v>0</v>
      </c>
      <c r="Y670" s="27">
        <f>IF(V670=0,0,IF(Control_Achizitii!$J670="DOSAR COMPLET",1,IF(LEFT(Control_Achizitii!$J670,9)="INCOMPLET",2,3)))</f>
        <v>0</v>
      </c>
      <c r="Z670" s="27"/>
      <c r="AA670" s="27"/>
      <c r="AB670" s="27"/>
      <c r="AC670" s="27"/>
      <c r="AD670" s="27"/>
      <c r="AE670" s="27"/>
      <c r="AF670" s="27"/>
      <c r="AG670" s="27"/>
      <c r="AH670" s="27">
        <f>IF(AND(V670=1,Control_Achizitii!$J670="DOSAR COMPLET",Control_Achizitii!$K670&lt;&gt;""),1,0)</f>
        <v>0</v>
      </c>
    </row>
    <row r="671" spans="1:34">
      <c r="A671" s="27"/>
      <c r="B671" s="27"/>
      <c r="C671" s="27"/>
      <c r="D671" s="27"/>
      <c r="E671" s="27"/>
      <c r="F671" s="27"/>
      <c r="G671" s="27"/>
      <c r="H671" s="27"/>
      <c r="I671" s="27"/>
      <c r="J671" s="27"/>
      <c r="K671" s="27"/>
      <c r="L671" s="27"/>
      <c r="M671" s="27"/>
      <c r="N671" s="27"/>
      <c r="O671" s="27"/>
      <c r="P671" s="27"/>
      <c r="Q671" s="27"/>
      <c r="R671" s="27"/>
      <c r="S671" s="27"/>
      <c r="T671" s="27">
        <f>IF(LEFT(Control_Achizitii!$E671,4)="Fact",1,0)</f>
        <v>0</v>
      </c>
      <c r="U671" s="27">
        <f>IF(Control_Achizitii!$C671="",0,IF(ISNUMBER(Control_Achizitii!$B671),0,1))</f>
        <v>0</v>
      </c>
      <c r="V671" s="27">
        <f>IF(Control_Achizitii!$C671="",0,IF($Z$2&lt;&gt;"OK",0,IF(AND(ISNUMBER(Control_Achizitii!$B671),Control_Achizitii!$B671&gt;=$E$5,Control_Achizitii!$B671&lt;$J$5+1,OR($O$5="Toate proiectele",Control_Achizitii!$Q671=$O$5)),1,0)))</f>
        <v>0</v>
      </c>
      <c r="W671" s="27">
        <f>IF(AND(V671=1,OR(Control_Achizitii!$J671&lt;&gt;"DOSAR COMPLET",Control_Achizitii!$K671&lt;&gt;"")),ROW(),1000000000)</f>
        <v>1000000000</v>
      </c>
      <c r="X671" s="27">
        <f>IF(AND(V671=1,LEFT(Control_Achizitii!$E671,4)="Fact",NOT(ISNUMBER(Control_Achizitii!$P671))),1,0)</f>
        <v>0</v>
      </c>
      <c r="Y671" s="27">
        <f>IF(V671=0,0,IF(Control_Achizitii!$J671="DOSAR COMPLET",1,IF(LEFT(Control_Achizitii!$J671,9)="INCOMPLET",2,3)))</f>
        <v>0</v>
      </c>
      <c r="Z671" s="27"/>
      <c r="AA671" s="27"/>
      <c r="AB671" s="27"/>
      <c r="AC671" s="27"/>
      <c r="AD671" s="27"/>
      <c r="AE671" s="27"/>
      <c r="AF671" s="27"/>
      <c r="AG671" s="27"/>
      <c r="AH671" s="27">
        <f>IF(AND(V671=1,Control_Achizitii!$J671="DOSAR COMPLET",Control_Achizitii!$K671&lt;&gt;""),1,0)</f>
        <v>0</v>
      </c>
    </row>
    <row r="672" spans="1:34">
      <c r="A672" s="27"/>
      <c r="B672" s="27"/>
      <c r="C672" s="27"/>
      <c r="D672" s="27"/>
      <c r="E672" s="27"/>
      <c r="F672" s="27"/>
      <c r="G672" s="27"/>
      <c r="H672" s="27"/>
      <c r="I672" s="27"/>
      <c r="J672" s="27"/>
      <c r="K672" s="27"/>
      <c r="L672" s="27"/>
      <c r="M672" s="27"/>
      <c r="N672" s="27"/>
      <c r="O672" s="27"/>
      <c r="P672" s="27"/>
      <c r="Q672" s="27"/>
      <c r="R672" s="27"/>
      <c r="S672" s="27"/>
      <c r="T672" s="27">
        <f>IF(LEFT(Control_Achizitii!$E672,4)="Fact",1,0)</f>
        <v>0</v>
      </c>
      <c r="U672" s="27">
        <f>IF(Control_Achizitii!$C672="",0,IF(ISNUMBER(Control_Achizitii!$B672),0,1))</f>
        <v>0</v>
      </c>
      <c r="V672" s="27">
        <f>IF(Control_Achizitii!$C672="",0,IF($Z$2&lt;&gt;"OK",0,IF(AND(ISNUMBER(Control_Achizitii!$B672),Control_Achizitii!$B672&gt;=$E$5,Control_Achizitii!$B672&lt;$J$5+1,OR($O$5="Toate proiectele",Control_Achizitii!$Q672=$O$5)),1,0)))</f>
        <v>0</v>
      </c>
      <c r="W672" s="27">
        <f>IF(AND(V672=1,OR(Control_Achizitii!$J672&lt;&gt;"DOSAR COMPLET",Control_Achizitii!$K672&lt;&gt;"")),ROW(),1000000000)</f>
        <v>1000000000</v>
      </c>
      <c r="X672" s="27">
        <f>IF(AND(V672=1,LEFT(Control_Achizitii!$E672,4)="Fact",NOT(ISNUMBER(Control_Achizitii!$P672))),1,0)</f>
        <v>0</v>
      </c>
      <c r="Y672" s="27">
        <f>IF(V672=0,0,IF(Control_Achizitii!$J672="DOSAR COMPLET",1,IF(LEFT(Control_Achizitii!$J672,9)="INCOMPLET",2,3)))</f>
        <v>0</v>
      </c>
      <c r="Z672" s="27"/>
      <c r="AA672" s="27"/>
      <c r="AB672" s="27"/>
      <c r="AC672" s="27"/>
      <c r="AD672" s="27"/>
      <c r="AE672" s="27"/>
      <c r="AF672" s="27"/>
      <c r="AG672" s="27"/>
      <c r="AH672" s="27">
        <f>IF(AND(V672=1,Control_Achizitii!$J672="DOSAR COMPLET",Control_Achizitii!$K672&lt;&gt;""),1,0)</f>
        <v>0</v>
      </c>
    </row>
    <row r="673" spans="1:34">
      <c r="A673" s="27"/>
      <c r="B673" s="27"/>
      <c r="C673" s="27"/>
      <c r="D673" s="27"/>
      <c r="E673" s="27"/>
      <c r="F673" s="27"/>
      <c r="G673" s="27"/>
      <c r="H673" s="27"/>
      <c r="I673" s="27"/>
      <c r="J673" s="27"/>
      <c r="K673" s="27"/>
      <c r="L673" s="27"/>
      <c r="M673" s="27"/>
      <c r="N673" s="27"/>
      <c r="O673" s="27"/>
      <c r="P673" s="27"/>
      <c r="Q673" s="27"/>
      <c r="R673" s="27"/>
      <c r="S673" s="27"/>
      <c r="T673" s="27">
        <f>IF(LEFT(Control_Achizitii!$E673,4)="Fact",1,0)</f>
        <v>0</v>
      </c>
      <c r="U673" s="27">
        <f>IF(Control_Achizitii!$C673="",0,IF(ISNUMBER(Control_Achizitii!$B673),0,1))</f>
        <v>0</v>
      </c>
      <c r="V673" s="27">
        <f>IF(Control_Achizitii!$C673="",0,IF($Z$2&lt;&gt;"OK",0,IF(AND(ISNUMBER(Control_Achizitii!$B673),Control_Achizitii!$B673&gt;=$E$5,Control_Achizitii!$B673&lt;$J$5+1,OR($O$5="Toate proiectele",Control_Achizitii!$Q673=$O$5)),1,0)))</f>
        <v>0</v>
      </c>
      <c r="W673" s="27">
        <f>IF(AND(V673=1,OR(Control_Achizitii!$J673&lt;&gt;"DOSAR COMPLET",Control_Achizitii!$K673&lt;&gt;"")),ROW(),1000000000)</f>
        <v>1000000000</v>
      </c>
      <c r="X673" s="27">
        <f>IF(AND(V673=1,LEFT(Control_Achizitii!$E673,4)="Fact",NOT(ISNUMBER(Control_Achizitii!$P673))),1,0)</f>
        <v>0</v>
      </c>
      <c r="Y673" s="27">
        <f>IF(V673=0,0,IF(Control_Achizitii!$J673="DOSAR COMPLET",1,IF(LEFT(Control_Achizitii!$J673,9)="INCOMPLET",2,3)))</f>
        <v>0</v>
      </c>
      <c r="Z673" s="27"/>
      <c r="AA673" s="27"/>
      <c r="AB673" s="27"/>
      <c r="AC673" s="27"/>
      <c r="AD673" s="27"/>
      <c r="AE673" s="27"/>
      <c r="AF673" s="27"/>
      <c r="AG673" s="27"/>
      <c r="AH673" s="27">
        <f>IF(AND(V673=1,Control_Achizitii!$J673="DOSAR COMPLET",Control_Achizitii!$K673&lt;&gt;""),1,0)</f>
        <v>0</v>
      </c>
    </row>
    <row r="674" spans="1:34">
      <c r="A674" s="27"/>
      <c r="B674" s="27"/>
      <c r="C674" s="27"/>
      <c r="D674" s="27"/>
      <c r="E674" s="27"/>
      <c r="F674" s="27"/>
      <c r="G674" s="27"/>
      <c r="H674" s="27"/>
      <c r="I674" s="27"/>
      <c r="J674" s="27"/>
      <c r="K674" s="27"/>
      <c r="L674" s="27"/>
      <c r="M674" s="27"/>
      <c r="N674" s="27"/>
      <c r="O674" s="27"/>
      <c r="P674" s="27"/>
      <c r="Q674" s="27"/>
      <c r="R674" s="27"/>
      <c r="S674" s="27"/>
      <c r="T674" s="27">
        <f>IF(LEFT(Control_Achizitii!$E674,4)="Fact",1,0)</f>
        <v>0</v>
      </c>
      <c r="U674" s="27">
        <f>IF(Control_Achizitii!$C674="",0,IF(ISNUMBER(Control_Achizitii!$B674),0,1))</f>
        <v>0</v>
      </c>
      <c r="V674" s="27">
        <f>IF(Control_Achizitii!$C674="",0,IF($Z$2&lt;&gt;"OK",0,IF(AND(ISNUMBER(Control_Achizitii!$B674),Control_Achizitii!$B674&gt;=$E$5,Control_Achizitii!$B674&lt;$J$5+1,OR($O$5="Toate proiectele",Control_Achizitii!$Q674=$O$5)),1,0)))</f>
        <v>0</v>
      </c>
      <c r="W674" s="27">
        <f>IF(AND(V674=1,OR(Control_Achizitii!$J674&lt;&gt;"DOSAR COMPLET",Control_Achizitii!$K674&lt;&gt;"")),ROW(),1000000000)</f>
        <v>1000000000</v>
      </c>
      <c r="X674" s="27">
        <f>IF(AND(V674=1,LEFT(Control_Achizitii!$E674,4)="Fact",NOT(ISNUMBER(Control_Achizitii!$P674))),1,0)</f>
        <v>0</v>
      </c>
      <c r="Y674" s="27">
        <f>IF(V674=0,0,IF(Control_Achizitii!$J674="DOSAR COMPLET",1,IF(LEFT(Control_Achizitii!$J674,9)="INCOMPLET",2,3)))</f>
        <v>0</v>
      </c>
      <c r="Z674" s="27"/>
      <c r="AA674" s="27"/>
      <c r="AB674" s="27"/>
      <c r="AC674" s="27"/>
      <c r="AD674" s="27"/>
      <c r="AE674" s="27"/>
      <c r="AF674" s="27"/>
      <c r="AG674" s="27"/>
      <c r="AH674" s="27">
        <f>IF(AND(V674=1,Control_Achizitii!$J674="DOSAR COMPLET",Control_Achizitii!$K674&lt;&gt;""),1,0)</f>
        <v>0</v>
      </c>
    </row>
    <row r="675" spans="1:34">
      <c r="A675" s="27"/>
      <c r="B675" s="27"/>
      <c r="C675" s="27"/>
      <c r="D675" s="27"/>
      <c r="E675" s="27"/>
      <c r="F675" s="27"/>
      <c r="G675" s="27"/>
      <c r="H675" s="27"/>
      <c r="I675" s="27"/>
      <c r="J675" s="27"/>
      <c r="K675" s="27"/>
      <c r="L675" s="27"/>
      <c r="M675" s="27"/>
      <c r="N675" s="27"/>
      <c r="O675" s="27"/>
      <c r="P675" s="27"/>
      <c r="Q675" s="27"/>
      <c r="R675" s="27"/>
      <c r="S675" s="27"/>
      <c r="T675" s="27">
        <f>IF(LEFT(Control_Achizitii!$E675,4)="Fact",1,0)</f>
        <v>0</v>
      </c>
      <c r="U675" s="27">
        <f>IF(Control_Achizitii!$C675="",0,IF(ISNUMBER(Control_Achizitii!$B675),0,1))</f>
        <v>0</v>
      </c>
      <c r="V675" s="27">
        <f>IF(Control_Achizitii!$C675="",0,IF($Z$2&lt;&gt;"OK",0,IF(AND(ISNUMBER(Control_Achizitii!$B675),Control_Achizitii!$B675&gt;=$E$5,Control_Achizitii!$B675&lt;$J$5+1,OR($O$5="Toate proiectele",Control_Achizitii!$Q675=$O$5)),1,0)))</f>
        <v>0</v>
      </c>
      <c r="W675" s="27">
        <f>IF(AND(V675=1,OR(Control_Achizitii!$J675&lt;&gt;"DOSAR COMPLET",Control_Achizitii!$K675&lt;&gt;"")),ROW(),1000000000)</f>
        <v>1000000000</v>
      </c>
      <c r="X675" s="27">
        <f>IF(AND(V675=1,LEFT(Control_Achizitii!$E675,4)="Fact",NOT(ISNUMBER(Control_Achizitii!$P675))),1,0)</f>
        <v>0</v>
      </c>
      <c r="Y675" s="27">
        <f>IF(V675=0,0,IF(Control_Achizitii!$J675="DOSAR COMPLET",1,IF(LEFT(Control_Achizitii!$J675,9)="INCOMPLET",2,3)))</f>
        <v>0</v>
      </c>
      <c r="Z675" s="27"/>
      <c r="AA675" s="27"/>
      <c r="AB675" s="27"/>
      <c r="AC675" s="27"/>
      <c r="AD675" s="27"/>
      <c r="AE675" s="27"/>
      <c r="AF675" s="27"/>
      <c r="AG675" s="27"/>
      <c r="AH675" s="27">
        <f>IF(AND(V675=1,Control_Achizitii!$J675="DOSAR COMPLET",Control_Achizitii!$K675&lt;&gt;""),1,0)</f>
        <v>0</v>
      </c>
    </row>
    <row r="676" spans="1:34">
      <c r="A676" s="27"/>
      <c r="B676" s="27"/>
      <c r="C676" s="27"/>
      <c r="D676" s="27"/>
      <c r="E676" s="27"/>
      <c r="F676" s="27"/>
      <c r="G676" s="27"/>
      <c r="H676" s="27"/>
      <c r="I676" s="27"/>
      <c r="J676" s="27"/>
      <c r="K676" s="27"/>
      <c r="L676" s="27"/>
      <c r="M676" s="27"/>
      <c r="N676" s="27"/>
      <c r="O676" s="27"/>
      <c r="P676" s="27"/>
      <c r="Q676" s="27"/>
      <c r="R676" s="27"/>
      <c r="S676" s="27"/>
      <c r="T676" s="27">
        <f>IF(LEFT(Control_Achizitii!$E676,4)="Fact",1,0)</f>
        <v>0</v>
      </c>
      <c r="U676" s="27">
        <f>IF(Control_Achizitii!$C676="",0,IF(ISNUMBER(Control_Achizitii!$B676),0,1))</f>
        <v>0</v>
      </c>
      <c r="V676" s="27">
        <f>IF(Control_Achizitii!$C676="",0,IF($Z$2&lt;&gt;"OK",0,IF(AND(ISNUMBER(Control_Achizitii!$B676),Control_Achizitii!$B676&gt;=$E$5,Control_Achizitii!$B676&lt;$J$5+1,OR($O$5="Toate proiectele",Control_Achizitii!$Q676=$O$5)),1,0)))</f>
        <v>0</v>
      </c>
      <c r="W676" s="27">
        <f>IF(AND(V676=1,OR(Control_Achizitii!$J676&lt;&gt;"DOSAR COMPLET",Control_Achizitii!$K676&lt;&gt;"")),ROW(),1000000000)</f>
        <v>1000000000</v>
      </c>
      <c r="X676" s="27">
        <f>IF(AND(V676=1,LEFT(Control_Achizitii!$E676,4)="Fact",NOT(ISNUMBER(Control_Achizitii!$P676))),1,0)</f>
        <v>0</v>
      </c>
      <c r="Y676" s="27">
        <f>IF(V676=0,0,IF(Control_Achizitii!$J676="DOSAR COMPLET",1,IF(LEFT(Control_Achizitii!$J676,9)="INCOMPLET",2,3)))</f>
        <v>0</v>
      </c>
      <c r="Z676" s="27"/>
      <c r="AA676" s="27"/>
      <c r="AB676" s="27"/>
      <c r="AC676" s="27"/>
      <c r="AD676" s="27"/>
      <c r="AE676" s="27"/>
      <c r="AF676" s="27"/>
      <c r="AG676" s="27"/>
      <c r="AH676" s="27">
        <f>IF(AND(V676=1,Control_Achizitii!$J676="DOSAR COMPLET",Control_Achizitii!$K676&lt;&gt;""),1,0)</f>
        <v>0</v>
      </c>
    </row>
    <row r="677" spans="1:34">
      <c r="A677" s="27"/>
      <c r="B677" s="27"/>
      <c r="C677" s="27"/>
      <c r="D677" s="27"/>
      <c r="E677" s="27"/>
      <c r="F677" s="27"/>
      <c r="G677" s="27"/>
      <c r="H677" s="27"/>
      <c r="I677" s="27"/>
      <c r="J677" s="27"/>
      <c r="K677" s="27"/>
      <c r="L677" s="27"/>
      <c r="M677" s="27"/>
      <c r="N677" s="27"/>
      <c r="O677" s="27"/>
      <c r="P677" s="27"/>
      <c r="Q677" s="27"/>
      <c r="R677" s="27"/>
      <c r="S677" s="27"/>
      <c r="T677" s="27">
        <f>IF(LEFT(Control_Achizitii!$E677,4)="Fact",1,0)</f>
        <v>0</v>
      </c>
      <c r="U677" s="27">
        <f>IF(Control_Achizitii!$C677="",0,IF(ISNUMBER(Control_Achizitii!$B677),0,1))</f>
        <v>0</v>
      </c>
      <c r="V677" s="27">
        <f>IF(Control_Achizitii!$C677="",0,IF($Z$2&lt;&gt;"OK",0,IF(AND(ISNUMBER(Control_Achizitii!$B677),Control_Achizitii!$B677&gt;=$E$5,Control_Achizitii!$B677&lt;$J$5+1,OR($O$5="Toate proiectele",Control_Achizitii!$Q677=$O$5)),1,0)))</f>
        <v>0</v>
      </c>
      <c r="W677" s="27">
        <f>IF(AND(V677=1,OR(Control_Achizitii!$J677&lt;&gt;"DOSAR COMPLET",Control_Achizitii!$K677&lt;&gt;"")),ROW(),1000000000)</f>
        <v>1000000000</v>
      </c>
      <c r="X677" s="27">
        <f>IF(AND(V677=1,LEFT(Control_Achizitii!$E677,4)="Fact",NOT(ISNUMBER(Control_Achizitii!$P677))),1,0)</f>
        <v>0</v>
      </c>
      <c r="Y677" s="27">
        <f>IF(V677=0,0,IF(Control_Achizitii!$J677="DOSAR COMPLET",1,IF(LEFT(Control_Achizitii!$J677,9)="INCOMPLET",2,3)))</f>
        <v>0</v>
      </c>
      <c r="Z677" s="27"/>
      <c r="AA677" s="27"/>
      <c r="AB677" s="27"/>
      <c r="AC677" s="27"/>
      <c r="AD677" s="27"/>
      <c r="AE677" s="27"/>
      <c r="AF677" s="27"/>
      <c r="AG677" s="27"/>
      <c r="AH677" s="27">
        <f>IF(AND(V677=1,Control_Achizitii!$J677="DOSAR COMPLET",Control_Achizitii!$K677&lt;&gt;""),1,0)</f>
        <v>0</v>
      </c>
    </row>
    <row r="678" spans="1:34">
      <c r="A678" s="27"/>
      <c r="B678" s="27"/>
      <c r="C678" s="27"/>
      <c r="D678" s="27"/>
      <c r="E678" s="27"/>
      <c r="F678" s="27"/>
      <c r="G678" s="27"/>
      <c r="H678" s="27"/>
      <c r="I678" s="27"/>
      <c r="J678" s="27"/>
      <c r="K678" s="27"/>
      <c r="L678" s="27"/>
      <c r="M678" s="27"/>
      <c r="N678" s="27"/>
      <c r="O678" s="27"/>
      <c r="P678" s="27"/>
      <c r="Q678" s="27"/>
      <c r="R678" s="27"/>
      <c r="S678" s="27"/>
      <c r="T678" s="27">
        <f>IF(LEFT(Control_Achizitii!$E678,4)="Fact",1,0)</f>
        <v>0</v>
      </c>
      <c r="U678" s="27">
        <f>IF(Control_Achizitii!$C678="",0,IF(ISNUMBER(Control_Achizitii!$B678),0,1))</f>
        <v>0</v>
      </c>
      <c r="V678" s="27">
        <f>IF(Control_Achizitii!$C678="",0,IF($Z$2&lt;&gt;"OK",0,IF(AND(ISNUMBER(Control_Achizitii!$B678),Control_Achizitii!$B678&gt;=$E$5,Control_Achizitii!$B678&lt;$J$5+1,OR($O$5="Toate proiectele",Control_Achizitii!$Q678=$O$5)),1,0)))</f>
        <v>0</v>
      </c>
      <c r="W678" s="27">
        <f>IF(AND(V678=1,OR(Control_Achizitii!$J678&lt;&gt;"DOSAR COMPLET",Control_Achizitii!$K678&lt;&gt;"")),ROW(),1000000000)</f>
        <v>1000000000</v>
      </c>
      <c r="X678" s="27">
        <f>IF(AND(V678=1,LEFT(Control_Achizitii!$E678,4)="Fact",NOT(ISNUMBER(Control_Achizitii!$P678))),1,0)</f>
        <v>0</v>
      </c>
      <c r="Y678" s="27">
        <f>IF(V678=0,0,IF(Control_Achizitii!$J678="DOSAR COMPLET",1,IF(LEFT(Control_Achizitii!$J678,9)="INCOMPLET",2,3)))</f>
        <v>0</v>
      </c>
      <c r="Z678" s="27"/>
      <c r="AA678" s="27"/>
      <c r="AB678" s="27"/>
      <c r="AC678" s="27"/>
      <c r="AD678" s="27"/>
      <c r="AE678" s="27"/>
      <c r="AF678" s="27"/>
      <c r="AG678" s="27"/>
      <c r="AH678" s="27">
        <f>IF(AND(V678=1,Control_Achizitii!$J678="DOSAR COMPLET",Control_Achizitii!$K678&lt;&gt;""),1,0)</f>
        <v>0</v>
      </c>
    </row>
    <row r="679" spans="1:34">
      <c r="A679" s="27"/>
      <c r="B679" s="27"/>
      <c r="C679" s="27"/>
      <c r="D679" s="27"/>
      <c r="E679" s="27"/>
      <c r="F679" s="27"/>
      <c r="G679" s="27"/>
      <c r="H679" s="27"/>
      <c r="I679" s="27"/>
      <c r="J679" s="27"/>
      <c r="K679" s="27"/>
      <c r="L679" s="27"/>
      <c r="M679" s="27"/>
      <c r="N679" s="27"/>
      <c r="O679" s="27"/>
      <c r="P679" s="27"/>
      <c r="Q679" s="27"/>
      <c r="R679" s="27"/>
      <c r="S679" s="27"/>
      <c r="T679" s="27">
        <f>IF(LEFT(Control_Achizitii!$E679,4)="Fact",1,0)</f>
        <v>0</v>
      </c>
      <c r="U679" s="27">
        <f>IF(Control_Achizitii!$C679="",0,IF(ISNUMBER(Control_Achizitii!$B679),0,1))</f>
        <v>0</v>
      </c>
      <c r="V679" s="27">
        <f>IF(Control_Achizitii!$C679="",0,IF($Z$2&lt;&gt;"OK",0,IF(AND(ISNUMBER(Control_Achizitii!$B679),Control_Achizitii!$B679&gt;=$E$5,Control_Achizitii!$B679&lt;$J$5+1,OR($O$5="Toate proiectele",Control_Achizitii!$Q679=$O$5)),1,0)))</f>
        <v>0</v>
      </c>
      <c r="W679" s="27">
        <f>IF(AND(V679=1,OR(Control_Achizitii!$J679&lt;&gt;"DOSAR COMPLET",Control_Achizitii!$K679&lt;&gt;"")),ROW(),1000000000)</f>
        <v>1000000000</v>
      </c>
      <c r="X679" s="27">
        <f>IF(AND(V679=1,LEFT(Control_Achizitii!$E679,4)="Fact",NOT(ISNUMBER(Control_Achizitii!$P679))),1,0)</f>
        <v>0</v>
      </c>
      <c r="Y679" s="27">
        <f>IF(V679=0,0,IF(Control_Achizitii!$J679="DOSAR COMPLET",1,IF(LEFT(Control_Achizitii!$J679,9)="INCOMPLET",2,3)))</f>
        <v>0</v>
      </c>
      <c r="Z679" s="27"/>
      <c r="AA679" s="27"/>
      <c r="AB679" s="27"/>
      <c r="AC679" s="27"/>
      <c r="AD679" s="27"/>
      <c r="AE679" s="27"/>
      <c r="AF679" s="27"/>
      <c r="AG679" s="27"/>
      <c r="AH679" s="27">
        <f>IF(AND(V679=1,Control_Achizitii!$J679="DOSAR COMPLET",Control_Achizitii!$K679&lt;&gt;""),1,0)</f>
        <v>0</v>
      </c>
    </row>
    <row r="680" spans="1:34">
      <c r="A680" s="27"/>
      <c r="B680" s="27"/>
      <c r="C680" s="27"/>
      <c r="D680" s="27"/>
      <c r="E680" s="27"/>
      <c r="F680" s="27"/>
      <c r="G680" s="27"/>
      <c r="H680" s="27"/>
      <c r="I680" s="27"/>
      <c r="J680" s="27"/>
      <c r="K680" s="27"/>
      <c r="L680" s="27"/>
      <c r="M680" s="27"/>
      <c r="N680" s="27"/>
      <c r="O680" s="27"/>
      <c r="P680" s="27"/>
      <c r="Q680" s="27"/>
      <c r="R680" s="27"/>
      <c r="S680" s="27"/>
      <c r="T680" s="27">
        <f>IF(LEFT(Control_Achizitii!$E680,4)="Fact",1,0)</f>
        <v>0</v>
      </c>
      <c r="U680" s="27">
        <f>IF(Control_Achizitii!$C680="",0,IF(ISNUMBER(Control_Achizitii!$B680),0,1))</f>
        <v>0</v>
      </c>
      <c r="V680" s="27">
        <f>IF(Control_Achizitii!$C680="",0,IF($Z$2&lt;&gt;"OK",0,IF(AND(ISNUMBER(Control_Achizitii!$B680),Control_Achizitii!$B680&gt;=$E$5,Control_Achizitii!$B680&lt;$J$5+1,OR($O$5="Toate proiectele",Control_Achizitii!$Q680=$O$5)),1,0)))</f>
        <v>0</v>
      </c>
      <c r="W680" s="27">
        <f>IF(AND(V680=1,OR(Control_Achizitii!$J680&lt;&gt;"DOSAR COMPLET",Control_Achizitii!$K680&lt;&gt;"")),ROW(),1000000000)</f>
        <v>1000000000</v>
      </c>
      <c r="X680" s="27">
        <f>IF(AND(V680=1,LEFT(Control_Achizitii!$E680,4)="Fact",NOT(ISNUMBER(Control_Achizitii!$P680))),1,0)</f>
        <v>0</v>
      </c>
      <c r="Y680" s="27">
        <f>IF(V680=0,0,IF(Control_Achizitii!$J680="DOSAR COMPLET",1,IF(LEFT(Control_Achizitii!$J680,9)="INCOMPLET",2,3)))</f>
        <v>0</v>
      </c>
      <c r="Z680" s="27"/>
      <c r="AA680" s="27"/>
      <c r="AB680" s="27"/>
      <c r="AC680" s="27"/>
      <c r="AD680" s="27"/>
      <c r="AE680" s="27"/>
      <c r="AF680" s="27"/>
      <c r="AG680" s="27"/>
      <c r="AH680" s="27">
        <f>IF(AND(V680=1,Control_Achizitii!$J680="DOSAR COMPLET",Control_Achizitii!$K680&lt;&gt;""),1,0)</f>
        <v>0</v>
      </c>
    </row>
    <row r="681" spans="1:34">
      <c r="A681" s="27"/>
      <c r="B681" s="27"/>
      <c r="C681" s="27"/>
      <c r="D681" s="27"/>
      <c r="E681" s="27"/>
      <c r="F681" s="27"/>
      <c r="G681" s="27"/>
      <c r="H681" s="27"/>
      <c r="I681" s="27"/>
      <c r="J681" s="27"/>
      <c r="K681" s="27"/>
      <c r="L681" s="27"/>
      <c r="M681" s="27"/>
      <c r="N681" s="27"/>
      <c r="O681" s="27"/>
      <c r="P681" s="27"/>
      <c r="Q681" s="27"/>
      <c r="R681" s="27"/>
      <c r="S681" s="27"/>
      <c r="T681" s="27">
        <f>IF(LEFT(Control_Achizitii!$E681,4)="Fact",1,0)</f>
        <v>0</v>
      </c>
      <c r="U681" s="27">
        <f>IF(Control_Achizitii!$C681="",0,IF(ISNUMBER(Control_Achizitii!$B681),0,1))</f>
        <v>0</v>
      </c>
      <c r="V681" s="27">
        <f>IF(Control_Achizitii!$C681="",0,IF($Z$2&lt;&gt;"OK",0,IF(AND(ISNUMBER(Control_Achizitii!$B681),Control_Achizitii!$B681&gt;=$E$5,Control_Achizitii!$B681&lt;$J$5+1,OR($O$5="Toate proiectele",Control_Achizitii!$Q681=$O$5)),1,0)))</f>
        <v>0</v>
      </c>
      <c r="W681" s="27">
        <f>IF(AND(V681=1,OR(Control_Achizitii!$J681&lt;&gt;"DOSAR COMPLET",Control_Achizitii!$K681&lt;&gt;"")),ROW(),1000000000)</f>
        <v>1000000000</v>
      </c>
      <c r="X681" s="27">
        <f>IF(AND(V681=1,LEFT(Control_Achizitii!$E681,4)="Fact",NOT(ISNUMBER(Control_Achizitii!$P681))),1,0)</f>
        <v>0</v>
      </c>
      <c r="Y681" s="27">
        <f>IF(V681=0,0,IF(Control_Achizitii!$J681="DOSAR COMPLET",1,IF(LEFT(Control_Achizitii!$J681,9)="INCOMPLET",2,3)))</f>
        <v>0</v>
      </c>
      <c r="Z681" s="27"/>
      <c r="AA681" s="27"/>
      <c r="AB681" s="27"/>
      <c r="AC681" s="27"/>
      <c r="AD681" s="27"/>
      <c r="AE681" s="27"/>
      <c r="AF681" s="27"/>
      <c r="AG681" s="27"/>
      <c r="AH681" s="27">
        <f>IF(AND(V681=1,Control_Achizitii!$J681="DOSAR COMPLET",Control_Achizitii!$K681&lt;&gt;""),1,0)</f>
        <v>0</v>
      </c>
    </row>
    <row r="682" spans="1:34">
      <c r="A682" s="27"/>
      <c r="B682" s="27"/>
      <c r="C682" s="27"/>
      <c r="D682" s="27"/>
      <c r="E682" s="27"/>
      <c r="F682" s="27"/>
      <c r="G682" s="27"/>
      <c r="H682" s="27"/>
      <c r="I682" s="27"/>
      <c r="J682" s="27"/>
      <c r="K682" s="27"/>
      <c r="L682" s="27"/>
      <c r="M682" s="27"/>
      <c r="N682" s="27"/>
      <c r="O682" s="27"/>
      <c r="P682" s="27"/>
      <c r="Q682" s="27"/>
      <c r="R682" s="27"/>
      <c r="S682" s="27"/>
      <c r="T682" s="27">
        <f>IF(LEFT(Control_Achizitii!$E682,4)="Fact",1,0)</f>
        <v>0</v>
      </c>
      <c r="U682" s="27">
        <f>IF(Control_Achizitii!$C682="",0,IF(ISNUMBER(Control_Achizitii!$B682),0,1))</f>
        <v>0</v>
      </c>
      <c r="V682" s="27">
        <f>IF(Control_Achizitii!$C682="",0,IF($Z$2&lt;&gt;"OK",0,IF(AND(ISNUMBER(Control_Achizitii!$B682),Control_Achizitii!$B682&gt;=$E$5,Control_Achizitii!$B682&lt;$J$5+1,OR($O$5="Toate proiectele",Control_Achizitii!$Q682=$O$5)),1,0)))</f>
        <v>0</v>
      </c>
      <c r="W682" s="27">
        <f>IF(AND(V682=1,OR(Control_Achizitii!$J682&lt;&gt;"DOSAR COMPLET",Control_Achizitii!$K682&lt;&gt;"")),ROW(),1000000000)</f>
        <v>1000000000</v>
      </c>
      <c r="X682" s="27">
        <f>IF(AND(V682=1,LEFT(Control_Achizitii!$E682,4)="Fact",NOT(ISNUMBER(Control_Achizitii!$P682))),1,0)</f>
        <v>0</v>
      </c>
      <c r="Y682" s="27">
        <f>IF(V682=0,0,IF(Control_Achizitii!$J682="DOSAR COMPLET",1,IF(LEFT(Control_Achizitii!$J682,9)="INCOMPLET",2,3)))</f>
        <v>0</v>
      </c>
      <c r="Z682" s="27"/>
      <c r="AA682" s="27"/>
      <c r="AB682" s="27"/>
      <c r="AC682" s="27"/>
      <c r="AD682" s="27"/>
      <c r="AE682" s="27"/>
      <c r="AF682" s="27"/>
      <c r="AG682" s="27"/>
      <c r="AH682" s="27">
        <f>IF(AND(V682=1,Control_Achizitii!$J682="DOSAR COMPLET",Control_Achizitii!$K682&lt;&gt;""),1,0)</f>
        <v>0</v>
      </c>
    </row>
    <row r="683" spans="1:34">
      <c r="A683" s="27"/>
      <c r="B683" s="27"/>
      <c r="C683" s="27"/>
      <c r="D683" s="27"/>
      <c r="E683" s="27"/>
      <c r="F683" s="27"/>
      <c r="G683" s="27"/>
      <c r="H683" s="27"/>
      <c r="I683" s="27"/>
      <c r="J683" s="27"/>
      <c r="K683" s="27"/>
      <c r="L683" s="27"/>
      <c r="M683" s="27"/>
      <c r="N683" s="27"/>
      <c r="O683" s="27"/>
      <c r="P683" s="27"/>
      <c r="Q683" s="27"/>
      <c r="R683" s="27"/>
      <c r="S683" s="27"/>
      <c r="T683" s="27">
        <f>IF(LEFT(Control_Achizitii!$E683,4)="Fact",1,0)</f>
        <v>0</v>
      </c>
      <c r="U683" s="27">
        <f>IF(Control_Achizitii!$C683="",0,IF(ISNUMBER(Control_Achizitii!$B683),0,1))</f>
        <v>0</v>
      </c>
      <c r="V683" s="27">
        <f>IF(Control_Achizitii!$C683="",0,IF($Z$2&lt;&gt;"OK",0,IF(AND(ISNUMBER(Control_Achizitii!$B683),Control_Achizitii!$B683&gt;=$E$5,Control_Achizitii!$B683&lt;$J$5+1,OR($O$5="Toate proiectele",Control_Achizitii!$Q683=$O$5)),1,0)))</f>
        <v>0</v>
      </c>
      <c r="W683" s="27">
        <f>IF(AND(V683=1,OR(Control_Achizitii!$J683&lt;&gt;"DOSAR COMPLET",Control_Achizitii!$K683&lt;&gt;"")),ROW(),1000000000)</f>
        <v>1000000000</v>
      </c>
      <c r="X683" s="27">
        <f>IF(AND(V683=1,LEFT(Control_Achizitii!$E683,4)="Fact",NOT(ISNUMBER(Control_Achizitii!$P683))),1,0)</f>
        <v>0</v>
      </c>
      <c r="Y683" s="27">
        <f>IF(V683=0,0,IF(Control_Achizitii!$J683="DOSAR COMPLET",1,IF(LEFT(Control_Achizitii!$J683,9)="INCOMPLET",2,3)))</f>
        <v>0</v>
      </c>
      <c r="Z683" s="27"/>
      <c r="AA683" s="27"/>
      <c r="AB683" s="27"/>
      <c r="AC683" s="27"/>
      <c r="AD683" s="27"/>
      <c r="AE683" s="27"/>
      <c r="AF683" s="27"/>
      <c r="AG683" s="27"/>
      <c r="AH683" s="27">
        <f>IF(AND(V683=1,Control_Achizitii!$J683="DOSAR COMPLET",Control_Achizitii!$K683&lt;&gt;""),1,0)</f>
        <v>0</v>
      </c>
    </row>
    <row r="684" spans="1:34">
      <c r="A684" s="27"/>
      <c r="B684" s="27"/>
      <c r="C684" s="27"/>
      <c r="D684" s="27"/>
      <c r="E684" s="27"/>
      <c r="F684" s="27"/>
      <c r="G684" s="27"/>
      <c r="H684" s="27"/>
      <c r="I684" s="27"/>
      <c r="J684" s="27"/>
      <c r="K684" s="27"/>
      <c r="L684" s="27"/>
      <c r="M684" s="27"/>
      <c r="N684" s="27"/>
      <c r="O684" s="27"/>
      <c r="P684" s="27"/>
      <c r="Q684" s="27"/>
      <c r="R684" s="27"/>
      <c r="S684" s="27"/>
      <c r="T684" s="27">
        <f>IF(LEFT(Control_Achizitii!$E684,4)="Fact",1,0)</f>
        <v>0</v>
      </c>
      <c r="U684" s="27">
        <f>IF(Control_Achizitii!$C684="",0,IF(ISNUMBER(Control_Achizitii!$B684),0,1))</f>
        <v>0</v>
      </c>
      <c r="V684" s="27">
        <f>IF(Control_Achizitii!$C684="",0,IF($Z$2&lt;&gt;"OK",0,IF(AND(ISNUMBER(Control_Achizitii!$B684),Control_Achizitii!$B684&gt;=$E$5,Control_Achizitii!$B684&lt;$J$5+1,OR($O$5="Toate proiectele",Control_Achizitii!$Q684=$O$5)),1,0)))</f>
        <v>0</v>
      </c>
      <c r="W684" s="27">
        <f>IF(AND(V684=1,OR(Control_Achizitii!$J684&lt;&gt;"DOSAR COMPLET",Control_Achizitii!$K684&lt;&gt;"")),ROW(),1000000000)</f>
        <v>1000000000</v>
      </c>
      <c r="X684" s="27">
        <f>IF(AND(V684=1,LEFT(Control_Achizitii!$E684,4)="Fact",NOT(ISNUMBER(Control_Achizitii!$P684))),1,0)</f>
        <v>0</v>
      </c>
      <c r="Y684" s="27">
        <f>IF(V684=0,0,IF(Control_Achizitii!$J684="DOSAR COMPLET",1,IF(LEFT(Control_Achizitii!$J684,9)="INCOMPLET",2,3)))</f>
        <v>0</v>
      </c>
      <c r="Z684" s="27"/>
      <c r="AA684" s="27"/>
      <c r="AB684" s="27"/>
      <c r="AC684" s="27"/>
      <c r="AD684" s="27"/>
      <c r="AE684" s="27"/>
      <c r="AF684" s="27"/>
      <c r="AG684" s="27"/>
      <c r="AH684" s="27">
        <f>IF(AND(V684=1,Control_Achizitii!$J684="DOSAR COMPLET",Control_Achizitii!$K684&lt;&gt;""),1,0)</f>
        <v>0</v>
      </c>
    </row>
    <row r="685" spans="1:34">
      <c r="A685" s="27"/>
      <c r="B685" s="27"/>
      <c r="C685" s="27"/>
      <c r="D685" s="27"/>
      <c r="E685" s="27"/>
      <c r="F685" s="27"/>
      <c r="G685" s="27"/>
      <c r="H685" s="27"/>
      <c r="I685" s="27"/>
      <c r="J685" s="27"/>
      <c r="K685" s="27"/>
      <c r="L685" s="27"/>
      <c r="M685" s="27"/>
      <c r="N685" s="27"/>
      <c r="O685" s="27"/>
      <c r="P685" s="27"/>
      <c r="Q685" s="27"/>
      <c r="R685" s="27"/>
      <c r="S685" s="27"/>
      <c r="T685" s="27">
        <f>IF(LEFT(Control_Achizitii!$E685,4)="Fact",1,0)</f>
        <v>0</v>
      </c>
      <c r="U685" s="27">
        <f>IF(Control_Achizitii!$C685="",0,IF(ISNUMBER(Control_Achizitii!$B685),0,1))</f>
        <v>0</v>
      </c>
      <c r="V685" s="27">
        <f>IF(Control_Achizitii!$C685="",0,IF($Z$2&lt;&gt;"OK",0,IF(AND(ISNUMBER(Control_Achizitii!$B685),Control_Achizitii!$B685&gt;=$E$5,Control_Achizitii!$B685&lt;$J$5+1,OR($O$5="Toate proiectele",Control_Achizitii!$Q685=$O$5)),1,0)))</f>
        <v>0</v>
      </c>
      <c r="W685" s="27">
        <f>IF(AND(V685=1,OR(Control_Achizitii!$J685&lt;&gt;"DOSAR COMPLET",Control_Achizitii!$K685&lt;&gt;"")),ROW(),1000000000)</f>
        <v>1000000000</v>
      </c>
      <c r="X685" s="27">
        <f>IF(AND(V685=1,LEFT(Control_Achizitii!$E685,4)="Fact",NOT(ISNUMBER(Control_Achizitii!$P685))),1,0)</f>
        <v>0</v>
      </c>
      <c r="Y685" s="27">
        <f>IF(V685=0,0,IF(Control_Achizitii!$J685="DOSAR COMPLET",1,IF(LEFT(Control_Achizitii!$J685,9)="INCOMPLET",2,3)))</f>
        <v>0</v>
      </c>
      <c r="Z685" s="27"/>
      <c r="AA685" s="27"/>
      <c r="AB685" s="27"/>
      <c r="AC685" s="27"/>
      <c r="AD685" s="27"/>
      <c r="AE685" s="27"/>
      <c r="AF685" s="27"/>
      <c r="AG685" s="27"/>
      <c r="AH685" s="27">
        <f>IF(AND(V685=1,Control_Achizitii!$J685="DOSAR COMPLET",Control_Achizitii!$K685&lt;&gt;""),1,0)</f>
        <v>0</v>
      </c>
    </row>
    <row r="686" spans="1:34">
      <c r="A686" s="27"/>
      <c r="B686" s="27"/>
      <c r="C686" s="27"/>
      <c r="D686" s="27"/>
      <c r="E686" s="27"/>
      <c r="F686" s="27"/>
      <c r="G686" s="27"/>
      <c r="H686" s="27"/>
      <c r="I686" s="27"/>
      <c r="J686" s="27"/>
      <c r="K686" s="27"/>
      <c r="L686" s="27"/>
      <c r="M686" s="27"/>
      <c r="N686" s="27"/>
      <c r="O686" s="27"/>
      <c r="P686" s="27"/>
      <c r="Q686" s="27"/>
      <c r="R686" s="27"/>
      <c r="S686" s="27"/>
      <c r="T686" s="27">
        <f>IF(LEFT(Control_Achizitii!$E686,4)="Fact",1,0)</f>
        <v>0</v>
      </c>
      <c r="U686" s="27">
        <f>IF(Control_Achizitii!$C686="",0,IF(ISNUMBER(Control_Achizitii!$B686),0,1))</f>
        <v>0</v>
      </c>
      <c r="V686" s="27">
        <f>IF(Control_Achizitii!$C686="",0,IF($Z$2&lt;&gt;"OK",0,IF(AND(ISNUMBER(Control_Achizitii!$B686),Control_Achizitii!$B686&gt;=$E$5,Control_Achizitii!$B686&lt;$J$5+1,OR($O$5="Toate proiectele",Control_Achizitii!$Q686=$O$5)),1,0)))</f>
        <v>0</v>
      </c>
      <c r="W686" s="27">
        <f>IF(AND(V686=1,OR(Control_Achizitii!$J686&lt;&gt;"DOSAR COMPLET",Control_Achizitii!$K686&lt;&gt;"")),ROW(),1000000000)</f>
        <v>1000000000</v>
      </c>
      <c r="X686" s="27">
        <f>IF(AND(V686=1,LEFT(Control_Achizitii!$E686,4)="Fact",NOT(ISNUMBER(Control_Achizitii!$P686))),1,0)</f>
        <v>0</v>
      </c>
      <c r="Y686" s="27">
        <f>IF(V686=0,0,IF(Control_Achizitii!$J686="DOSAR COMPLET",1,IF(LEFT(Control_Achizitii!$J686,9)="INCOMPLET",2,3)))</f>
        <v>0</v>
      </c>
      <c r="Z686" s="27"/>
      <c r="AA686" s="27"/>
      <c r="AB686" s="27"/>
      <c r="AC686" s="27"/>
      <c r="AD686" s="27"/>
      <c r="AE686" s="27"/>
      <c r="AF686" s="27"/>
      <c r="AG686" s="27"/>
      <c r="AH686" s="27">
        <f>IF(AND(V686=1,Control_Achizitii!$J686="DOSAR COMPLET",Control_Achizitii!$K686&lt;&gt;""),1,0)</f>
        <v>0</v>
      </c>
    </row>
    <row r="687" spans="1:34">
      <c r="A687" s="27"/>
      <c r="B687" s="27"/>
      <c r="C687" s="27"/>
      <c r="D687" s="27"/>
      <c r="E687" s="27"/>
      <c r="F687" s="27"/>
      <c r="G687" s="27"/>
      <c r="H687" s="27"/>
      <c r="I687" s="27"/>
      <c r="J687" s="27"/>
      <c r="K687" s="27"/>
      <c r="L687" s="27"/>
      <c r="M687" s="27"/>
      <c r="N687" s="27"/>
      <c r="O687" s="27"/>
      <c r="P687" s="27"/>
      <c r="Q687" s="27"/>
      <c r="R687" s="27"/>
      <c r="S687" s="27"/>
      <c r="T687" s="27">
        <f>IF(LEFT(Control_Achizitii!$E687,4)="Fact",1,0)</f>
        <v>0</v>
      </c>
      <c r="U687" s="27">
        <f>IF(Control_Achizitii!$C687="",0,IF(ISNUMBER(Control_Achizitii!$B687),0,1))</f>
        <v>0</v>
      </c>
      <c r="V687" s="27">
        <f>IF(Control_Achizitii!$C687="",0,IF($Z$2&lt;&gt;"OK",0,IF(AND(ISNUMBER(Control_Achizitii!$B687),Control_Achizitii!$B687&gt;=$E$5,Control_Achizitii!$B687&lt;$J$5+1,OR($O$5="Toate proiectele",Control_Achizitii!$Q687=$O$5)),1,0)))</f>
        <v>0</v>
      </c>
      <c r="W687" s="27">
        <f>IF(AND(V687=1,OR(Control_Achizitii!$J687&lt;&gt;"DOSAR COMPLET",Control_Achizitii!$K687&lt;&gt;"")),ROW(),1000000000)</f>
        <v>1000000000</v>
      </c>
      <c r="X687" s="27">
        <f>IF(AND(V687=1,LEFT(Control_Achizitii!$E687,4)="Fact",NOT(ISNUMBER(Control_Achizitii!$P687))),1,0)</f>
        <v>0</v>
      </c>
      <c r="Y687" s="27">
        <f>IF(V687=0,0,IF(Control_Achizitii!$J687="DOSAR COMPLET",1,IF(LEFT(Control_Achizitii!$J687,9)="INCOMPLET",2,3)))</f>
        <v>0</v>
      </c>
      <c r="Z687" s="27"/>
      <c r="AA687" s="27"/>
      <c r="AB687" s="27"/>
      <c r="AC687" s="27"/>
      <c r="AD687" s="27"/>
      <c r="AE687" s="27"/>
      <c r="AF687" s="27"/>
      <c r="AG687" s="27"/>
      <c r="AH687" s="27">
        <f>IF(AND(V687=1,Control_Achizitii!$J687="DOSAR COMPLET",Control_Achizitii!$K687&lt;&gt;""),1,0)</f>
        <v>0</v>
      </c>
    </row>
    <row r="688" spans="1:34">
      <c r="A688" s="27"/>
      <c r="B688" s="27"/>
      <c r="C688" s="27"/>
      <c r="D688" s="27"/>
      <c r="E688" s="27"/>
      <c r="F688" s="27"/>
      <c r="G688" s="27"/>
      <c r="H688" s="27"/>
      <c r="I688" s="27"/>
      <c r="J688" s="27"/>
      <c r="K688" s="27"/>
      <c r="L688" s="27"/>
      <c r="M688" s="27"/>
      <c r="N688" s="27"/>
      <c r="O688" s="27"/>
      <c r="P688" s="27"/>
      <c r="Q688" s="27"/>
      <c r="R688" s="27"/>
      <c r="S688" s="27"/>
      <c r="T688" s="27">
        <f>IF(LEFT(Control_Achizitii!$E688,4)="Fact",1,0)</f>
        <v>0</v>
      </c>
      <c r="U688" s="27">
        <f>IF(Control_Achizitii!$C688="",0,IF(ISNUMBER(Control_Achizitii!$B688),0,1))</f>
        <v>0</v>
      </c>
      <c r="V688" s="27">
        <f>IF(Control_Achizitii!$C688="",0,IF($Z$2&lt;&gt;"OK",0,IF(AND(ISNUMBER(Control_Achizitii!$B688),Control_Achizitii!$B688&gt;=$E$5,Control_Achizitii!$B688&lt;$J$5+1,OR($O$5="Toate proiectele",Control_Achizitii!$Q688=$O$5)),1,0)))</f>
        <v>0</v>
      </c>
      <c r="W688" s="27">
        <f>IF(AND(V688=1,OR(Control_Achizitii!$J688&lt;&gt;"DOSAR COMPLET",Control_Achizitii!$K688&lt;&gt;"")),ROW(),1000000000)</f>
        <v>1000000000</v>
      </c>
      <c r="X688" s="27">
        <f>IF(AND(V688=1,LEFT(Control_Achizitii!$E688,4)="Fact",NOT(ISNUMBER(Control_Achizitii!$P688))),1,0)</f>
        <v>0</v>
      </c>
      <c r="Y688" s="27">
        <f>IF(V688=0,0,IF(Control_Achizitii!$J688="DOSAR COMPLET",1,IF(LEFT(Control_Achizitii!$J688,9)="INCOMPLET",2,3)))</f>
        <v>0</v>
      </c>
      <c r="Z688" s="27"/>
      <c r="AA688" s="27"/>
      <c r="AB688" s="27"/>
      <c r="AC688" s="27"/>
      <c r="AD688" s="27"/>
      <c r="AE688" s="27"/>
      <c r="AF688" s="27"/>
      <c r="AG688" s="27"/>
      <c r="AH688" s="27">
        <f>IF(AND(V688=1,Control_Achizitii!$J688="DOSAR COMPLET",Control_Achizitii!$K688&lt;&gt;""),1,0)</f>
        <v>0</v>
      </c>
    </row>
    <row r="689" spans="1:34">
      <c r="A689" s="27"/>
      <c r="B689" s="27"/>
      <c r="C689" s="27"/>
      <c r="D689" s="27"/>
      <c r="E689" s="27"/>
      <c r="F689" s="27"/>
      <c r="G689" s="27"/>
      <c r="H689" s="27"/>
      <c r="I689" s="27"/>
      <c r="J689" s="27"/>
      <c r="K689" s="27"/>
      <c r="L689" s="27"/>
      <c r="M689" s="27"/>
      <c r="N689" s="27"/>
      <c r="O689" s="27"/>
      <c r="P689" s="27"/>
      <c r="Q689" s="27"/>
      <c r="R689" s="27"/>
      <c r="S689" s="27"/>
      <c r="T689" s="27">
        <f>IF(LEFT(Control_Achizitii!$E689,4)="Fact",1,0)</f>
        <v>0</v>
      </c>
      <c r="U689" s="27">
        <f>IF(Control_Achizitii!$C689="",0,IF(ISNUMBER(Control_Achizitii!$B689),0,1))</f>
        <v>0</v>
      </c>
      <c r="V689" s="27">
        <f>IF(Control_Achizitii!$C689="",0,IF($Z$2&lt;&gt;"OK",0,IF(AND(ISNUMBER(Control_Achizitii!$B689),Control_Achizitii!$B689&gt;=$E$5,Control_Achizitii!$B689&lt;$J$5+1,OR($O$5="Toate proiectele",Control_Achizitii!$Q689=$O$5)),1,0)))</f>
        <v>0</v>
      </c>
      <c r="W689" s="27">
        <f>IF(AND(V689=1,OR(Control_Achizitii!$J689&lt;&gt;"DOSAR COMPLET",Control_Achizitii!$K689&lt;&gt;"")),ROW(),1000000000)</f>
        <v>1000000000</v>
      </c>
      <c r="X689" s="27">
        <f>IF(AND(V689=1,LEFT(Control_Achizitii!$E689,4)="Fact",NOT(ISNUMBER(Control_Achizitii!$P689))),1,0)</f>
        <v>0</v>
      </c>
      <c r="Y689" s="27">
        <f>IF(V689=0,0,IF(Control_Achizitii!$J689="DOSAR COMPLET",1,IF(LEFT(Control_Achizitii!$J689,9)="INCOMPLET",2,3)))</f>
        <v>0</v>
      </c>
      <c r="Z689" s="27"/>
      <c r="AA689" s="27"/>
      <c r="AB689" s="27"/>
      <c r="AC689" s="27"/>
      <c r="AD689" s="27"/>
      <c r="AE689" s="27"/>
      <c r="AF689" s="27"/>
      <c r="AG689" s="27"/>
      <c r="AH689" s="27">
        <f>IF(AND(V689=1,Control_Achizitii!$J689="DOSAR COMPLET",Control_Achizitii!$K689&lt;&gt;""),1,0)</f>
        <v>0</v>
      </c>
    </row>
    <row r="690" spans="1:34">
      <c r="A690" s="27"/>
      <c r="B690" s="27"/>
      <c r="C690" s="27"/>
      <c r="D690" s="27"/>
      <c r="E690" s="27"/>
      <c r="F690" s="27"/>
      <c r="G690" s="27"/>
      <c r="H690" s="27"/>
      <c r="I690" s="27"/>
      <c r="J690" s="27"/>
      <c r="K690" s="27"/>
      <c r="L690" s="27"/>
      <c r="M690" s="27"/>
      <c r="N690" s="27"/>
      <c r="O690" s="27"/>
      <c r="P690" s="27"/>
      <c r="Q690" s="27"/>
      <c r="R690" s="27"/>
      <c r="S690" s="27"/>
      <c r="T690" s="27">
        <f>IF(LEFT(Control_Achizitii!$E690,4)="Fact",1,0)</f>
        <v>0</v>
      </c>
      <c r="U690" s="27">
        <f>IF(Control_Achizitii!$C690="",0,IF(ISNUMBER(Control_Achizitii!$B690),0,1))</f>
        <v>0</v>
      </c>
      <c r="V690" s="27">
        <f>IF(Control_Achizitii!$C690="",0,IF($Z$2&lt;&gt;"OK",0,IF(AND(ISNUMBER(Control_Achizitii!$B690),Control_Achizitii!$B690&gt;=$E$5,Control_Achizitii!$B690&lt;$J$5+1,OR($O$5="Toate proiectele",Control_Achizitii!$Q690=$O$5)),1,0)))</f>
        <v>0</v>
      </c>
      <c r="W690" s="27">
        <f>IF(AND(V690=1,OR(Control_Achizitii!$J690&lt;&gt;"DOSAR COMPLET",Control_Achizitii!$K690&lt;&gt;"")),ROW(),1000000000)</f>
        <v>1000000000</v>
      </c>
      <c r="X690" s="27">
        <f>IF(AND(V690=1,LEFT(Control_Achizitii!$E690,4)="Fact",NOT(ISNUMBER(Control_Achizitii!$P690))),1,0)</f>
        <v>0</v>
      </c>
      <c r="Y690" s="27">
        <f>IF(V690=0,0,IF(Control_Achizitii!$J690="DOSAR COMPLET",1,IF(LEFT(Control_Achizitii!$J690,9)="INCOMPLET",2,3)))</f>
        <v>0</v>
      </c>
      <c r="Z690" s="27"/>
      <c r="AA690" s="27"/>
      <c r="AB690" s="27"/>
      <c r="AC690" s="27"/>
      <c r="AD690" s="27"/>
      <c r="AE690" s="27"/>
      <c r="AF690" s="27"/>
      <c r="AG690" s="27"/>
      <c r="AH690" s="27">
        <f>IF(AND(V690=1,Control_Achizitii!$J690="DOSAR COMPLET",Control_Achizitii!$K690&lt;&gt;""),1,0)</f>
        <v>0</v>
      </c>
    </row>
    <row r="691" spans="1:34">
      <c r="A691" s="27"/>
      <c r="B691" s="27"/>
      <c r="C691" s="27"/>
      <c r="D691" s="27"/>
      <c r="E691" s="27"/>
      <c r="F691" s="27"/>
      <c r="G691" s="27"/>
      <c r="H691" s="27"/>
      <c r="I691" s="27"/>
      <c r="J691" s="27"/>
      <c r="K691" s="27"/>
      <c r="L691" s="27"/>
      <c r="M691" s="27"/>
      <c r="N691" s="27"/>
      <c r="O691" s="27"/>
      <c r="P691" s="27"/>
      <c r="Q691" s="27"/>
      <c r="R691" s="27"/>
      <c r="S691" s="27"/>
      <c r="T691" s="27">
        <f>IF(LEFT(Control_Achizitii!$E691,4)="Fact",1,0)</f>
        <v>0</v>
      </c>
      <c r="U691" s="27">
        <f>IF(Control_Achizitii!$C691="",0,IF(ISNUMBER(Control_Achizitii!$B691),0,1))</f>
        <v>0</v>
      </c>
      <c r="V691" s="27">
        <f>IF(Control_Achizitii!$C691="",0,IF($Z$2&lt;&gt;"OK",0,IF(AND(ISNUMBER(Control_Achizitii!$B691),Control_Achizitii!$B691&gt;=$E$5,Control_Achizitii!$B691&lt;$J$5+1,OR($O$5="Toate proiectele",Control_Achizitii!$Q691=$O$5)),1,0)))</f>
        <v>0</v>
      </c>
      <c r="W691" s="27">
        <f>IF(AND(V691=1,OR(Control_Achizitii!$J691&lt;&gt;"DOSAR COMPLET",Control_Achizitii!$K691&lt;&gt;"")),ROW(),1000000000)</f>
        <v>1000000000</v>
      </c>
      <c r="X691" s="27">
        <f>IF(AND(V691=1,LEFT(Control_Achizitii!$E691,4)="Fact",NOT(ISNUMBER(Control_Achizitii!$P691))),1,0)</f>
        <v>0</v>
      </c>
      <c r="Y691" s="27">
        <f>IF(V691=0,0,IF(Control_Achizitii!$J691="DOSAR COMPLET",1,IF(LEFT(Control_Achizitii!$J691,9)="INCOMPLET",2,3)))</f>
        <v>0</v>
      </c>
      <c r="Z691" s="27"/>
      <c r="AA691" s="27"/>
      <c r="AB691" s="27"/>
      <c r="AC691" s="27"/>
      <c r="AD691" s="27"/>
      <c r="AE691" s="27"/>
      <c r="AF691" s="27"/>
      <c r="AG691" s="27"/>
      <c r="AH691" s="27">
        <f>IF(AND(V691=1,Control_Achizitii!$J691="DOSAR COMPLET",Control_Achizitii!$K691&lt;&gt;""),1,0)</f>
        <v>0</v>
      </c>
    </row>
    <row r="692" spans="1:34">
      <c r="A692" s="27"/>
      <c r="B692" s="27"/>
      <c r="C692" s="27"/>
      <c r="D692" s="27"/>
      <c r="E692" s="27"/>
      <c r="F692" s="27"/>
      <c r="G692" s="27"/>
      <c r="H692" s="27"/>
      <c r="I692" s="27"/>
      <c r="J692" s="27"/>
      <c r="K692" s="27"/>
      <c r="L692" s="27"/>
      <c r="M692" s="27"/>
      <c r="N692" s="27"/>
      <c r="O692" s="27"/>
      <c r="P692" s="27"/>
      <c r="Q692" s="27"/>
      <c r="R692" s="27"/>
      <c r="S692" s="27"/>
      <c r="T692" s="27">
        <f>IF(LEFT(Control_Achizitii!$E692,4)="Fact",1,0)</f>
        <v>0</v>
      </c>
      <c r="U692" s="27">
        <f>IF(Control_Achizitii!$C692="",0,IF(ISNUMBER(Control_Achizitii!$B692),0,1))</f>
        <v>0</v>
      </c>
      <c r="V692" s="27">
        <f>IF(Control_Achizitii!$C692="",0,IF($Z$2&lt;&gt;"OK",0,IF(AND(ISNUMBER(Control_Achizitii!$B692),Control_Achizitii!$B692&gt;=$E$5,Control_Achizitii!$B692&lt;$J$5+1,OR($O$5="Toate proiectele",Control_Achizitii!$Q692=$O$5)),1,0)))</f>
        <v>0</v>
      </c>
      <c r="W692" s="27">
        <f>IF(AND(V692=1,OR(Control_Achizitii!$J692&lt;&gt;"DOSAR COMPLET",Control_Achizitii!$K692&lt;&gt;"")),ROW(),1000000000)</f>
        <v>1000000000</v>
      </c>
      <c r="X692" s="27">
        <f>IF(AND(V692=1,LEFT(Control_Achizitii!$E692,4)="Fact",NOT(ISNUMBER(Control_Achizitii!$P692))),1,0)</f>
        <v>0</v>
      </c>
      <c r="Y692" s="27">
        <f>IF(V692=0,0,IF(Control_Achizitii!$J692="DOSAR COMPLET",1,IF(LEFT(Control_Achizitii!$J692,9)="INCOMPLET",2,3)))</f>
        <v>0</v>
      </c>
      <c r="Z692" s="27"/>
      <c r="AA692" s="27"/>
      <c r="AB692" s="27"/>
      <c r="AC692" s="27"/>
      <c r="AD692" s="27"/>
      <c r="AE692" s="27"/>
      <c r="AF692" s="27"/>
      <c r="AG692" s="27"/>
      <c r="AH692" s="27">
        <f>IF(AND(V692=1,Control_Achizitii!$J692="DOSAR COMPLET",Control_Achizitii!$K692&lt;&gt;""),1,0)</f>
        <v>0</v>
      </c>
    </row>
    <row r="693" spans="1:34">
      <c r="A693" s="27"/>
      <c r="B693" s="27"/>
      <c r="C693" s="27"/>
      <c r="D693" s="27"/>
      <c r="E693" s="27"/>
      <c r="F693" s="27"/>
      <c r="G693" s="27"/>
      <c r="H693" s="27"/>
      <c r="I693" s="27"/>
      <c r="J693" s="27"/>
      <c r="K693" s="27"/>
      <c r="L693" s="27"/>
      <c r="M693" s="27"/>
      <c r="N693" s="27"/>
      <c r="O693" s="27"/>
      <c r="P693" s="27"/>
      <c r="Q693" s="27"/>
      <c r="R693" s="27"/>
      <c r="S693" s="27"/>
      <c r="T693" s="27">
        <f>IF(LEFT(Control_Achizitii!$E693,4)="Fact",1,0)</f>
        <v>0</v>
      </c>
      <c r="U693" s="27">
        <f>IF(Control_Achizitii!$C693="",0,IF(ISNUMBER(Control_Achizitii!$B693),0,1))</f>
        <v>0</v>
      </c>
      <c r="V693" s="27">
        <f>IF(Control_Achizitii!$C693="",0,IF($Z$2&lt;&gt;"OK",0,IF(AND(ISNUMBER(Control_Achizitii!$B693),Control_Achizitii!$B693&gt;=$E$5,Control_Achizitii!$B693&lt;$J$5+1,OR($O$5="Toate proiectele",Control_Achizitii!$Q693=$O$5)),1,0)))</f>
        <v>0</v>
      </c>
      <c r="W693" s="27">
        <f>IF(AND(V693=1,OR(Control_Achizitii!$J693&lt;&gt;"DOSAR COMPLET",Control_Achizitii!$K693&lt;&gt;"")),ROW(),1000000000)</f>
        <v>1000000000</v>
      </c>
      <c r="X693" s="27">
        <f>IF(AND(V693=1,LEFT(Control_Achizitii!$E693,4)="Fact",NOT(ISNUMBER(Control_Achizitii!$P693))),1,0)</f>
        <v>0</v>
      </c>
      <c r="Y693" s="27">
        <f>IF(V693=0,0,IF(Control_Achizitii!$J693="DOSAR COMPLET",1,IF(LEFT(Control_Achizitii!$J693,9)="INCOMPLET",2,3)))</f>
        <v>0</v>
      </c>
      <c r="Z693" s="27"/>
      <c r="AA693" s="27"/>
      <c r="AB693" s="27"/>
      <c r="AC693" s="27"/>
      <c r="AD693" s="27"/>
      <c r="AE693" s="27"/>
      <c r="AF693" s="27"/>
      <c r="AG693" s="27"/>
      <c r="AH693" s="27">
        <f>IF(AND(V693=1,Control_Achizitii!$J693="DOSAR COMPLET",Control_Achizitii!$K693&lt;&gt;""),1,0)</f>
        <v>0</v>
      </c>
    </row>
    <row r="694" spans="1:34">
      <c r="A694" s="27"/>
      <c r="B694" s="27"/>
      <c r="C694" s="27"/>
      <c r="D694" s="27"/>
      <c r="E694" s="27"/>
      <c r="F694" s="27"/>
      <c r="G694" s="27"/>
      <c r="H694" s="27"/>
      <c r="I694" s="27"/>
      <c r="J694" s="27"/>
      <c r="K694" s="27"/>
      <c r="L694" s="27"/>
      <c r="M694" s="27"/>
      <c r="N694" s="27"/>
      <c r="O694" s="27"/>
      <c r="P694" s="27"/>
      <c r="Q694" s="27"/>
      <c r="R694" s="27"/>
      <c r="S694" s="27"/>
      <c r="T694" s="27">
        <f>IF(LEFT(Control_Achizitii!$E694,4)="Fact",1,0)</f>
        <v>0</v>
      </c>
      <c r="U694" s="27">
        <f>IF(Control_Achizitii!$C694="",0,IF(ISNUMBER(Control_Achizitii!$B694),0,1))</f>
        <v>0</v>
      </c>
      <c r="V694" s="27">
        <f>IF(Control_Achizitii!$C694="",0,IF($Z$2&lt;&gt;"OK",0,IF(AND(ISNUMBER(Control_Achizitii!$B694),Control_Achizitii!$B694&gt;=$E$5,Control_Achizitii!$B694&lt;$J$5+1,OR($O$5="Toate proiectele",Control_Achizitii!$Q694=$O$5)),1,0)))</f>
        <v>0</v>
      </c>
      <c r="W694" s="27">
        <f>IF(AND(V694=1,OR(Control_Achizitii!$J694&lt;&gt;"DOSAR COMPLET",Control_Achizitii!$K694&lt;&gt;"")),ROW(),1000000000)</f>
        <v>1000000000</v>
      </c>
      <c r="X694" s="27">
        <f>IF(AND(V694=1,LEFT(Control_Achizitii!$E694,4)="Fact",NOT(ISNUMBER(Control_Achizitii!$P694))),1,0)</f>
        <v>0</v>
      </c>
      <c r="Y694" s="27">
        <f>IF(V694=0,0,IF(Control_Achizitii!$J694="DOSAR COMPLET",1,IF(LEFT(Control_Achizitii!$J694,9)="INCOMPLET",2,3)))</f>
        <v>0</v>
      </c>
      <c r="Z694" s="27"/>
      <c r="AA694" s="27"/>
      <c r="AB694" s="27"/>
      <c r="AC694" s="27"/>
      <c r="AD694" s="27"/>
      <c r="AE694" s="27"/>
      <c r="AF694" s="27"/>
      <c r="AG694" s="27"/>
      <c r="AH694" s="27">
        <f>IF(AND(V694=1,Control_Achizitii!$J694="DOSAR COMPLET",Control_Achizitii!$K694&lt;&gt;""),1,0)</f>
        <v>0</v>
      </c>
    </row>
    <row r="695" spans="1:34">
      <c r="A695" s="27"/>
      <c r="B695" s="27"/>
      <c r="C695" s="27"/>
      <c r="D695" s="27"/>
      <c r="E695" s="27"/>
      <c r="F695" s="27"/>
      <c r="G695" s="27"/>
      <c r="H695" s="27"/>
      <c r="I695" s="27"/>
      <c r="J695" s="27"/>
      <c r="K695" s="27"/>
      <c r="L695" s="27"/>
      <c r="M695" s="27"/>
      <c r="N695" s="27"/>
      <c r="O695" s="27"/>
      <c r="P695" s="27"/>
      <c r="Q695" s="27"/>
      <c r="R695" s="27"/>
      <c r="S695" s="27"/>
      <c r="T695" s="27">
        <f>IF(LEFT(Control_Achizitii!$E695,4)="Fact",1,0)</f>
        <v>0</v>
      </c>
      <c r="U695" s="27">
        <f>IF(Control_Achizitii!$C695="",0,IF(ISNUMBER(Control_Achizitii!$B695),0,1))</f>
        <v>0</v>
      </c>
      <c r="V695" s="27">
        <f>IF(Control_Achizitii!$C695="",0,IF($Z$2&lt;&gt;"OK",0,IF(AND(ISNUMBER(Control_Achizitii!$B695),Control_Achizitii!$B695&gt;=$E$5,Control_Achizitii!$B695&lt;$J$5+1,OR($O$5="Toate proiectele",Control_Achizitii!$Q695=$O$5)),1,0)))</f>
        <v>0</v>
      </c>
      <c r="W695" s="27">
        <f>IF(AND(V695=1,OR(Control_Achizitii!$J695&lt;&gt;"DOSAR COMPLET",Control_Achizitii!$K695&lt;&gt;"")),ROW(),1000000000)</f>
        <v>1000000000</v>
      </c>
      <c r="X695" s="27">
        <f>IF(AND(V695=1,LEFT(Control_Achizitii!$E695,4)="Fact",NOT(ISNUMBER(Control_Achizitii!$P695))),1,0)</f>
        <v>0</v>
      </c>
      <c r="Y695" s="27">
        <f>IF(V695=0,0,IF(Control_Achizitii!$J695="DOSAR COMPLET",1,IF(LEFT(Control_Achizitii!$J695,9)="INCOMPLET",2,3)))</f>
        <v>0</v>
      </c>
      <c r="Z695" s="27"/>
      <c r="AA695" s="27"/>
      <c r="AB695" s="27"/>
      <c r="AC695" s="27"/>
      <c r="AD695" s="27"/>
      <c r="AE695" s="27"/>
      <c r="AF695" s="27"/>
      <c r="AG695" s="27"/>
      <c r="AH695" s="27">
        <f>IF(AND(V695=1,Control_Achizitii!$J695="DOSAR COMPLET",Control_Achizitii!$K695&lt;&gt;""),1,0)</f>
        <v>0</v>
      </c>
    </row>
    <row r="696" spans="1:34">
      <c r="A696" s="27"/>
      <c r="B696" s="27"/>
      <c r="C696" s="27"/>
      <c r="D696" s="27"/>
      <c r="E696" s="27"/>
      <c r="F696" s="27"/>
      <c r="G696" s="27"/>
      <c r="H696" s="27"/>
      <c r="I696" s="27"/>
      <c r="J696" s="27"/>
      <c r="K696" s="27"/>
      <c r="L696" s="27"/>
      <c r="M696" s="27"/>
      <c r="N696" s="27"/>
      <c r="O696" s="27"/>
      <c r="P696" s="27"/>
      <c r="Q696" s="27"/>
      <c r="R696" s="27"/>
      <c r="S696" s="27"/>
      <c r="T696" s="27">
        <f>IF(LEFT(Control_Achizitii!$E696,4)="Fact",1,0)</f>
        <v>0</v>
      </c>
      <c r="U696" s="27">
        <f>IF(Control_Achizitii!$C696="",0,IF(ISNUMBER(Control_Achizitii!$B696),0,1))</f>
        <v>0</v>
      </c>
      <c r="V696" s="27">
        <f>IF(Control_Achizitii!$C696="",0,IF($Z$2&lt;&gt;"OK",0,IF(AND(ISNUMBER(Control_Achizitii!$B696),Control_Achizitii!$B696&gt;=$E$5,Control_Achizitii!$B696&lt;$J$5+1,OR($O$5="Toate proiectele",Control_Achizitii!$Q696=$O$5)),1,0)))</f>
        <v>0</v>
      </c>
      <c r="W696" s="27">
        <f>IF(AND(V696=1,OR(Control_Achizitii!$J696&lt;&gt;"DOSAR COMPLET",Control_Achizitii!$K696&lt;&gt;"")),ROW(),1000000000)</f>
        <v>1000000000</v>
      </c>
      <c r="X696" s="27">
        <f>IF(AND(V696=1,LEFT(Control_Achizitii!$E696,4)="Fact",NOT(ISNUMBER(Control_Achizitii!$P696))),1,0)</f>
        <v>0</v>
      </c>
      <c r="Y696" s="27">
        <f>IF(V696=0,0,IF(Control_Achizitii!$J696="DOSAR COMPLET",1,IF(LEFT(Control_Achizitii!$J696,9)="INCOMPLET",2,3)))</f>
        <v>0</v>
      </c>
      <c r="Z696" s="27"/>
      <c r="AA696" s="27"/>
      <c r="AB696" s="27"/>
      <c r="AC696" s="27"/>
      <c r="AD696" s="27"/>
      <c r="AE696" s="27"/>
      <c r="AF696" s="27"/>
      <c r="AG696" s="27"/>
      <c r="AH696" s="27">
        <f>IF(AND(V696=1,Control_Achizitii!$J696="DOSAR COMPLET",Control_Achizitii!$K696&lt;&gt;""),1,0)</f>
        <v>0</v>
      </c>
    </row>
    <row r="697" spans="1:34">
      <c r="A697" s="27"/>
      <c r="B697" s="27"/>
      <c r="C697" s="27"/>
      <c r="D697" s="27"/>
      <c r="E697" s="27"/>
      <c r="F697" s="27"/>
      <c r="G697" s="27"/>
      <c r="H697" s="27"/>
      <c r="I697" s="27"/>
      <c r="J697" s="27"/>
      <c r="K697" s="27"/>
      <c r="L697" s="27"/>
      <c r="M697" s="27"/>
      <c r="N697" s="27"/>
      <c r="O697" s="27"/>
      <c r="P697" s="27"/>
      <c r="Q697" s="27"/>
      <c r="R697" s="27"/>
      <c r="S697" s="27"/>
      <c r="T697" s="27">
        <f>IF(LEFT(Control_Achizitii!$E697,4)="Fact",1,0)</f>
        <v>0</v>
      </c>
      <c r="U697" s="27">
        <f>IF(Control_Achizitii!$C697="",0,IF(ISNUMBER(Control_Achizitii!$B697),0,1))</f>
        <v>0</v>
      </c>
      <c r="V697" s="27">
        <f>IF(Control_Achizitii!$C697="",0,IF($Z$2&lt;&gt;"OK",0,IF(AND(ISNUMBER(Control_Achizitii!$B697),Control_Achizitii!$B697&gt;=$E$5,Control_Achizitii!$B697&lt;$J$5+1,OR($O$5="Toate proiectele",Control_Achizitii!$Q697=$O$5)),1,0)))</f>
        <v>0</v>
      </c>
      <c r="W697" s="27">
        <f>IF(AND(V697=1,OR(Control_Achizitii!$J697&lt;&gt;"DOSAR COMPLET",Control_Achizitii!$K697&lt;&gt;"")),ROW(),1000000000)</f>
        <v>1000000000</v>
      </c>
      <c r="X697" s="27">
        <f>IF(AND(V697=1,LEFT(Control_Achizitii!$E697,4)="Fact",NOT(ISNUMBER(Control_Achizitii!$P697))),1,0)</f>
        <v>0</v>
      </c>
      <c r="Y697" s="27">
        <f>IF(V697=0,0,IF(Control_Achizitii!$J697="DOSAR COMPLET",1,IF(LEFT(Control_Achizitii!$J697,9)="INCOMPLET",2,3)))</f>
        <v>0</v>
      </c>
      <c r="Z697" s="27"/>
      <c r="AA697" s="27"/>
      <c r="AB697" s="27"/>
      <c r="AC697" s="27"/>
      <c r="AD697" s="27"/>
      <c r="AE697" s="27"/>
      <c r="AF697" s="27"/>
      <c r="AG697" s="27"/>
      <c r="AH697" s="27">
        <f>IF(AND(V697=1,Control_Achizitii!$J697="DOSAR COMPLET",Control_Achizitii!$K697&lt;&gt;""),1,0)</f>
        <v>0</v>
      </c>
    </row>
    <row r="698" spans="1:34">
      <c r="A698" s="27"/>
      <c r="B698" s="27"/>
      <c r="C698" s="27"/>
      <c r="D698" s="27"/>
      <c r="E698" s="27"/>
      <c r="F698" s="27"/>
      <c r="G698" s="27"/>
      <c r="H698" s="27"/>
      <c r="I698" s="27"/>
      <c r="J698" s="27"/>
      <c r="K698" s="27"/>
      <c r="L698" s="27"/>
      <c r="M698" s="27"/>
      <c r="N698" s="27"/>
      <c r="O698" s="27"/>
      <c r="P698" s="27"/>
      <c r="Q698" s="27"/>
      <c r="R698" s="27"/>
      <c r="S698" s="27"/>
      <c r="T698" s="27">
        <f>IF(LEFT(Control_Achizitii!$E698,4)="Fact",1,0)</f>
        <v>0</v>
      </c>
      <c r="U698" s="27">
        <f>IF(Control_Achizitii!$C698="",0,IF(ISNUMBER(Control_Achizitii!$B698),0,1))</f>
        <v>0</v>
      </c>
      <c r="V698" s="27">
        <f>IF(Control_Achizitii!$C698="",0,IF($Z$2&lt;&gt;"OK",0,IF(AND(ISNUMBER(Control_Achizitii!$B698),Control_Achizitii!$B698&gt;=$E$5,Control_Achizitii!$B698&lt;$J$5+1,OR($O$5="Toate proiectele",Control_Achizitii!$Q698=$O$5)),1,0)))</f>
        <v>0</v>
      </c>
      <c r="W698" s="27">
        <f>IF(AND(V698=1,OR(Control_Achizitii!$J698&lt;&gt;"DOSAR COMPLET",Control_Achizitii!$K698&lt;&gt;"")),ROW(),1000000000)</f>
        <v>1000000000</v>
      </c>
      <c r="X698" s="27">
        <f>IF(AND(V698=1,LEFT(Control_Achizitii!$E698,4)="Fact",NOT(ISNUMBER(Control_Achizitii!$P698))),1,0)</f>
        <v>0</v>
      </c>
      <c r="Y698" s="27">
        <f>IF(V698=0,0,IF(Control_Achizitii!$J698="DOSAR COMPLET",1,IF(LEFT(Control_Achizitii!$J698,9)="INCOMPLET",2,3)))</f>
        <v>0</v>
      </c>
      <c r="Z698" s="27"/>
      <c r="AA698" s="27"/>
      <c r="AB698" s="27"/>
      <c r="AC698" s="27"/>
      <c r="AD698" s="27"/>
      <c r="AE698" s="27"/>
      <c r="AF698" s="27"/>
      <c r="AG698" s="27"/>
      <c r="AH698" s="27">
        <f>IF(AND(V698=1,Control_Achizitii!$J698="DOSAR COMPLET",Control_Achizitii!$K698&lt;&gt;""),1,0)</f>
        <v>0</v>
      </c>
    </row>
    <row r="699" spans="1:34">
      <c r="A699" s="27"/>
      <c r="B699" s="27"/>
      <c r="C699" s="27"/>
      <c r="D699" s="27"/>
      <c r="E699" s="27"/>
      <c r="F699" s="27"/>
      <c r="G699" s="27"/>
      <c r="H699" s="27"/>
      <c r="I699" s="27"/>
      <c r="J699" s="27"/>
      <c r="K699" s="27"/>
      <c r="L699" s="27"/>
      <c r="M699" s="27"/>
      <c r="N699" s="27"/>
      <c r="O699" s="27"/>
      <c r="P699" s="27"/>
      <c r="Q699" s="27"/>
      <c r="R699" s="27"/>
      <c r="S699" s="27"/>
      <c r="T699" s="27">
        <f>IF(LEFT(Control_Achizitii!$E699,4)="Fact",1,0)</f>
        <v>0</v>
      </c>
      <c r="U699" s="27">
        <f>IF(Control_Achizitii!$C699="",0,IF(ISNUMBER(Control_Achizitii!$B699),0,1))</f>
        <v>0</v>
      </c>
      <c r="V699" s="27">
        <f>IF(Control_Achizitii!$C699="",0,IF($Z$2&lt;&gt;"OK",0,IF(AND(ISNUMBER(Control_Achizitii!$B699),Control_Achizitii!$B699&gt;=$E$5,Control_Achizitii!$B699&lt;$J$5+1,OR($O$5="Toate proiectele",Control_Achizitii!$Q699=$O$5)),1,0)))</f>
        <v>0</v>
      </c>
      <c r="W699" s="27">
        <f>IF(AND(V699=1,OR(Control_Achizitii!$J699&lt;&gt;"DOSAR COMPLET",Control_Achizitii!$K699&lt;&gt;"")),ROW(),1000000000)</f>
        <v>1000000000</v>
      </c>
      <c r="X699" s="27">
        <f>IF(AND(V699=1,LEFT(Control_Achizitii!$E699,4)="Fact",NOT(ISNUMBER(Control_Achizitii!$P699))),1,0)</f>
        <v>0</v>
      </c>
      <c r="Y699" s="27">
        <f>IF(V699=0,0,IF(Control_Achizitii!$J699="DOSAR COMPLET",1,IF(LEFT(Control_Achizitii!$J699,9)="INCOMPLET",2,3)))</f>
        <v>0</v>
      </c>
      <c r="Z699" s="27"/>
      <c r="AA699" s="27"/>
      <c r="AB699" s="27"/>
      <c r="AC699" s="27"/>
      <c r="AD699" s="27"/>
      <c r="AE699" s="27"/>
      <c r="AF699" s="27"/>
      <c r="AG699" s="27"/>
      <c r="AH699" s="27">
        <f>IF(AND(V699=1,Control_Achizitii!$J699="DOSAR COMPLET",Control_Achizitii!$K699&lt;&gt;""),1,0)</f>
        <v>0</v>
      </c>
    </row>
    <row r="700" spans="1:34">
      <c r="A700" s="27"/>
      <c r="B700" s="27"/>
      <c r="C700" s="27"/>
      <c r="D700" s="27"/>
      <c r="E700" s="27"/>
      <c r="F700" s="27"/>
      <c r="G700" s="27"/>
      <c r="H700" s="27"/>
      <c r="I700" s="27"/>
      <c r="J700" s="27"/>
      <c r="K700" s="27"/>
      <c r="L700" s="27"/>
      <c r="M700" s="27"/>
      <c r="N700" s="27"/>
      <c r="O700" s="27"/>
      <c r="P700" s="27"/>
      <c r="Q700" s="27"/>
      <c r="R700" s="27"/>
      <c r="S700" s="27"/>
      <c r="T700" s="27">
        <f>IF(LEFT(Control_Achizitii!$E700,4)="Fact",1,0)</f>
        <v>0</v>
      </c>
      <c r="U700" s="27">
        <f>IF(Control_Achizitii!$C700="",0,IF(ISNUMBER(Control_Achizitii!$B700),0,1))</f>
        <v>0</v>
      </c>
      <c r="V700" s="27">
        <f>IF(Control_Achizitii!$C700="",0,IF($Z$2&lt;&gt;"OK",0,IF(AND(ISNUMBER(Control_Achizitii!$B700),Control_Achizitii!$B700&gt;=$E$5,Control_Achizitii!$B700&lt;$J$5+1,OR($O$5="Toate proiectele",Control_Achizitii!$Q700=$O$5)),1,0)))</f>
        <v>0</v>
      </c>
      <c r="W700" s="27">
        <f>IF(AND(V700=1,OR(Control_Achizitii!$J700&lt;&gt;"DOSAR COMPLET",Control_Achizitii!$K700&lt;&gt;"")),ROW(),1000000000)</f>
        <v>1000000000</v>
      </c>
      <c r="X700" s="27">
        <f>IF(AND(V700=1,LEFT(Control_Achizitii!$E700,4)="Fact",NOT(ISNUMBER(Control_Achizitii!$P700))),1,0)</f>
        <v>0</v>
      </c>
      <c r="Y700" s="27">
        <f>IF(V700=0,0,IF(Control_Achizitii!$J700="DOSAR COMPLET",1,IF(LEFT(Control_Achizitii!$J700,9)="INCOMPLET",2,3)))</f>
        <v>0</v>
      </c>
      <c r="Z700" s="27"/>
      <c r="AA700" s="27"/>
      <c r="AB700" s="27"/>
      <c r="AC700" s="27"/>
      <c r="AD700" s="27"/>
      <c r="AE700" s="27"/>
      <c r="AF700" s="27"/>
      <c r="AG700" s="27"/>
      <c r="AH700" s="27">
        <f>IF(AND(V700=1,Control_Achizitii!$J700="DOSAR COMPLET",Control_Achizitii!$K700&lt;&gt;""),1,0)</f>
        <v>0</v>
      </c>
    </row>
    <row r="701" spans="1:34">
      <c r="A701" s="27"/>
      <c r="B701" s="27"/>
      <c r="C701" s="27"/>
      <c r="D701" s="27"/>
      <c r="E701" s="27"/>
      <c r="F701" s="27"/>
      <c r="G701" s="27"/>
      <c r="H701" s="27"/>
      <c r="I701" s="27"/>
      <c r="J701" s="27"/>
      <c r="K701" s="27"/>
      <c r="L701" s="27"/>
      <c r="M701" s="27"/>
      <c r="N701" s="27"/>
      <c r="O701" s="27"/>
      <c r="P701" s="27"/>
      <c r="Q701" s="27"/>
      <c r="R701" s="27"/>
      <c r="S701" s="27"/>
      <c r="T701" s="27">
        <f>IF(LEFT(Control_Achizitii!$E701,4)="Fact",1,0)</f>
        <v>0</v>
      </c>
      <c r="U701" s="27">
        <f>IF(Control_Achizitii!$C701="",0,IF(ISNUMBER(Control_Achizitii!$B701),0,1))</f>
        <v>0</v>
      </c>
      <c r="V701" s="27">
        <f>IF(Control_Achizitii!$C701="",0,IF($Z$2&lt;&gt;"OK",0,IF(AND(ISNUMBER(Control_Achizitii!$B701),Control_Achizitii!$B701&gt;=$E$5,Control_Achizitii!$B701&lt;$J$5+1,OR($O$5="Toate proiectele",Control_Achizitii!$Q701=$O$5)),1,0)))</f>
        <v>0</v>
      </c>
      <c r="W701" s="27">
        <f>IF(AND(V701=1,OR(Control_Achizitii!$J701&lt;&gt;"DOSAR COMPLET",Control_Achizitii!$K701&lt;&gt;"")),ROW(),1000000000)</f>
        <v>1000000000</v>
      </c>
      <c r="X701" s="27">
        <f>IF(AND(V701=1,LEFT(Control_Achizitii!$E701,4)="Fact",NOT(ISNUMBER(Control_Achizitii!$P701))),1,0)</f>
        <v>0</v>
      </c>
      <c r="Y701" s="27">
        <f>IF(V701=0,0,IF(Control_Achizitii!$J701="DOSAR COMPLET",1,IF(LEFT(Control_Achizitii!$J701,9)="INCOMPLET",2,3)))</f>
        <v>0</v>
      </c>
      <c r="Z701" s="27"/>
      <c r="AA701" s="27"/>
      <c r="AB701" s="27"/>
      <c r="AC701" s="27"/>
      <c r="AD701" s="27"/>
      <c r="AE701" s="27"/>
      <c r="AF701" s="27"/>
      <c r="AG701" s="27"/>
      <c r="AH701" s="27">
        <f>IF(AND(V701=1,Control_Achizitii!$J701="DOSAR COMPLET",Control_Achizitii!$K701&lt;&gt;""),1,0)</f>
        <v>0</v>
      </c>
    </row>
    <row r="702" spans="1:34">
      <c r="A702" s="27"/>
      <c r="B702" s="27"/>
      <c r="C702" s="27"/>
      <c r="D702" s="27"/>
      <c r="E702" s="27"/>
      <c r="F702" s="27"/>
      <c r="G702" s="27"/>
      <c r="H702" s="27"/>
      <c r="I702" s="27"/>
      <c r="J702" s="27"/>
      <c r="K702" s="27"/>
      <c r="L702" s="27"/>
      <c r="M702" s="27"/>
      <c r="N702" s="27"/>
      <c r="O702" s="27"/>
      <c r="P702" s="27"/>
      <c r="Q702" s="27"/>
      <c r="R702" s="27"/>
      <c r="S702" s="27"/>
      <c r="T702" s="27">
        <f>IF(LEFT(Control_Achizitii!$E702,4)="Fact",1,0)</f>
        <v>0</v>
      </c>
      <c r="U702" s="27">
        <f>IF(Control_Achizitii!$C702="",0,IF(ISNUMBER(Control_Achizitii!$B702),0,1))</f>
        <v>0</v>
      </c>
      <c r="V702" s="27">
        <f>IF(Control_Achizitii!$C702="",0,IF($Z$2&lt;&gt;"OK",0,IF(AND(ISNUMBER(Control_Achizitii!$B702),Control_Achizitii!$B702&gt;=$E$5,Control_Achizitii!$B702&lt;$J$5+1,OR($O$5="Toate proiectele",Control_Achizitii!$Q702=$O$5)),1,0)))</f>
        <v>0</v>
      </c>
      <c r="W702" s="27">
        <f>IF(AND(V702=1,OR(Control_Achizitii!$J702&lt;&gt;"DOSAR COMPLET",Control_Achizitii!$K702&lt;&gt;"")),ROW(),1000000000)</f>
        <v>1000000000</v>
      </c>
      <c r="X702" s="27">
        <f>IF(AND(V702=1,LEFT(Control_Achizitii!$E702,4)="Fact",NOT(ISNUMBER(Control_Achizitii!$P702))),1,0)</f>
        <v>0</v>
      </c>
      <c r="Y702" s="27">
        <f>IF(V702=0,0,IF(Control_Achizitii!$J702="DOSAR COMPLET",1,IF(LEFT(Control_Achizitii!$J702,9)="INCOMPLET",2,3)))</f>
        <v>0</v>
      </c>
      <c r="Z702" s="27"/>
      <c r="AA702" s="27"/>
      <c r="AB702" s="27"/>
      <c r="AC702" s="27"/>
      <c r="AD702" s="27"/>
      <c r="AE702" s="27"/>
      <c r="AF702" s="27"/>
      <c r="AG702" s="27"/>
      <c r="AH702" s="27">
        <f>IF(AND(V702=1,Control_Achizitii!$J702="DOSAR COMPLET",Control_Achizitii!$K702&lt;&gt;""),1,0)</f>
        <v>0</v>
      </c>
    </row>
    <row r="703" spans="1:34">
      <c r="A703" s="27"/>
      <c r="B703" s="27"/>
      <c r="C703" s="27"/>
      <c r="D703" s="27"/>
      <c r="E703" s="27"/>
      <c r="F703" s="27"/>
      <c r="G703" s="27"/>
      <c r="H703" s="27"/>
      <c r="I703" s="27"/>
      <c r="J703" s="27"/>
      <c r="K703" s="27"/>
      <c r="L703" s="27"/>
      <c r="M703" s="27"/>
      <c r="N703" s="27"/>
      <c r="O703" s="27"/>
      <c r="P703" s="27"/>
      <c r="Q703" s="27"/>
      <c r="R703" s="27"/>
      <c r="S703" s="27"/>
      <c r="T703" s="27">
        <f>IF(LEFT(Control_Achizitii!$E703,4)="Fact",1,0)</f>
        <v>0</v>
      </c>
      <c r="U703" s="27">
        <f>IF(Control_Achizitii!$C703="",0,IF(ISNUMBER(Control_Achizitii!$B703),0,1))</f>
        <v>0</v>
      </c>
      <c r="V703" s="27">
        <f>IF(Control_Achizitii!$C703="",0,IF($Z$2&lt;&gt;"OK",0,IF(AND(ISNUMBER(Control_Achizitii!$B703),Control_Achizitii!$B703&gt;=$E$5,Control_Achizitii!$B703&lt;$J$5+1,OR($O$5="Toate proiectele",Control_Achizitii!$Q703=$O$5)),1,0)))</f>
        <v>0</v>
      </c>
      <c r="W703" s="27">
        <f>IF(AND(V703=1,OR(Control_Achizitii!$J703&lt;&gt;"DOSAR COMPLET",Control_Achizitii!$K703&lt;&gt;"")),ROW(),1000000000)</f>
        <v>1000000000</v>
      </c>
      <c r="X703" s="27">
        <f>IF(AND(V703=1,LEFT(Control_Achizitii!$E703,4)="Fact",NOT(ISNUMBER(Control_Achizitii!$P703))),1,0)</f>
        <v>0</v>
      </c>
      <c r="Y703" s="27">
        <f>IF(V703=0,0,IF(Control_Achizitii!$J703="DOSAR COMPLET",1,IF(LEFT(Control_Achizitii!$J703,9)="INCOMPLET",2,3)))</f>
        <v>0</v>
      </c>
      <c r="Z703" s="27"/>
      <c r="AA703" s="27"/>
      <c r="AB703" s="27"/>
      <c r="AC703" s="27"/>
      <c r="AD703" s="27"/>
      <c r="AE703" s="27"/>
      <c r="AF703" s="27"/>
      <c r="AG703" s="27"/>
      <c r="AH703" s="27">
        <f>IF(AND(V703=1,Control_Achizitii!$J703="DOSAR COMPLET",Control_Achizitii!$K703&lt;&gt;""),1,0)</f>
        <v>0</v>
      </c>
    </row>
    <row r="704" spans="1:34">
      <c r="A704" s="27"/>
      <c r="B704" s="27"/>
      <c r="C704" s="27"/>
      <c r="D704" s="27"/>
      <c r="E704" s="27"/>
      <c r="F704" s="27"/>
      <c r="G704" s="27"/>
      <c r="H704" s="27"/>
      <c r="I704" s="27"/>
      <c r="J704" s="27"/>
      <c r="K704" s="27"/>
      <c r="L704" s="27"/>
      <c r="M704" s="27"/>
      <c r="N704" s="27"/>
      <c r="O704" s="27"/>
      <c r="P704" s="27"/>
      <c r="Q704" s="27"/>
      <c r="R704" s="27"/>
      <c r="S704" s="27"/>
      <c r="T704" s="27">
        <f>IF(LEFT(Control_Achizitii!$E704,4)="Fact",1,0)</f>
        <v>0</v>
      </c>
      <c r="U704" s="27">
        <f>IF(Control_Achizitii!$C704="",0,IF(ISNUMBER(Control_Achizitii!$B704),0,1))</f>
        <v>0</v>
      </c>
      <c r="V704" s="27">
        <f>IF(Control_Achizitii!$C704="",0,IF($Z$2&lt;&gt;"OK",0,IF(AND(ISNUMBER(Control_Achizitii!$B704),Control_Achizitii!$B704&gt;=$E$5,Control_Achizitii!$B704&lt;$J$5+1,OR($O$5="Toate proiectele",Control_Achizitii!$Q704=$O$5)),1,0)))</f>
        <v>0</v>
      </c>
      <c r="W704" s="27">
        <f>IF(AND(V704=1,OR(Control_Achizitii!$J704&lt;&gt;"DOSAR COMPLET",Control_Achizitii!$K704&lt;&gt;"")),ROW(),1000000000)</f>
        <v>1000000000</v>
      </c>
      <c r="X704" s="27">
        <f>IF(AND(V704=1,LEFT(Control_Achizitii!$E704,4)="Fact",NOT(ISNUMBER(Control_Achizitii!$P704))),1,0)</f>
        <v>0</v>
      </c>
      <c r="Y704" s="27">
        <f>IF(V704=0,0,IF(Control_Achizitii!$J704="DOSAR COMPLET",1,IF(LEFT(Control_Achizitii!$J704,9)="INCOMPLET",2,3)))</f>
        <v>0</v>
      </c>
      <c r="Z704" s="27"/>
      <c r="AA704" s="27"/>
      <c r="AB704" s="27"/>
      <c r="AC704" s="27"/>
      <c r="AD704" s="27"/>
      <c r="AE704" s="27"/>
      <c r="AF704" s="27"/>
      <c r="AG704" s="27"/>
      <c r="AH704" s="27">
        <f>IF(AND(V704=1,Control_Achizitii!$J704="DOSAR COMPLET",Control_Achizitii!$K704&lt;&gt;""),1,0)</f>
        <v>0</v>
      </c>
    </row>
    <row r="705" spans="1:34">
      <c r="A705" s="27"/>
      <c r="B705" s="27"/>
      <c r="C705" s="27"/>
      <c r="D705" s="27"/>
      <c r="E705" s="27"/>
      <c r="F705" s="27"/>
      <c r="G705" s="27"/>
      <c r="H705" s="27"/>
      <c r="I705" s="27"/>
      <c r="J705" s="27"/>
      <c r="K705" s="27"/>
      <c r="L705" s="27"/>
      <c r="M705" s="27"/>
      <c r="N705" s="27"/>
      <c r="O705" s="27"/>
      <c r="P705" s="27"/>
      <c r="Q705" s="27"/>
      <c r="R705" s="27"/>
      <c r="S705" s="27"/>
      <c r="T705" s="27">
        <f>IF(LEFT(Control_Achizitii!$E705,4)="Fact",1,0)</f>
        <v>0</v>
      </c>
      <c r="U705" s="27">
        <f>IF(Control_Achizitii!$C705="",0,IF(ISNUMBER(Control_Achizitii!$B705),0,1))</f>
        <v>0</v>
      </c>
      <c r="V705" s="27">
        <f>IF(Control_Achizitii!$C705="",0,IF($Z$2&lt;&gt;"OK",0,IF(AND(ISNUMBER(Control_Achizitii!$B705),Control_Achizitii!$B705&gt;=$E$5,Control_Achizitii!$B705&lt;$J$5+1,OR($O$5="Toate proiectele",Control_Achizitii!$Q705=$O$5)),1,0)))</f>
        <v>0</v>
      </c>
      <c r="W705" s="27">
        <f>IF(AND(V705=1,OR(Control_Achizitii!$J705&lt;&gt;"DOSAR COMPLET",Control_Achizitii!$K705&lt;&gt;"")),ROW(),1000000000)</f>
        <v>1000000000</v>
      </c>
      <c r="X705" s="27">
        <f>IF(AND(V705=1,LEFT(Control_Achizitii!$E705,4)="Fact",NOT(ISNUMBER(Control_Achizitii!$P705))),1,0)</f>
        <v>0</v>
      </c>
      <c r="Y705" s="27">
        <f>IF(V705=0,0,IF(Control_Achizitii!$J705="DOSAR COMPLET",1,IF(LEFT(Control_Achizitii!$J705,9)="INCOMPLET",2,3)))</f>
        <v>0</v>
      </c>
      <c r="Z705" s="27"/>
      <c r="AA705" s="27"/>
      <c r="AB705" s="27"/>
      <c r="AC705" s="27"/>
      <c r="AD705" s="27"/>
      <c r="AE705" s="27"/>
      <c r="AF705" s="27"/>
      <c r="AG705" s="27"/>
      <c r="AH705" s="27">
        <f>IF(AND(V705=1,Control_Achizitii!$J705="DOSAR COMPLET",Control_Achizitii!$K705&lt;&gt;""),1,0)</f>
        <v>0</v>
      </c>
    </row>
    <row r="706" spans="1:34">
      <c r="A706" s="27"/>
      <c r="B706" s="27"/>
      <c r="C706" s="27"/>
      <c r="D706" s="27"/>
      <c r="E706" s="27"/>
      <c r="F706" s="27"/>
      <c r="G706" s="27"/>
      <c r="H706" s="27"/>
      <c r="I706" s="27"/>
      <c r="J706" s="27"/>
      <c r="K706" s="27"/>
      <c r="L706" s="27"/>
      <c r="M706" s="27"/>
      <c r="N706" s="27"/>
      <c r="O706" s="27"/>
      <c r="P706" s="27"/>
      <c r="Q706" s="27"/>
      <c r="R706" s="27"/>
      <c r="S706" s="27"/>
      <c r="T706" s="27">
        <f>IF(LEFT(Control_Achizitii!$E706,4)="Fact",1,0)</f>
        <v>0</v>
      </c>
      <c r="U706" s="27">
        <f>IF(Control_Achizitii!$C706="",0,IF(ISNUMBER(Control_Achizitii!$B706),0,1))</f>
        <v>0</v>
      </c>
      <c r="V706" s="27">
        <f>IF(Control_Achizitii!$C706="",0,IF($Z$2&lt;&gt;"OK",0,IF(AND(ISNUMBER(Control_Achizitii!$B706),Control_Achizitii!$B706&gt;=$E$5,Control_Achizitii!$B706&lt;$J$5+1,OR($O$5="Toate proiectele",Control_Achizitii!$Q706=$O$5)),1,0)))</f>
        <v>0</v>
      </c>
      <c r="W706" s="27">
        <f>IF(AND(V706=1,OR(Control_Achizitii!$J706&lt;&gt;"DOSAR COMPLET",Control_Achizitii!$K706&lt;&gt;"")),ROW(),1000000000)</f>
        <v>1000000000</v>
      </c>
      <c r="X706" s="27">
        <f>IF(AND(V706=1,LEFT(Control_Achizitii!$E706,4)="Fact",NOT(ISNUMBER(Control_Achizitii!$P706))),1,0)</f>
        <v>0</v>
      </c>
      <c r="Y706" s="27">
        <f>IF(V706=0,0,IF(Control_Achizitii!$J706="DOSAR COMPLET",1,IF(LEFT(Control_Achizitii!$J706,9)="INCOMPLET",2,3)))</f>
        <v>0</v>
      </c>
      <c r="Z706" s="27"/>
      <c r="AA706" s="27"/>
      <c r="AB706" s="27"/>
      <c r="AC706" s="27"/>
      <c r="AD706" s="27"/>
      <c r="AE706" s="27"/>
      <c r="AF706" s="27"/>
      <c r="AG706" s="27"/>
      <c r="AH706" s="27">
        <f>IF(AND(V706=1,Control_Achizitii!$J706="DOSAR COMPLET",Control_Achizitii!$K706&lt;&gt;""),1,0)</f>
        <v>0</v>
      </c>
    </row>
    <row r="707" spans="1:34">
      <c r="A707" s="27"/>
      <c r="B707" s="27"/>
      <c r="C707" s="27"/>
      <c r="D707" s="27"/>
      <c r="E707" s="27"/>
      <c r="F707" s="27"/>
      <c r="G707" s="27"/>
      <c r="H707" s="27"/>
      <c r="I707" s="27"/>
      <c r="J707" s="27"/>
      <c r="K707" s="27"/>
      <c r="L707" s="27"/>
      <c r="M707" s="27"/>
      <c r="N707" s="27"/>
      <c r="O707" s="27"/>
      <c r="P707" s="27"/>
      <c r="Q707" s="27"/>
      <c r="R707" s="27"/>
      <c r="S707" s="27"/>
      <c r="T707" s="27">
        <f>IF(LEFT(Control_Achizitii!$E707,4)="Fact",1,0)</f>
        <v>0</v>
      </c>
      <c r="U707" s="27">
        <f>IF(Control_Achizitii!$C707="",0,IF(ISNUMBER(Control_Achizitii!$B707),0,1))</f>
        <v>0</v>
      </c>
      <c r="V707" s="27">
        <f>IF(Control_Achizitii!$C707="",0,IF($Z$2&lt;&gt;"OK",0,IF(AND(ISNUMBER(Control_Achizitii!$B707),Control_Achizitii!$B707&gt;=$E$5,Control_Achizitii!$B707&lt;$J$5+1,OR($O$5="Toate proiectele",Control_Achizitii!$Q707=$O$5)),1,0)))</f>
        <v>0</v>
      </c>
      <c r="W707" s="27">
        <f>IF(AND(V707=1,OR(Control_Achizitii!$J707&lt;&gt;"DOSAR COMPLET",Control_Achizitii!$K707&lt;&gt;"")),ROW(),1000000000)</f>
        <v>1000000000</v>
      </c>
      <c r="X707" s="27">
        <f>IF(AND(V707=1,LEFT(Control_Achizitii!$E707,4)="Fact",NOT(ISNUMBER(Control_Achizitii!$P707))),1,0)</f>
        <v>0</v>
      </c>
      <c r="Y707" s="27">
        <f>IF(V707=0,0,IF(Control_Achizitii!$J707="DOSAR COMPLET",1,IF(LEFT(Control_Achizitii!$J707,9)="INCOMPLET",2,3)))</f>
        <v>0</v>
      </c>
      <c r="Z707" s="27"/>
      <c r="AA707" s="27"/>
      <c r="AB707" s="27"/>
      <c r="AC707" s="27"/>
      <c r="AD707" s="27"/>
      <c r="AE707" s="27"/>
      <c r="AF707" s="27"/>
      <c r="AG707" s="27"/>
      <c r="AH707" s="27">
        <f>IF(AND(V707=1,Control_Achizitii!$J707="DOSAR COMPLET",Control_Achizitii!$K707&lt;&gt;""),1,0)</f>
        <v>0</v>
      </c>
    </row>
    <row r="708" spans="1:34">
      <c r="A708" s="27"/>
      <c r="B708" s="27"/>
      <c r="C708" s="27"/>
      <c r="D708" s="27"/>
      <c r="E708" s="27"/>
      <c r="F708" s="27"/>
      <c r="G708" s="27"/>
      <c r="H708" s="27"/>
      <c r="I708" s="27"/>
      <c r="J708" s="27"/>
      <c r="K708" s="27"/>
      <c r="L708" s="27"/>
      <c r="M708" s="27"/>
      <c r="N708" s="27"/>
      <c r="O708" s="27"/>
      <c r="P708" s="27"/>
      <c r="Q708" s="27"/>
      <c r="R708" s="27"/>
      <c r="S708" s="27"/>
      <c r="T708" s="27">
        <f>IF(LEFT(Control_Achizitii!$E708,4)="Fact",1,0)</f>
        <v>0</v>
      </c>
      <c r="U708" s="27">
        <f>IF(Control_Achizitii!$C708="",0,IF(ISNUMBER(Control_Achizitii!$B708),0,1))</f>
        <v>0</v>
      </c>
      <c r="V708" s="27">
        <f>IF(Control_Achizitii!$C708="",0,IF($Z$2&lt;&gt;"OK",0,IF(AND(ISNUMBER(Control_Achizitii!$B708),Control_Achizitii!$B708&gt;=$E$5,Control_Achizitii!$B708&lt;$J$5+1,OR($O$5="Toate proiectele",Control_Achizitii!$Q708=$O$5)),1,0)))</f>
        <v>0</v>
      </c>
      <c r="W708" s="27">
        <f>IF(AND(V708=1,OR(Control_Achizitii!$J708&lt;&gt;"DOSAR COMPLET",Control_Achizitii!$K708&lt;&gt;"")),ROW(),1000000000)</f>
        <v>1000000000</v>
      </c>
      <c r="X708" s="27">
        <f>IF(AND(V708=1,LEFT(Control_Achizitii!$E708,4)="Fact",NOT(ISNUMBER(Control_Achizitii!$P708))),1,0)</f>
        <v>0</v>
      </c>
      <c r="Y708" s="27">
        <f>IF(V708=0,0,IF(Control_Achizitii!$J708="DOSAR COMPLET",1,IF(LEFT(Control_Achizitii!$J708,9)="INCOMPLET",2,3)))</f>
        <v>0</v>
      </c>
      <c r="Z708" s="27"/>
      <c r="AA708" s="27"/>
      <c r="AB708" s="27"/>
      <c r="AC708" s="27"/>
      <c r="AD708" s="27"/>
      <c r="AE708" s="27"/>
      <c r="AF708" s="27"/>
      <c r="AG708" s="27"/>
      <c r="AH708" s="27">
        <f>IF(AND(V708=1,Control_Achizitii!$J708="DOSAR COMPLET",Control_Achizitii!$K708&lt;&gt;""),1,0)</f>
        <v>0</v>
      </c>
    </row>
    <row r="709" spans="1:34">
      <c r="A709" s="27"/>
      <c r="B709" s="27"/>
      <c r="C709" s="27"/>
      <c r="D709" s="27"/>
      <c r="E709" s="27"/>
      <c r="F709" s="27"/>
      <c r="G709" s="27"/>
      <c r="H709" s="27"/>
      <c r="I709" s="27"/>
      <c r="J709" s="27"/>
      <c r="K709" s="27"/>
      <c r="L709" s="27"/>
      <c r="M709" s="27"/>
      <c r="N709" s="27"/>
      <c r="O709" s="27"/>
      <c r="P709" s="27"/>
      <c r="Q709" s="27"/>
      <c r="R709" s="27"/>
      <c r="S709" s="27"/>
      <c r="T709" s="27">
        <f>IF(LEFT(Control_Achizitii!$E709,4)="Fact",1,0)</f>
        <v>0</v>
      </c>
      <c r="U709" s="27">
        <f>IF(Control_Achizitii!$C709="",0,IF(ISNUMBER(Control_Achizitii!$B709),0,1))</f>
        <v>0</v>
      </c>
      <c r="V709" s="27">
        <f>IF(Control_Achizitii!$C709="",0,IF($Z$2&lt;&gt;"OK",0,IF(AND(ISNUMBER(Control_Achizitii!$B709),Control_Achizitii!$B709&gt;=$E$5,Control_Achizitii!$B709&lt;$J$5+1,OR($O$5="Toate proiectele",Control_Achizitii!$Q709=$O$5)),1,0)))</f>
        <v>0</v>
      </c>
      <c r="W709" s="27">
        <f>IF(AND(V709=1,OR(Control_Achizitii!$J709&lt;&gt;"DOSAR COMPLET",Control_Achizitii!$K709&lt;&gt;"")),ROW(),1000000000)</f>
        <v>1000000000</v>
      </c>
      <c r="X709" s="27">
        <f>IF(AND(V709=1,LEFT(Control_Achizitii!$E709,4)="Fact",NOT(ISNUMBER(Control_Achizitii!$P709))),1,0)</f>
        <v>0</v>
      </c>
      <c r="Y709" s="27">
        <f>IF(V709=0,0,IF(Control_Achizitii!$J709="DOSAR COMPLET",1,IF(LEFT(Control_Achizitii!$J709,9)="INCOMPLET",2,3)))</f>
        <v>0</v>
      </c>
      <c r="Z709" s="27"/>
      <c r="AA709" s="27"/>
      <c r="AB709" s="27"/>
      <c r="AC709" s="27"/>
      <c r="AD709" s="27"/>
      <c r="AE709" s="27"/>
      <c r="AF709" s="27"/>
      <c r="AG709" s="27"/>
      <c r="AH709" s="27">
        <f>IF(AND(V709=1,Control_Achizitii!$J709="DOSAR COMPLET",Control_Achizitii!$K709&lt;&gt;""),1,0)</f>
        <v>0</v>
      </c>
    </row>
    <row r="710" spans="1:34">
      <c r="A710" s="27"/>
      <c r="B710" s="27"/>
      <c r="C710" s="27"/>
      <c r="D710" s="27"/>
      <c r="E710" s="27"/>
      <c r="F710" s="27"/>
      <c r="G710" s="27"/>
      <c r="H710" s="27"/>
      <c r="I710" s="27"/>
      <c r="J710" s="27"/>
      <c r="K710" s="27"/>
      <c r="L710" s="27"/>
      <c r="M710" s="27"/>
      <c r="N710" s="27"/>
      <c r="O710" s="27"/>
      <c r="P710" s="27"/>
      <c r="Q710" s="27"/>
      <c r="R710" s="27"/>
      <c r="S710" s="27"/>
      <c r="T710" s="27">
        <f>IF(LEFT(Control_Achizitii!$E710,4)="Fact",1,0)</f>
        <v>0</v>
      </c>
      <c r="U710" s="27">
        <f>IF(Control_Achizitii!$C710="",0,IF(ISNUMBER(Control_Achizitii!$B710),0,1))</f>
        <v>0</v>
      </c>
      <c r="V710" s="27">
        <f>IF(Control_Achizitii!$C710="",0,IF($Z$2&lt;&gt;"OK",0,IF(AND(ISNUMBER(Control_Achizitii!$B710),Control_Achizitii!$B710&gt;=$E$5,Control_Achizitii!$B710&lt;$J$5+1,OR($O$5="Toate proiectele",Control_Achizitii!$Q710=$O$5)),1,0)))</f>
        <v>0</v>
      </c>
      <c r="W710" s="27">
        <f>IF(AND(V710=1,OR(Control_Achizitii!$J710&lt;&gt;"DOSAR COMPLET",Control_Achizitii!$K710&lt;&gt;"")),ROW(),1000000000)</f>
        <v>1000000000</v>
      </c>
      <c r="X710" s="27">
        <f>IF(AND(V710=1,LEFT(Control_Achizitii!$E710,4)="Fact",NOT(ISNUMBER(Control_Achizitii!$P710))),1,0)</f>
        <v>0</v>
      </c>
      <c r="Y710" s="27">
        <f>IF(V710=0,0,IF(Control_Achizitii!$J710="DOSAR COMPLET",1,IF(LEFT(Control_Achizitii!$J710,9)="INCOMPLET",2,3)))</f>
        <v>0</v>
      </c>
      <c r="Z710" s="27"/>
      <c r="AA710" s="27"/>
      <c r="AB710" s="27"/>
      <c r="AC710" s="27"/>
      <c r="AD710" s="27"/>
      <c r="AE710" s="27"/>
      <c r="AF710" s="27"/>
      <c r="AG710" s="27"/>
      <c r="AH710" s="27">
        <f>IF(AND(V710=1,Control_Achizitii!$J710="DOSAR COMPLET",Control_Achizitii!$K710&lt;&gt;""),1,0)</f>
        <v>0</v>
      </c>
    </row>
    <row r="711" spans="1:34">
      <c r="A711" s="27"/>
      <c r="B711" s="27"/>
      <c r="C711" s="27"/>
      <c r="D711" s="27"/>
      <c r="E711" s="27"/>
      <c r="F711" s="27"/>
      <c r="G711" s="27"/>
      <c r="H711" s="27"/>
      <c r="I711" s="27"/>
      <c r="J711" s="27"/>
      <c r="K711" s="27"/>
      <c r="L711" s="27"/>
      <c r="M711" s="27"/>
      <c r="N711" s="27"/>
      <c r="O711" s="27"/>
      <c r="P711" s="27"/>
      <c r="Q711" s="27"/>
      <c r="R711" s="27"/>
      <c r="S711" s="27"/>
      <c r="T711" s="27">
        <f>IF(LEFT(Control_Achizitii!$E711,4)="Fact",1,0)</f>
        <v>0</v>
      </c>
      <c r="U711" s="27">
        <f>IF(Control_Achizitii!$C711="",0,IF(ISNUMBER(Control_Achizitii!$B711),0,1))</f>
        <v>0</v>
      </c>
      <c r="V711" s="27">
        <f>IF(Control_Achizitii!$C711="",0,IF($Z$2&lt;&gt;"OK",0,IF(AND(ISNUMBER(Control_Achizitii!$B711),Control_Achizitii!$B711&gt;=$E$5,Control_Achizitii!$B711&lt;$J$5+1,OR($O$5="Toate proiectele",Control_Achizitii!$Q711=$O$5)),1,0)))</f>
        <v>0</v>
      </c>
      <c r="W711" s="27">
        <f>IF(AND(V711=1,OR(Control_Achizitii!$J711&lt;&gt;"DOSAR COMPLET",Control_Achizitii!$K711&lt;&gt;"")),ROW(),1000000000)</f>
        <v>1000000000</v>
      </c>
      <c r="X711" s="27">
        <f>IF(AND(V711=1,LEFT(Control_Achizitii!$E711,4)="Fact",NOT(ISNUMBER(Control_Achizitii!$P711))),1,0)</f>
        <v>0</v>
      </c>
      <c r="Y711" s="27">
        <f>IF(V711=0,0,IF(Control_Achizitii!$J711="DOSAR COMPLET",1,IF(LEFT(Control_Achizitii!$J711,9)="INCOMPLET",2,3)))</f>
        <v>0</v>
      </c>
      <c r="Z711" s="27"/>
      <c r="AA711" s="27"/>
      <c r="AB711" s="27"/>
      <c r="AC711" s="27"/>
      <c r="AD711" s="27"/>
      <c r="AE711" s="27"/>
      <c r="AF711" s="27"/>
      <c r="AG711" s="27"/>
      <c r="AH711" s="27">
        <f>IF(AND(V711=1,Control_Achizitii!$J711="DOSAR COMPLET",Control_Achizitii!$K711&lt;&gt;""),1,0)</f>
        <v>0</v>
      </c>
    </row>
    <row r="712" spans="1:34">
      <c r="A712" s="27"/>
      <c r="B712" s="27"/>
      <c r="C712" s="27"/>
      <c r="D712" s="27"/>
      <c r="E712" s="27"/>
      <c r="F712" s="27"/>
      <c r="G712" s="27"/>
      <c r="H712" s="27"/>
      <c r="I712" s="27"/>
      <c r="J712" s="27"/>
      <c r="K712" s="27"/>
      <c r="L712" s="27"/>
      <c r="M712" s="27"/>
      <c r="N712" s="27"/>
      <c r="O712" s="27"/>
      <c r="P712" s="27"/>
      <c r="Q712" s="27"/>
      <c r="R712" s="27"/>
      <c r="S712" s="27"/>
      <c r="T712" s="27">
        <f>IF(LEFT(Control_Achizitii!$E712,4)="Fact",1,0)</f>
        <v>0</v>
      </c>
      <c r="U712" s="27">
        <f>IF(Control_Achizitii!$C712="",0,IF(ISNUMBER(Control_Achizitii!$B712),0,1))</f>
        <v>0</v>
      </c>
      <c r="V712" s="27">
        <f>IF(Control_Achizitii!$C712="",0,IF($Z$2&lt;&gt;"OK",0,IF(AND(ISNUMBER(Control_Achizitii!$B712),Control_Achizitii!$B712&gt;=$E$5,Control_Achizitii!$B712&lt;$J$5+1,OR($O$5="Toate proiectele",Control_Achizitii!$Q712=$O$5)),1,0)))</f>
        <v>0</v>
      </c>
      <c r="W712" s="27">
        <f>IF(AND(V712=1,OR(Control_Achizitii!$J712&lt;&gt;"DOSAR COMPLET",Control_Achizitii!$K712&lt;&gt;"")),ROW(),1000000000)</f>
        <v>1000000000</v>
      </c>
      <c r="X712" s="27">
        <f>IF(AND(V712=1,LEFT(Control_Achizitii!$E712,4)="Fact",NOT(ISNUMBER(Control_Achizitii!$P712))),1,0)</f>
        <v>0</v>
      </c>
      <c r="Y712" s="27">
        <f>IF(V712=0,0,IF(Control_Achizitii!$J712="DOSAR COMPLET",1,IF(LEFT(Control_Achizitii!$J712,9)="INCOMPLET",2,3)))</f>
        <v>0</v>
      </c>
      <c r="Z712" s="27"/>
      <c r="AA712" s="27"/>
      <c r="AB712" s="27"/>
      <c r="AC712" s="27"/>
      <c r="AD712" s="27"/>
      <c r="AE712" s="27"/>
      <c r="AF712" s="27"/>
      <c r="AG712" s="27"/>
      <c r="AH712" s="27">
        <f>IF(AND(V712=1,Control_Achizitii!$J712="DOSAR COMPLET",Control_Achizitii!$K712&lt;&gt;""),1,0)</f>
        <v>0</v>
      </c>
    </row>
    <row r="713" spans="1:34">
      <c r="A713" s="27"/>
      <c r="B713" s="27"/>
      <c r="C713" s="27"/>
      <c r="D713" s="27"/>
      <c r="E713" s="27"/>
      <c r="F713" s="27"/>
      <c r="G713" s="27"/>
      <c r="H713" s="27"/>
      <c r="I713" s="27"/>
      <c r="J713" s="27"/>
      <c r="K713" s="27"/>
      <c r="L713" s="27"/>
      <c r="M713" s="27"/>
      <c r="N713" s="27"/>
      <c r="O713" s="27"/>
      <c r="P713" s="27"/>
      <c r="Q713" s="27"/>
      <c r="R713" s="27"/>
      <c r="S713" s="27"/>
      <c r="T713" s="27">
        <f>IF(LEFT(Control_Achizitii!$E713,4)="Fact",1,0)</f>
        <v>0</v>
      </c>
      <c r="U713" s="27">
        <f>IF(Control_Achizitii!$C713="",0,IF(ISNUMBER(Control_Achizitii!$B713),0,1))</f>
        <v>0</v>
      </c>
      <c r="V713" s="27">
        <f>IF(Control_Achizitii!$C713="",0,IF($Z$2&lt;&gt;"OK",0,IF(AND(ISNUMBER(Control_Achizitii!$B713),Control_Achizitii!$B713&gt;=$E$5,Control_Achizitii!$B713&lt;$J$5+1,OR($O$5="Toate proiectele",Control_Achizitii!$Q713=$O$5)),1,0)))</f>
        <v>0</v>
      </c>
      <c r="W713" s="27">
        <f>IF(AND(V713=1,OR(Control_Achizitii!$J713&lt;&gt;"DOSAR COMPLET",Control_Achizitii!$K713&lt;&gt;"")),ROW(),1000000000)</f>
        <v>1000000000</v>
      </c>
      <c r="X713" s="27">
        <f>IF(AND(V713=1,LEFT(Control_Achizitii!$E713,4)="Fact",NOT(ISNUMBER(Control_Achizitii!$P713))),1,0)</f>
        <v>0</v>
      </c>
      <c r="Y713" s="27">
        <f>IF(V713=0,0,IF(Control_Achizitii!$J713="DOSAR COMPLET",1,IF(LEFT(Control_Achizitii!$J713,9)="INCOMPLET",2,3)))</f>
        <v>0</v>
      </c>
      <c r="Z713" s="27"/>
      <c r="AA713" s="27"/>
      <c r="AB713" s="27"/>
      <c r="AC713" s="27"/>
      <c r="AD713" s="27"/>
      <c r="AE713" s="27"/>
      <c r="AF713" s="27"/>
      <c r="AG713" s="27"/>
      <c r="AH713" s="27">
        <f>IF(AND(V713=1,Control_Achizitii!$J713="DOSAR COMPLET",Control_Achizitii!$K713&lt;&gt;""),1,0)</f>
        <v>0</v>
      </c>
    </row>
    <row r="714" spans="1:34">
      <c r="A714" s="27"/>
      <c r="B714" s="27"/>
      <c r="C714" s="27"/>
      <c r="D714" s="27"/>
      <c r="E714" s="27"/>
      <c r="F714" s="27"/>
      <c r="G714" s="27"/>
      <c r="H714" s="27"/>
      <c r="I714" s="27"/>
      <c r="J714" s="27"/>
      <c r="K714" s="27"/>
      <c r="L714" s="27"/>
      <c r="M714" s="27"/>
      <c r="N714" s="27"/>
      <c r="O714" s="27"/>
      <c r="P714" s="27"/>
      <c r="Q714" s="27"/>
      <c r="R714" s="27"/>
      <c r="S714" s="27"/>
      <c r="T714" s="27">
        <f>IF(LEFT(Control_Achizitii!$E714,4)="Fact",1,0)</f>
        <v>0</v>
      </c>
      <c r="U714" s="27">
        <f>IF(Control_Achizitii!$C714="",0,IF(ISNUMBER(Control_Achizitii!$B714),0,1))</f>
        <v>0</v>
      </c>
      <c r="V714" s="27">
        <f>IF(Control_Achizitii!$C714="",0,IF($Z$2&lt;&gt;"OK",0,IF(AND(ISNUMBER(Control_Achizitii!$B714),Control_Achizitii!$B714&gt;=$E$5,Control_Achizitii!$B714&lt;$J$5+1,OR($O$5="Toate proiectele",Control_Achizitii!$Q714=$O$5)),1,0)))</f>
        <v>0</v>
      </c>
      <c r="W714" s="27">
        <f>IF(AND(V714=1,OR(Control_Achizitii!$J714&lt;&gt;"DOSAR COMPLET",Control_Achizitii!$K714&lt;&gt;"")),ROW(),1000000000)</f>
        <v>1000000000</v>
      </c>
      <c r="X714" s="27">
        <f>IF(AND(V714=1,LEFT(Control_Achizitii!$E714,4)="Fact",NOT(ISNUMBER(Control_Achizitii!$P714))),1,0)</f>
        <v>0</v>
      </c>
      <c r="Y714" s="27">
        <f>IF(V714=0,0,IF(Control_Achizitii!$J714="DOSAR COMPLET",1,IF(LEFT(Control_Achizitii!$J714,9)="INCOMPLET",2,3)))</f>
        <v>0</v>
      </c>
      <c r="Z714" s="27"/>
      <c r="AA714" s="27"/>
      <c r="AB714" s="27"/>
      <c r="AC714" s="27"/>
      <c r="AD714" s="27"/>
      <c r="AE714" s="27"/>
      <c r="AF714" s="27"/>
      <c r="AG714" s="27"/>
      <c r="AH714" s="27">
        <f>IF(AND(V714=1,Control_Achizitii!$J714="DOSAR COMPLET",Control_Achizitii!$K714&lt;&gt;""),1,0)</f>
        <v>0</v>
      </c>
    </row>
    <row r="715" spans="1:34">
      <c r="A715" s="27"/>
      <c r="B715" s="27"/>
      <c r="C715" s="27"/>
      <c r="D715" s="27"/>
      <c r="E715" s="27"/>
      <c r="F715" s="27"/>
      <c r="G715" s="27"/>
      <c r="H715" s="27"/>
      <c r="I715" s="27"/>
      <c r="J715" s="27"/>
      <c r="K715" s="27"/>
      <c r="L715" s="27"/>
      <c r="M715" s="27"/>
      <c r="N715" s="27"/>
      <c r="O715" s="27"/>
      <c r="P715" s="27"/>
      <c r="Q715" s="27"/>
      <c r="R715" s="27"/>
      <c r="S715" s="27"/>
      <c r="T715" s="27">
        <f>IF(LEFT(Control_Achizitii!$E715,4)="Fact",1,0)</f>
        <v>0</v>
      </c>
      <c r="U715" s="27">
        <f>IF(Control_Achizitii!$C715="",0,IF(ISNUMBER(Control_Achizitii!$B715),0,1))</f>
        <v>0</v>
      </c>
      <c r="V715" s="27">
        <f>IF(Control_Achizitii!$C715="",0,IF($Z$2&lt;&gt;"OK",0,IF(AND(ISNUMBER(Control_Achizitii!$B715),Control_Achizitii!$B715&gt;=$E$5,Control_Achizitii!$B715&lt;$J$5+1,OR($O$5="Toate proiectele",Control_Achizitii!$Q715=$O$5)),1,0)))</f>
        <v>0</v>
      </c>
      <c r="W715" s="27">
        <f>IF(AND(V715=1,OR(Control_Achizitii!$J715&lt;&gt;"DOSAR COMPLET",Control_Achizitii!$K715&lt;&gt;"")),ROW(),1000000000)</f>
        <v>1000000000</v>
      </c>
      <c r="X715" s="27">
        <f>IF(AND(V715=1,LEFT(Control_Achizitii!$E715,4)="Fact",NOT(ISNUMBER(Control_Achizitii!$P715))),1,0)</f>
        <v>0</v>
      </c>
      <c r="Y715" s="27">
        <f>IF(V715=0,0,IF(Control_Achizitii!$J715="DOSAR COMPLET",1,IF(LEFT(Control_Achizitii!$J715,9)="INCOMPLET",2,3)))</f>
        <v>0</v>
      </c>
      <c r="Z715" s="27"/>
      <c r="AA715" s="27"/>
      <c r="AB715" s="27"/>
      <c r="AC715" s="27"/>
      <c r="AD715" s="27"/>
      <c r="AE715" s="27"/>
      <c r="AF715" s="27"/>
      <c r="AG715" s="27"/>
      <c r="AH715" s="27">
        <f>IF(AND(V715=1,Control_Achizitii!$J715="DOSAR COMPLET",Control_Achizitii!$K715&lt;&gt;""),1,0)</f>
        <v>0</v>
      </c>
    </row>
    <row r="716" spans="1:34">
      <c r="A716" s="27"/>
      <c r="B716" s="27"/>
      <c r="C716" s="27"/>
      <c r="D716" s="27"/>
      <c r="E716" s="27"/>
      <c r="F716" s="27"/>
      <c r="G716" s="27"/>
      <c r="H716" s="27"/>
      <c r="I716" s="27"/>
      <c r="J716" s="27"/>
      <c r="K716" s="27"/>
      <c r="L716" s="27"/>
      <c r="M716" s="27"/>
      <c r="N716" s="27"/>
      <c r="O716" s="27"/>
      <c r="P716" s="27"/>
      <c r="Q716" s="27"/>
      <c r="R716" s="27"/>
      <c r="S716" s="27"/>
      <c r="T716" s="27">
        <f>IF(LEFT(Control_Achizitii!$E716,4)="Fact",1,0)</f>
        <v>0</v>
      </c>
      <c r="U716" s="27">
        <f>IF(Control_Achizitii!$C716="",0,IF(ISNUMBER(Control_Achizitii!$B716),0,1))</f>
        <v>0</v>
      </c>
      <c r="V716" s="27">
        <f>IF(Control_Achizitii!$C716="",0,IF($Z$2&lt;&gt;"OK",0,IF(AND(ISNUMBER(Control_Achizitii!$B716),Control_Achizitii!$B716&gt;=$E$5,Control_Achizitii!$B716&lt;$J$5+1,OR($O$5="Toate proiectele",Control_Achizitii!$Q716=$O$5)),1,0)))</f>
        <v>0</v>
      </c>
      <c r="W716" s="27">
        <f>IF(AND(V716=1,OR(Control_Achizitii!$J716&lt;&gt;"DOSAR COMPLET",Control_Achizitii!$K716&lt;&gt;"")),ROW(),1000000000)</f>
        <v>1000000000</v>
      </c>
      <c r="X716" s="27">
        <f>IF(AND(V716=1,LEFT(Control_Achizitii!$E716,4)="Fact",NOT(ISNUMBER(Control_Achizitii!$P716))),1,0)</f>
        <v>0</v>
      </c>
      <c r="Y716" s="27">
        <f>IF(V716=0,0,IF(Control_Achizitii!$J716="DOSAR COMPLET",1,IF(LEFT(Control_Achizitii!$J716,9)="INCOMPLET",2,3)))</f>
        <v>0</v>
      </c>
      <c r="Z716" s="27"/>
      <c r="AA716" s="27"/>
      <c r="AB716" s="27"/>
      <c r="AC716" s="27"/>
      <c r="AD716" s="27"/>
      <c r="AE716" s="27"/>
      <c r="AF716" s="27"/>
      <c r="AG716" s="27"/>
      <c r="AH716" s="27">
        <f>IF(AND(V716=1,Control_Achizitii!$J716="DOSAR COMPLET",Control_Achizitii!$K716&lt;&gt;""),1,0)</f>
        <v>0</v>
      </c>
    </row>
    <row r="717" spans="1:34">
      <c r="A717" s="27"/>
      <c r="B717" s="27"/>
      <c r="C717" s="27"/>
      <c r="D717" s="27"/>
      <c r="E717" s="27"/>
      <c r="F717" s="27"/>
      <c r="G717" s="27"/>
      <c r="H717" s="27"/>
      <c r="I717" s="27"/>
      <c r="J717" s="27"/>
      <c r="K717" s="27"/>
      <c r="L717" s="27"/>
      <c r="M717" s="27"/>
      <c r="N717" s="27"/>
      <c r="O717" s="27"/>
      <c r="P717" s="27"/>
      <c r="Q717" s="27"/>
      <c r="R717" s="27"/>
      <c r="S717" s="27"/>
      <c r="T717" s="27">
        <f>IF(LEFT(Control_Achizitii!$E717,4)="Fact",1,0)</f>
        <v>0</v>
      </c>
      <c r="U717" s="27">
        <f>IF(Control_Achizitii!$C717="",0,IF(ISNUMBER(Control_Achizitii!$B717),0,1))</f>
        <v>0</v>
      </c>
      <c r="V717" s="27">
        <f>IF(Control_Achizitii!$C717="",0,IF($Z$2&lt;&gt;"OK",0,IF(AND(ISNUMBER(Control_Achizitii!$B717),Control_Achizitii!$B717&gt;=$E$5,Control_Achizitii!$B717&lt;$J$5+1,OR($O$5="Toate proiectele",Control_Achizitii!$Q717=$O$5)),1,0)))</f>
        <v>0</v>
      </c>
      <c r="W717" s="27">
        <f>IF(AND(V717=1,OR(Control_Achizitii!$J717&lt;&gt;"DOSAR COMPLET",Control_Achizitii!$K717&lt;&gt;"")),ROW(),1000000000)</f>
        <v>1000000000</v>
      </c>
      <c r="X717" s="27">
        <f>IF(AND(V717=1,LEFT(Control_Achizitii!$E717,4)="Fact",NOT(ISNUMBER(Control_Achizitii!$P717))),1,0)</f>
        <v>0</v>
      </c>
      <c r="Y717" s="27">
        <f>IF(V717=0,0,IF(Control_Achizitii!$J717="DOSAR COMPLET",1,IF(LEFT(Control_Achizitii!$J717,9)="INCOMPLET",2,3)))</f>
        <v>0</v>
      </c>
      <c r="Z717" s="27"/>
      <c r="AA717" s="27"/>
      <c r="AB717" s="27"/>
      <c r="AC717" s="27"/>
      <c r="AD717" s="27"/>
      <c r="AE717" s="27"/>
      <c r="AF717" s="27"/>
      <c r="AG717" s="27"/>
      <c r="AH717" s="27">
        <f>IF(AND(V717=1,Control_Achizitii!$J717="DOSAR COMPLET",Control_Achizitii!$K717&lt;&gt;""),1,0)</f>
        <v>0</v>
      </c>
    </row>
    <row r="718" spans="1:34">
      <c r="A718" s="27"/>
      <c r="B718" s="27"/>
      <c r="C718" s="27"/>
      <c r="D718" s="27"/>
      <c r="E718" s="27"/>
      <c r="F718" s="27"/>
      <c r="G718" s="27"/>
      <c r="H718" s="27"/>
      <c r="I718" s="27"/>
      <c r="J718" s="27"/>
      <c r="K718" s="27"/>
      <c r="L718" s="27"/>
      <c r="M718" s="27"/>
      <c r="N718" s="27"/>
      <c r="O718" s="27"/>
      <c r="P718" s="27"/>
      <c r="Q718" s="27"/>
      <c r="R718" s="27"/>
      <c r="S718" s="27"/>
      <c r="T718" s="27">
        <f>IF(LEFT(Control_Achizitii!$E718,4)="Fact",1,0)</f>
        <v>0</v>
      </c>
      <c r="U718" s="27">
        <f>IF(Control_Achizitii!$C718="",0,IF(ISNUMBER(Control_Achizitii!$B718),0,1))</f>
        <v>0</v>
      </c>
      <c r="V718" s="27">
        <f>IF(Control_Achizitii!$C718="",0,IF($Z$2&lt;&gt;"OK",0,IF(AND(ISNUMBER(Control_Achizitii!$B718),Control_Achizitii!$B718&gt;=$E$5,Control_Achizitii!$B718&lt;$J$5+1,OR($O$5="Toate proiectele",Control_Achizitii!$Q718=$O$5)),1,0)))</f>
        <v>0</v>
      </c>
      <c r="W718" s="27">
        <f>IF(AND(V718=1,OR(Control_Achizitii!$J718&lt;&gt;"DOSAR COMPLET",Control_Achizitii!$K718&lt;&gt;"")),ROW(),1000000000)</f>
        <v>1000000000</v>
      </c>
      <c r="X718" s="27">
        <f>IF(AND(V718=1,LEFT(Control_Achizitii!$E718,4)="Fact",NOT(ISNUMBER(Control_Achizitii!$P718))),1,0)</f>
        <v>0</v>
      </c>
      <c r="Y718" s="27">
        <f>IF(V718=0,0,IF(Control_Achizitii!$J718="DOSAR COMPLET",1,IF(LEFT(Control_Achizitii!$J718,9)="INCOMPLET",2,3)))</f>
        <v>0</v>
      </c>
      <c r="Z718" s="27"/>
      <c r="AA718" s="27"/>
      <c r="AB718" s="27"/>
      <c r="AC718" s="27"/>
      <c r="AD718" s="27"/>
      <c r="AE718" s="27"/>
      <c r="AF718" s="27"/>
      <c r="AG718" s="27"/>
      <c r="AH718" s="27">
        <f>IF(AND(V718=1,Control_Achizitii!$J718="DOSAR COMPLET",Control_Achizitii!$K718&lt;&gt;""),1,0)</f>
        <v>0</v>
      </c>
    </row>
    <row r="719" spans="1:34">
      <c r="A719" s="27"/>
      <c r="B719" s="27"/>
      <c r="C719" s="27"/>
      <c r="D719" s="27"/>
      <c r="E719" s="27"/>
      <c r="F719" s="27"/>
      <c r="G719" s="27"/>
      <c r="H719" s="27"/>
      <c r="I719" s="27"/>
      <c r="J719" s="27"/>
      <c r="K719" s="27"/>
      <c r="L719" s="27"/>
      <c r="M719" s="27"/>
      <c r="N719" s="27"/>
      <c r="O719" s="27"/>
      <c r="P719" s="27"/>
      <c r="Q719" s="27"/>
      <c r="R719" s="27"/>
      <c r="S719" s="27"/>
      <c r="T719" s="27">
        <f>IF(LEFT(Control_Achizitii!$E719,4)="Fact",1,0)</f>
        <v>0</v>
      </c>
      <c r="U719" s="27">
        <f>IF(Control_Achizitii!$C719="",0,IF(ISNUMBER(Control_Achizitii!$B719),0,1))</f>
        <v>0</v>
      </c>
      <c r="V719" s="27">
        <f>IF(Control_Achizitii!$C719="",0,IF($Z$2&lt;&gt;"OK",0,IF(AND(ISNUMBER(Control_Achizitii!$B719),Control_Achizitii!$B719&gt;=$E$5,Control_Achizitii!$B719&lt;$J$5+1,OR($O$5="Toate proiectele",Control_Achizitii!$Q719=$O$5)),1,0)))</f>
        <v>0</v>
      </c>
      <c r="W719" s="27">
        <f>IF(AND(V719=1,OR(Control_Achizitii!$J719&lt;&gt;"DOSAR COMPLET",Control_Achizitii!$K719&lt;&gt;"")),ROW(),1000000000)</f>
        <v>1000000000</v>
      </c>
      <c r="X719" s="27">
        <f>IF(AND(V719=1,LEFT(Control_Achizitii!$E719,4)="Fact",NOT(ISNUMBER(Control_Achizitii!$P719))),1,0)</f>
        <v>0</v>
      </c>
      <c r="Y719" s="27">
        <f>IF(V719=0,0,IF(Control_Achizitii!$J719="DOSAR COMPLET",1,IF(LEFT(Control_Achizitii!$J719,9)="INCOMPLET",2,3)))</f>
        <v>0</v>
      </c>
      <c r="Z719" s="27"/>
      <c r="AA719" s="27"/>
      <c r="AB719" s="27"/>
      <c r="AC719" s="27"/>
      <c r="AD719" s="27"/>
      <c r="AE719" s="27"/>
      <c r="AF719" s="27"/>
      <c r="AG719" s="27"/>
      <c r="AH719" s="27">
        <f>IF(AND(V719=1,Control_Achizitii!$J719="DOSAR COMPLET",Control_Achizitii!$K719&lt;&gt;""),1,0)</f>
        <v>0</v>
      </c>
    </row>
    <row r="720" spans="1:34">
      <c r="A720" s="27"/>
      <c r="B720" s="27"/>
      <c r="C720" s="27"/>
      <c r="D720" s="27"/>
      <c r="E720" s="27"/>
      <c r="F720" s="27"/>
      <c r="G720" s="27"/>
      <c r="H720" s="27"/>
      <c r="I720" s="27"/>
      <c r="J720" s="27"/>
      <c r="K720" s="27"/>
      <c r="L720" s="27"/>
      <c r="M720" s="27"/>
      <c r="N720" s="27"/>
      <c r="O720" s="27"/>
      <c r="P720" s="27"/>
      <c r="Q720" s="27"/>
      <c r="R720" s="27"/>
      <c r="S720" s="27"/>
      <c r="T720" s="27">
        <f>IF(LEFT(Control_Achizitii!$E720,4)="Fact",1,0)</f>
        <v>0</v>
      </c>
      <c r="U720" s="27">
        <f>IF(Control_Achizitii!$C720="",0,IF(ISNUMBER(Control_Achizitii!$B720),0,1))</f>
        <v>0</v>
      </c>
      <c r="V720" s="27">
        <f>IF(Control_Achizitii!$C720="",0,IF($Z$2&lt;&gt;"OK",0,IF(AND(ISNUMBER(Control_Achizitii!$B720),Control_Achizitii!$B720&gt;=$E$5,Control_Achizitii!$B720&lt;$J$5+1,OR($O$5="Toate proiectele",Control_Achizitii!$Q720=$O$5)),1,0)))</f>
        <v>0</v>
      </c>
      <c r="W720" s="27">
        <f>IF(AND(V720=1,OR(Control_Achizitii!$J720&lt;&gt;"DOSAR COMPLET",Control_Achizitii!$K720&lt;&gt;"")),ROW(),1000000000)</f>
        <v>1000000000</v>
      </c>
      <c r="X720" s="27">
        <f>IF(AND(V720=1,LEFT(Control_Achizitii!$E720,4)="Fact",NOT(ISNUMBER(Control_Achizitii!$P720))),1,0)</f>
        <v>0</v>
      </c>
      <c r="Y720" s="27">
        <f>IF(V720=0,0,IF(Control_Achizitii!$J720="DOSAR COMPLET",1,IF(LEFT(Control_Achizitii!$J720,9)="INCOMPLET",2,3)))</f>
        <v>0</v>
      </c>
      <c r="Z720" s="27"/>
      <c r="AA720" s="27"/>
      <c r="AB720" s="27"/>
      <c r="AC720" s="27"/>
      <c r="AD720" s="27"/>
      <c r="AE720" s="27"/>
      <c r="AF720" s="27"/>
      <c r="AG720" s="27"/>
      <c r="AH720" s="27">
        <f>IF(AND(V720=1,Control_Achizitii!$J720="DOSAR COMPLET",Control_Achizitii!$K720&lt;&gt;""),1,0)</f>
        <v>0</v>
      </c>
    </row>
    <row r="721" spans="1:34">
      <c r="A721" s="27"/>
      <c r="B721" s="27"/>
      <c r="C721" s="27"/>
      <c r="D721" s="27"/>
      <c r="E721" s="27"/>
      <c r="F721" s="27"/>
      <c r="G721" s="27"/>
      <c r="H721" s="27"/>
      <c r="I721" s="27"/>
      <c r="J721" s="27"/>
      <c r="K721" s="27"/>
      <c r="L721" s="27"/>
      <c r="M721" s="27"/>
      <c r="N721" s="27"/>
      <c r="O721" s="27"/>
      <c r="P721" s="27"/>
      <c r="Q721" s="27"/>
      <c r="R721" s="27"/>
      <c r="S721" s="27"/>
      <c r="T721" s="27">
        <f>IF(LEFT(Control_Achizitii!$E721,4)="Fact",1,0)</f>
        <v>0</v>
      </c>
      <c r="U721" s="27">
        <f>IF(Control_Achizitii!$C721="",0,IF(ISNUMBER(Control_Achizitii!$B721),0,1))</f>
        <v>0</v>
      </c>
      <c r="V721" s="27">
        <f>IF(Control_Achizitii!$C721="",0,IF($Z$2&lt;&gt;"OK",0,IF(AND(ISNUMBER(Control_Achizitii!$B721),Control_Achizitii!$B721&gt;=$E$5,Control_Achizitii!$B721&lt;$J$5+1,OR($O$5="Toate proiectele",Control_Achizitii!$Q721=$O$5)),1,0)))</f>
        <v>0</v>
      </c>
      <c r="W721" s="27">
        <f>IF(AND(V721=1,OR(Control_Achizitii!$J721&lt;&gt;"DOSAR COMPLET",Control_Achizitii!$K721&lt;&gt;"")),ROW(),1000000000)</f>
        <v>1000000000</v>
      </c>
      <c r="X721" s="27">
        <f>IF(AND(V721=1,LEFT(Control_Achizitii!$E721,4)="Fact",NOT(ISNUMBER(Control_Achizitii!$P721))),1,0)</f>
        <v>0</v>
      </c>
      <c r="Y721" s="27">
        <f>IF(V721=0,0,IF(Control_Achizitii!$J721="DOSAR COMPLET",1,IF(LEFT(Control_Achizitii!$J721,9)="INCOMPLET",2,3)))</f>
        <v>0</v>
      </c>
      <c r="Z721" s="27"/>
      <c r="AA721" s="27"/>
      <c r="AB721" s="27"/>
      <c r="AC721" s="27"/>
      <c r="AD721" s="27"/>
      <c r="AE721" s="27"/>
      <c r="AF721" s="27"/>
      <c r="AG721" s="27"/>
      <c r="AH721" s="27">
        <f>IF(AND(V721=1,Control_Achizitii!$J721="DOSAR COMPLET",Control_Achizitii!$K721&lt;&gt;""),1,0)</f>
        <v>0</v>
      </c>
    </row>
    <row r="722" spans="1:34">
      <c r="A722" s="27"/>
      <c r="B722" s="27"/>
      <c r="C722" s="27"/>
      <c r="D722" s="27"/>
      <c r="E722" s="27"/>
      <c r="F722" s="27"/>
      <c r="G722" s="27"/>
      <c r="H722" s="27"/>
      <c r="I722" s="27"/>
      <c r="J722" s="27"/>
      <c r="K722" s="27"/>
      <c r="L722" s="27"/>
      <c r="M722" s="27"/>
      <c r="N722" s="27"/>
      <c r="O722" s="27"/>
      <c r="P722" s="27"/>
      <c r="Q722" s="27"/>
      <c r="R722" s="27"/>
      <c r="S722" s="27"/>
      <c r="T722" s="27">
        <f>IF(LEFT(Control_Achizitii!$E722,4)="Fact",1,0)</f>
        <v>0</v>
      </c>
      <c r="U722" s="27">
        <f>IF(Control_Achizitii!$C722="",0,IF(ISNUMBER(Control_Achizitii!$B722),0,1))</f>
        <v>0</v>
      </c>
      <c r="V722" s="27">
        <f>IF(Control_Achizitii!$C722="",0,IF($Z$2&lt;&gt;"OK",0,IF(AND(ISNUMBER(Control_Achizitii!$B722),Control_Achizitii!$B722&gt;=$E$5,Control_Achizitii!$B722&lt;$J$5+1,OR($O$5="Toate proiectele",Control_Achizitii!$Q722=$O$5)),1,0)))</f>
        <v>0</v>
      </c>
      <c r="W722" s="27">
        <f>IF(AND(V722=1,OR(Control_Achizitii!$J722&lt;&gt;"DOSAR COMPLET",Control_Achizitii!$K722&lt;&gt;"")),ROW(),1000000000)</f>
        <v>1000000000</v>
      </c>
      <c r="X722" s="27">
        <f>IF(AND(V722=1,LEFT(Control_Achizitii!$E722,4)="Fact",NOT(ISNUMBER(Control_Achizitii!$P722))),1,0)</f>
        <v>0</v>
      </c>
      <c r="Y722" s="27">
        <f>IF(V722=0,0,IF(Control_Achizitii!$J722="DOSAR COMPLET",1,IF(LEFT(Control_Achizitii!$J722,9)="INCOMPLET",2,3)))</f>
        <v>0</v>
      </c>
      <c r="Z722" s="27"/>
      <c r="AA722" s="27"/>
      <c r="AB722" s="27"/>
      <c r="AC722" s="27"/>
      <c r="AD722" s="27"/>
      <c r="AE722" s="27"/>
      <c r="AF722" s="27"/>
      <c r="AG722" s="27"/>
      <c r="AH722" s="27">
        <f>IF(AND(V722=1,Control_Achizitii!$J722="DOSAR COMPLET",Control_Achizitii!$K722&lt;&gt;""),1,0)</f>
        <v>0</v>
      </c>
    </row>
    <row r="723" spans="1:34">
      <c r="A723" s="27"/>
      <c r="B723" s="27"/>
      <c r="C723" s="27"/>
      <c r="D723" s="27"/>
      <c r="E723" s="27"/>
      <c r="F723" s="27"/>
      <c r="G723" s="27"/>
      <c r="H723" s="27"/>
      <c r="I723" s="27"/>
      <c r="J723" s="27"/>
      <c r="K723" s="27"/>
      <c r="L723" s="27"/>
      <c r="M723" s="27"/>
      <c r="N723" s="27"/>
      <c r="O723" s="27"/>
      <c r="P723" s="27"/>
      <c r="Q723" s="27"/>
      <c r="R723" s="27"/>
      <c r="S723" s="27"/>
      <c r="T723" s="27">
        <f>IF(LEFT(Control_Achizitii!$E723,4)="Fact",1,0)</f>
        <v>0</v>
      </c>
      <c r="U723" s="27">
        <f>IF(Control_Achizitii!$C723="",0,IF(ISNUMBER(Control_Achizitii!$B723),0,1))</f>
        <v>0</v>
      </c>
      <c r="V723" s="27">
        <f>IF(Control_Achizitii!$C723="",0,IF($Z$2&lt;&gt;"OK",0,IF(AND(ISNUMBER(Control_Achizitii!$B723),Control_Achizitii!$B723&gt;=$E$5,Control_Achizitii!$B723&lt;$J$5+1,OR($O$5="Toate proiectele",Control_Achizitii!$Q723=$O$5)),1,0)))</f>
        <v>0</v>
      </c>
      <c r="W723" s="27">
        <f>IF(AND(V723=1,OR(Control_Achizitii!$J723&lt;&gt;"DOSAR COMPLET",Control_Achizitii!$K723&lt;&gt;"")),ROW(),1000000000)</f>
        <v>1000000000</v>
      </c>
      <c r="X723" s="27">
        <f>IF(AND(V723=1,LEFT(Control_Achizitii!$E723,4)="Fact",NOT(ISNUMBER(Control_Achizitii!$P723))),1,0)</f>
        <v>0</v>
      </c>
      <c r="Y723" s="27">
        <f>IF(V723=0,0,IF(Control_Achizitii!$J723="DOSAR COMPLET",1,IF(LEFT(Control_Achizitii!$J723,9)="INCOMPLET",2,3)))</f>
        <v>0</v>
      </c>
      <c r="Z723" s="27"/>
      <c r="AA723" s="27"/>
      <c r="AB723" s="27"/>
      <c r="AC723" s="27"/>
      <c r="AD723" s="27"/>
      <c r="AE723" s="27"/>
      <c r="AF723" s="27"/>
      <c r="AG723" s="27"/>
      <c r="AH723" s="27">
        <f>IF(AND(V723=1,Control_Achizitii!$J723="DOSAR COMPLET",Control_Achizitii!$K723&lt;&gt;""),1,0)</f>
        <v>0</v>
      </c>
    </row>
    <row r="724" spans="1:34">
      <c r="A724" s="27"/>
      <c r="B724" s="27"/>
      <c r="C724" s="27"/>
      <c r="D724" s="27"/>
      <c r="E724" s="27"/>
      <c r="F724" s="27"/>
      <c r="G724" s="27"/>
      <c r="H724" s="27"/>
      <c r="I724" s="27"/>
      <c r="J724" s="27"/>
      <c r="K724" s="27"/>
      <c r="L724" s="27"/>
      <c r="M724" s="27"/>
      <c r="N724" s="27"/>
      <c r="O724" s="27"/>
      <c r="P724" s="27"/>
      <c r="Q724" s="27"/>
      <c r="R724" s="27"/>
      <c r="S724" s="27"/>
      <c r="T724" s="27">
        <f>IF(LEFT(Control_Achizitii!$E724,4)="Fact",1,0)</f>
        <v>0</v>
      </c>
      <c r="U724" s="27">
        <f>IF(Control_Achizitii!$C724="",0,IF(ISNUMBER(Control_Achizitii!$B724),0,1))</f>
        <v>0</v>
      </c>
      <c r="V724" s="27">
        <f>IF(Control_Achizitii!$C724="",0,IF($Z$2&lt;&gt;"OK",0,IF(AND(ISNUMBER(Control_Achizitii!$B724),Control_Achizitii!$B724&gt;=$E$5,Control_Achizitii!$B724&lt;$J$5+1,OR($O$5="Toate proiectele",Control_Achizitii!$Q724=$O$5)),1,0)))</f>
        <v>0</v>
      </c>
      <c r="W724" s="27">
        <f>IF(AND(V724=1,OR(Control_Achizitii!$J724&lt;&gt;"DOSAR COMPLET",Control_Achizitii!$K724&lt;&gt;"")),ROW(),1000000000)</f>
        <v>1000000000</v>
      </c>
      <c r="X724" s="27">
        <f>IF(AND(V724=1,LEFT(Control_Achizitii!$E724,4)="Fact",NOT(ISNUMBER(Control_Achizitii!$P724))),1,0)</f>
        <v>0</v>
      </c>
      <c r="Y724" s="27">
        <f>IF(V724=0,0,IF(Control_Achizitii!$J724="DOSAR COMPLET",1,IF(LEFT(Control_Achizitii!$J724,9)="INCOMPLET",2,3)))</f>
        <v>0</v>
      </c>
      <c r="Z724" s="27"/>
      <c r="AA724" s="27"/>
      <c r="AB724" s="27"/>
      <c r="AC724" s="27"/>
      <c r="AD724" s="27"/>
      <c r="AE724" s="27"/>
      <c r="AF724" s="27"/>
      <c r="AG724" s="27"/>
      <c r="AH724" s="27">
        <f>IF(AND(V724=1,Control_Achizitii!$J724="DOSAR COMPLET",Control_Achizitii!$K724&lt;&gt;""),1,0)</f>
        <v>0</v>
      </c>
    </row>
    <row r="725" spans="1:34">
      <c r="A725" s="27"/>
      <c r="B725" s="27"/>
      <c r="C725" s="27"/>
      <c r="D725" s="27"/>
      <c r="E725" s="27"/>
      <c r="F725" s="27"/>
      <c r="G725" s="27"/>
      <c r="H725" s="27"/>
      <c r="I725" s="27"/>
      <c r="J725" s="27"/>
      <c r="K725" s="27"/>
      <c r="L725" s="27"/>
      <c r="M725" s="27"/>
      <c r="N725" s="27"/>
      <c r="O725" s="27"/>
      <c r="P725" s="27"/>
      <c r="Q725" s="27"/>
      <c r="R725" s="27"/>
      <c r="S725" s="27"/>
      <c r="T725" s="27">
        <f>IF(LEFT(Control_Achizitii!$E725,4)="Fact",1,0)</f>
        <v>0</v>
      </c>
      <c r="U725" s="27">
        <f>IF(Control_Achizitii!$C725="",0,IF(ISNUMBER(Control_Achizitii!$B725),0,1))</f>
        <v>0</v>
      </c>
      <c r="V725" s="27">
        <f>IF(Control_Achizitii!$C725="",0,IF($Z$2&lt;&gt;"OK",0,IF(AND(ISNUMBER(Control_Achizitii!$B725),Control_Achizitii!$B725&gt;=$E$5,Control_Achizitii!$B725&lt;$J$5+1,OR($O$5="Toate proiectele",Control_Achizitii!$Q725=$O$5)),1,0)))</f>
        <v>0</v>
      </c>
      <c r="W725" s="27">
        <f>IF(AND(V725=1,OR(Control_Achizitii!$J725&lt;&gt;"DOSAR COMPLET",Control_Achizitii!$K725&lt;&gt;"")),ROW(),1000000000)</f>
        <v>1000000000</v>
      </c>
      <c r="X725" s="27">
        <f>IF(AND(V725=1,LEFT(Control_Achizitii!$E725,4)="Fact",NOT(ISNUMBER(Control_Achizitii!$P725))),1,0)</f>
        <v>0</v>
      </c>
      <c r="Y725" s="27">
        <f>IF(V725=0,0,IF(Control_Achizitii!$J725="DOSAR COMPLET",1,IF(LEFT(Control_Achizitii!$J725,9)="INCOMPLET",2,3)))</f>
        <v>0</v>
      </c>
      <c r="Z725" s="27"/>
      <c r="AA725" s="27"/>
      <c r="AB725" s="27"/>
      <c r="AC725" s="27"/>
      <c r="AD725" s="27"/>
      <c r="AE725" s="27"/>
      <c r="AF725" s="27"/>
      <c r="AG725" s="27"/>
      <c r="AH725" s="27">
        <f>IF(AND(V725=1,Control_Achizitii!$J725="DOSAR COMPLET",Control_Achizitii!$K725&lt;&gt;""),1,0)</f>
        <v>0</v>
      </c>
    </row>
    <row r="726" spans="1:34">
      <c r="A726" s="27"/>
      <c r="B726" s="27"/>
      <c r="C726" s="27"/>
      <c r="D726" s="27"/>
      <c r="E726" s="27"/>
      <c r="F726" s="27"/>
      <c r="G726" s="27"/>
      <c r="H726" s="27"/>
      <c r="I726" s="27"/>
      <c r="J726" s="27"/>
      <c r="K726" s="27"/>
      <c r="L726" s="27"/>
      <c r="M726" s="27"/>
      <c r="N726" s="27"/>
      <c r="O726" s="27"/>
      <c r="P726" s="27"/>
      <c r="Q726" s="27"/>
      <c r="R726" s="27"/>
      <c r="S726" s="27"/>
      <c r="T726" s="27">
        <f>IF(LEFT(Control_Achizitii!$E726,4)="Fact",1,0)</f>
        <v>0</v>
      </c>
      <c r="U726" s="27">
        <f>IF(Control_Achizitii!$C726="",0,IF(ISNUMBER(Control_Achizitii!$B726),0,1))</f>
        <v>0</v>
      </c>
      <c r="V726" s="27">
        <f>IF(Control_Achizitii!$C726="",0,IF($Z$2&lt;&gt;"OK",0,IF(AND(ISNUMBER(Control_Achizitii!$B726),Control_Achizitii!$B726&gt;=$E$5,Control_Achizitii!$B726&lt;$J$5+1,OR($O$5="Toate proiectele",Control_Achizitii!$Q726=$O$5)),1,0)))</f>
        <v>0</v>
      </c>
      <c r="W726" s="27">
        <f>IF(AND(V726=1,OR(Control_Achizitii!$J726&lt;&gt;"DOSAR COMPLET",Control_Achizitii!$K726&lt;&gt;"")),ROW(),1000000000)</f>
        <v>1000000000</v>
      </c>
      <c r="X726" s="27">
        <f>IF(AND(V726=1,LEFT(Control_Achizitii!$E726,4)="Fact",NOT(ISNUMBER(Control_Achizitii!$P726))),1,0)</f>
        <v>0</v>
      </c>
      <c r="Y726" s="27">
        <f>IF(V726=0,0,IF(Control_Achizitii!$J726="DOSAR COMPLET",1,IF(LEFT(Control_Achizitii!$J726,9)="INCOMPLET",2,3)))</f>
        <v>0</v>
      </c>
      <c r="Z726" s="27"/>
      <c r="AA726" s="27"/>
      <c r="AB726" s="27"/>
      <c r="AC726" s="27"/>
      <c r="AD726" s="27"/>
      <c r="AE726" s="27"/>
      <c r="AF726" s="27"/>
      <c r="AG726" s="27"/>
      <c r="AH726" s="27">
        <f>IF(AND(V726=1,Control_Achizitii!$J726="DOSAR COMPLET",Control_Achizitii!$K726&lt;&gt;""),1,0)</f>
        <v>0</v>
      </c>
    </row>
    <row r="727" spans="1:34">
      <c r="A727" s="27"/>
      <c r="B727" s="27"/>
      <c r="C727" s="27"/>
      <c r="D727" s="27"/>
      <c r="E727" s="27"/>
      <c r="F727" s="27"/>
      <c r="G727" s="27"/>
      <c r="H727" s="27"/>
      <c r="I727" s="27"/>
      <c r="J727" s="27"/>
      <c r="K727" s="27"/>
      <c r="L727" s="27"/>
      <c r="M727" s="27"/>
      <c r="N727" s="27"/>
      <c r="O727" s="27"/>
      <c r="P727" s="27"/>
      <c r="Q727" s="27"/>
      <c r="R727" s="27"/>
      <c r="S727" s="27"/>
      <c r="T727" s="27">
        <f>IF(LEFT(Control_Achizitii!$E727,4)="Fact",1,0)</f>
        <v>0</v>
      </c>
      <c r="U727" s="27">
        <f>IF(Control_Achizitii!$C727="",0,IF(ISNUMBER(Control_Achizitii!$B727),0,1))</f>
        <v>0</v>
      </c>
      <c r="V727" s="27">
        <f>IF(Control_Achizitii!$C727="",0,IF($Z$2&lt;&gt;"OK",0,IF(AND(ISNUMBER(Control_Achizitii!$B727),Control_Achizitii!$B727&gt;=$E$5,Control_Achizitii!$B727&lt;$J$5+1,OR($O$5="Toate proiectele",Control_Achizitii!$Q727=$O$5)),1,0)))</f>
        <v>0</v>
      </c>
      <c r="W727" s="27">
        <f>IF(AND(V727=1,OR(Control_Achizitii!$J727&lt;&gt;"DOSAR COMPLET",Control_Achizitii!$K727&lt;&gt;"")),ROW(),1000000000)</f>
        <v>1000000000</v>
      </c>
      <c r="X727" s="27">
        <f>IF(AND(V727=1,LEFT(Control_Achizitii!$E727,4)="Fact",NOT(ISNUMBER(Control_Achizitii!$P727))),1,0)</f>
        <v>0</v>
      </c>
      <c r="Y727" s="27">
        <f>IF(V727=0,0,IF(Control_Achizitii!$J727="DOSAR COMPLET",1,IF(LEFT(Control_Achizitii!$J727,9)="INCOMPLET",2,3)))</f>
        <v>0</v>
      </c>
      <c r="Z727" s="27"/>
      <c r="AA727" s="27"/>
      <c r="AB727" s="27"/>
      <c r="AC727" s="27"/>
      <c r="AD727" s="27"/>
      <c r="AE727" s="27"/>
      <c r="AF727" s="27"/>
      <c r="AG727" s="27"/>
      <c r="AH727" s="27">
        <f>IF(AND(V727=1,Control_Achizitii!$J727="DOSAR COMPLET",Control_Achizitii!$K727&lt;&gt;""),1,0)</f>
        <v>0</v>
      </c>
    </row>
    <row r="728" spans="1:34">
      <c r="A728" s="27"/>
      <c r="B728" s="27"/>
      <c r="C728" s="27"/>
      <c r="D728" s="27"/>
      <c r="E728" s="27"/>
      <c r="F728" s="27"/>
      <c r="G728" s="27"/>
      <c r="H728" s="27"/>
      <c r="I728" s="27"/>
      <c r="J728" s="27"/>
      <c r="K728" s="27"/>
      <c r="L728" s="27"/>
      <c r="M728" s="27"/>
      <c r="N728" s="27"/>
      <c r="O728" s="27"/>
      <c r="P728" s="27"/>
      <c r="Q728" s="27"/>
      <c r="R728" s="27"/>
      <c r="S728" s="27"/>
      <c r="T728" s="27">
        <f>IF(LEFT(Control_Achizitii!$E728,4)="Fact",1,0)</f>
        <v>0</v>
      </c>
      <c r="U728" s="27">
        <f>IF(Control_Achizitii!$C728="",0,IF(ISNUMBER(Control_Achizitii!$B728),0,1))</f>
        <v>0</v>
      </c>
      <c r="V728" s="27">
        <f>IF(Control_Achizitii!$C728="",0,IF($Z$2&lt;&gt;"OK",0,IF(AND(ISNUMBER(Control_Achizitii!$B728),Control_Achizitii!$B728&gt;=$E$5,Control_Achizitii!$B728&lt;$J$5+1,OR($O$5="Toate proiectele",Control_Achizitii!$Q728=$O$5)),1,0)))</f>
        <v>0</v>
      </c>
      <c r="W728" s="27">
        <f>IF(AND(V728=1,OR(Control_Achizitii!$J728&lt;&gt;"DOSAR COMPLET",Control_Achizitii!$K728&lt;&gt;"")),ROW(),1000000000)</f>
        <v>1000000000</v>
      </c>
      <c r="X728" s="27">
        <f>IF(AND(V728=1,LEFT(Control_Achizitii!$E728,4)="Fact",NOT(ISNUMBER(Control_Achizitii!$P728))),1,0)</f>
        <v>0</v>
      </c>
      <c r="Y728" s="27">
        <f>IF(V728=0,0,IF(Control_Achizitii!$J728="DOSAR COMPLET",1,IF(LEFT(Control_Achizitii!$J728,9)="INCOMPLET",2,3)))</f>
        <v>0</v>
      </c>
      <c r="Z728" s="27"/>
      <c r="AA728" s="27"/>
      <c r="AB728" s="27"/>
      <c r="AC728" s="27"/>
      <c r="AD728" s="27"/>
      <c r="AE728" s="27"/>
      <c r="AF728" s="27"/>
      <c r="AG728" s="27"/>
      <c r="AH728" s="27">
        <f>IF(AND(V728=1,Control_Achizitii!$J728="DOSAR COMPLET",Control_Achizitii!$K728&lt;&gt;""),1,0)</f>
        <v>0</v>
      </c>
    </row>
    <row r="729" spans="1:34">
      <c r="A729" s="27"/>
      <c r="B729" s="27"/>
      <c r="C729" s="27"/>
      <c r="D729" s="27"/>
      <c r="E729" s="27"/>
      <c r="F729" s="27"/>
      <c r="G729" s="27"/>
      <c r="H729" s="27"/>
      <c r="I729" s="27"/>
      <c r="J729" s="27"/>
      <c r="K729" s="27"/>
      <c r="L729" s="27"/>
      <c r="M729" s="27"/>
      <c r="N729" s="27"/>
      <c r="O729" s="27"/>
      <c r="P729" s="27"/>
      <c r="Q729" s="27"/>
      <c r="R729" s="27"/>
      <c r="S729" s="27"/>
      <c r="T729" s="27">
        <f>IF(LEFT(Control_Achizitii!$E729,4)="Fact",1,0)</f>
        <v>0</v>
      </c>
      <c r="U729" s="27">
        <f>IF(Control_Achizitii!$C729="",0,IF(ISNUMBER(Control_Achizitii!$B729),0,1))</f>
        <v>0</v>
      </c>
      <c r="V729" s="27">
        <f>IF(Control_Achizitii!$C729="",0,IF($Z$2&lt;&gt;"OK",0,IF(AND(ISNUMBER(Control_Achizitii!$B729),Control_Achizitii!$B729&gt;=$E$5,Control_Achizitii!$B729&lt;$J$5+1,OR($O$5="Toate proiectele",Control_Achizitii!$Q729=$O$5)),1,0)))</f>
        <v>0</v>
      </c>
      <c r="W729" s="27">
        <f>IF(AND(V729=1,OR(Control_Achizitii!$J729&lt;&gt;"DOSAR COMPLET",Control_Achizitii!$K729&lt;&gt;"")),ROW(),1000000000)</f>
        <v>1000000000</v>
      </c>
      <c r="X729" s="27">
        <f>IF(AND(V729=1,LEFT(Control_Achizitii!$E729,4)="Fact",NOT(ISNUMBER(Control_Achizitii!$P729))),1,0)</f>
        <v>0</v>
      </c>
      <c r="Y729" s="27">
        <f>IF(V729=0,0,IF(Control_Achizitii!$J729="DOSAR COMPLET",1,IF(LEFT(Control_Achizitii!$J729,9)="INCOMPLET",2,3)))</f>
        <v>0</v>
      </c>
      <c r="Z729" s="27"/>
      <c r="AA729" s="27"/>
      <c r="AB729" s="27"/>
      <c r="AC729" s="27"/>
      <c r="AD729" s="27"/>
      <c r="AE729" s="27"/>
      <c r="AF729" s="27"/>
      <c r="AG729" s="27"/>
      <c r="AH729" s="27">
        <f>IF(AND(V729=1,Control_Achizitii!$J729="DOSAR COMPLET",Control_Achizitii!$K729&lt;&gt;""),1,0)</f>
        <v>0</v>
      </c>
    </row>
    <row r="730" spans="1:34">
      <c r="A730" s="27"/>
      <c r="B730" s="27"/>
      <c r="C730" s="27"/>
      <c r="D730" s="27"/>
      <c r="E730" s="27"/>
      <c r="F730" s="27"/>
      <c r="G730" s="27"/>
      <c r="H730" s="27"/>
      <c r="I730" s="27"/>
      <c r="J730" s="27"/>
      <c r="K730" s="27"/>
      <c r="L730" s="27"/>
      <c r="M730" s="27"/>
      <c r="N730" s="27"/>
      <c r="O730" s="27"/>
      <c r="P730" s="27"/>
      <c r="Q730" s="27"/>
      <c r="R730" s="27"/>
      <c r="S730" s="27"/>
      <c r="T730" s="27">
        <f>IF(LEFT(Control_Achizitii!$E730,4)="Fact",1,0)</f>
        <v>0</v>
      </c>
      <c r="U730" s="27">
        <f>IF(Control_Achizitii!$C730="",0,IF(ISNUMBER(Control_Achizitii!$B730),0,1))</f>
        <v>0</v>
      </c>
      <c r="V730" s="27">
        <f>IF(Control_Achizitii!$C730="",0,IF($Z$2&lt;&gt;"OK",0,IF(AND(ISNUMBER(Control_Achizitii!$B730),Control_Achizitii!$B730&gt;=$E$5,Control_Achizitii!$B730&lt;$J$5+1,OR($O$5="Toate proiectele",Control_Achizitii!$Q730=$O$5)),1,0)))</f>
        <v>0</v>
      </c>
      <c r="W730" s="27">
        <f>IF(AND(V730=1,OR(Control_Achizitii!$J730&lt;&gt;"DOSAR COMPLET",Control_Achizitii!$K730&lt;&gt;"")),ROW(),1000000000)</f>
        <v>1000000000</v>
      </c>
      <c r="X730" s="27">
        <f>IF(AND(V730=1,LEFT(Control_Achizitii!$E730,4)="Fact",NOT(ISNUMBER(Control_Achizitii!$P730))),1,0)</f>
        <v>0</v>
      </c>
      <c r="Y730" s="27">
        <f>IF(V730=0,0,IF(Control_Achizitii!$J730="DOSAR COMPLET",1,IF(LEFT(Control_Achizitii!$J730,9)="INCOMPLET",2,3)))</f>
        <v>0</v>
      </c>
      <c r="Z730" s="27"/>
      <c r="AA730" s="27"/>
      <c r="AB730" s="27"/>
      <c r="AC730" s="27"/>
      <c r="AD730" s="27"/>
      <c r="AE730" s="27"/>
      <c r="AF730" s="27"/>
      <c r="AG730" s="27"/>
      <c r="AH730" s="27">
        <f>IF(AND(V730=1,Control_Achizitii!$J730="DOSAR COMPLET",Control_Achizitii!$K730&lt;&gt;""),1,0)</f>
        <v>0</v>
      </c>
    </row>
    <row r="731" spans="1:34">
      <c r="A731" s="27"/>
      <c r="B731" s="27"/>
      <c r="C731" s="27"/>
      <c r="D731" s="27"/>
      <c r="E731" s="27"/>
      <c r="F731" s="27"/>
      <c r="G731" s="27"/>
      <c r="H731" s="27"/>
      <c r="I731" s="27"/>
      <c r="J731" s="27"/>
      <c r="K731" s="27"/>
      <c r="L731" s="27"/>
      <c r="M731" s="27"/>
      <c r="N731" s="27"/>
      <c r="O731" s="27"/>
      <c r="P731" s="27"/>
      <c r="Q731" s="27"/>
      <c r="R731" s="27"/>
      <c r="S731" s="27"/>
      <c r="T731" s="27">
        <f>IF(LEFT(Control_Achizitii!$E731,4)="Fact",1,0)</f>
        <v>0</v>
      </c>
      <c r="U731" s="27">
        <f>IF(Control_Achizitii!$C731="",0,IF(ISNUMBER(Control_Achizitii!$B731),0,1))</f>
        <v>0</v>
      </c>
      <c r="V731" s="27">
        <f>IF(Control_Achizitii!$C731="",0,IF($Z$2&lt;&gt;"OK",0,IF(AND(ISNUMBER(Control_Achizitii!$B731),Control_Achizitii!$B731&gt;=$E$5,Control_Achizitii!$B731&lt;$J$5+1,OR($O$5="Toate proiectele",Control_Achizitii!$Q731=$O$5)),1,0)))</f>
        <v>0</v>
      </c>
      <c r="W731" s="27">
        <f>IF(AND(V731=1,OR(Control_Achizitii!$J731&lt;&gt;"DOSAR COMPLET",Control_Achizitii!$K731&lt;&gt;"")),ROW(),1000000000)</f>
        <v>1000000000</v>
      </c>
      <c r="X731" s="27">
        <f>IF(AND(V731=1,LEFT(Control_Achizitii!$E731,4)="Fact",NOT(ISNUMBER(Control_Achizitii!$P731))),1,0)</f>
        <v>0</v>
      </c>
      <c r="Y731" s="27">
        <f>IF(V731=0,0,IF(Control_Achizitii!$J731="DOSAR COMPLET",1,IF(LEFT(Control_Achizitii!$J731,9)="INCOMPLET",2,3)))</f>
        <v>0</v>
      </c>
      <c r="Z731" s="27"/>
      <c r="AA731" s="27"/>
      <c r="AB731" s="27"/>
      <c r="AC731" s="27"/>
      <c r="AD731" s="27"/>
      <c r="AE731" s="27"/>
      <c r="AF731" s="27"/>
      <c r="AG731" s="27"/>
      <c r="AH731" s="27">
        <f>IF(AND(V731=1,Control_Achizitii!$J731="DOSAR COMPLET",Control_Achizitii!$K731&lt;&gt;""),1,0)</f>
        <v>0</v>
      </c>
    </row>
    <row r="732" spans="1:34">
      <c r="A732" s="27"/>
      <c r="B732" s="27"/>
      <c r="C732" s="27"/>
      <c r="D732" s="27"/>
      <c r="E732" s="27"/>
      <c r="F732" s="27"/>
      <c r="G732" s="27"/>
      <c r="H732" s="27"/>
      <c r="I732" s="27"/>
      <c r="J732" s="27"/>
      <c r="K732" s="27"/>
      <c r="L732" s="27"/>
      <c r="M732" s="27"/>
      <c r="N732" s="27"/>
      <c r="O732" s="27"/>
      <c r="P732" s="27"/>
      <c r="Q732" s="27"/>
      <c r="R732" s="27"/>
      <c r="S732" s="27"/>
      <c r="T732" s="27">
        <f>IF(LEFT(Control_Achizitii!$E732,4)="Fact",1,0)</f>
        <v>0</v>
      </c>
      <c r="U732" s="27">
        <f>IF(Control_Achizitii!$C732="",0,IF(ISNUMBER(Control_Achizitii!$B732),0,1))</f>
        <v>0</v>
      </c>
      <c r="V732" s="27">
        <f>IF(Control_Achizitii!$C732="",0,IF($Z$2&lt;&gt;"OK",0,IF(AND(ISNUMBER(Control_Achizitii!$B732),Control_Achizitii!$B732&gt;=$E$5,Control_Achizitii!$B732&lt;$J$5+1,OR($O$5="Toate proiectele",Control_Achizitii!$Q732=$O$5)),1,0)))</f>
        <v>0</v>
      </c>
      <c r="W732" s="27">
        <f>IF(AND(V732=1,OR(Control_Achizitii!$J732&lt;&gt;"DOSAR COMPLET",Control_Achizitii!$K732&lt;&gt;"")),ROW(),1000000000)</f>
        <v>1000000000</v>
      </c>
      <c r="X732" s="27">
        <f>IF(AND(V732=1,LEFT(Control_Achizitii!$E732,4)="Fact",NOT(ISNUMBER(Control_Achizitii!$P732))),1,0)</f>
        <v>0</v>
      </c>
      <c r="Y732" s="27">
        <f>IF(V732=0,0,IF(Control_Achizitii!$J732="DOSAR COMPLET",1,IF(LEFT(Control_Achizitii!$J732,9)="INCOMPLET",2,3)))</f>
        <v>0</v>
      </c>
      <c r="Z732" s="27"/>
      <c r="AA732" s="27"/>
      <c r="AB732" s="27"/>
      <c r="AC732" s="27"/>
      <c r="AD732" s="27"/>
      <c r="AE732" s="27"/>
      <c r="AF732" s="27"/>
      <c r="AG732" s="27"/>
      <c r="AH732" s="27">
        <f>IF(AND(V732=1,Control_Achizitii!$J732="DOSAR COMPLET",Control_Achizitii!$K732&lt;&gt;""),1,0)</f>
        <v>0</v>
      </c>
    </row>
    <row r="733" spans="1:34">
      <c r="A733" s="27"/>
      <c r="B733" s="27"/>
      <c r="C733" s="27"/>
      <c r="D733" s="27"/>
      <c r="E733" s="27"/>
      <c r="F733" s="27"/>
      <c r="G733" s="27"/>
      <c r="H733" s="27"/>
      <c r="I733" s="27"/>
      <c r="J733" s="27"/>
      <c r="K733" s="27"/>
      <c r="L733" s="27"/>
      <c r="M733" s="27"/>
      <c r="N733" s="27"/>
      <c r="O733" s="27"/>
      <c r="P733" s="27"/>
      <c r="Q733" s="27"/>
      <c r="R733" s="27"/>
      <c r="S733" s="27"/>
      <c r="T733" s="27">
        <f>IF(LEFT(Control_Achizitii!$E733,4)="Fact",1,0)</f>
        <v>0</v>
      </c>
      <c r="U733" s="27">
        <f>IF(Control_Achizitii!$C733="",0,IF(ISNUMBER(Control_Achizitii!$B733),0,1))</f>
        <v>0</v>
      </c>
      <c r="V733" s="27">
        <f>IF(Control_Achizitii!$C733="",0,IF($Z$2&lt;&gt;"OK",0,IF(AND(ISNUMBER(Control_Achizitii!$B733),Control_Achizitii!$B733&gt;=$E$5,Control_Achizitii!$B733&lt;$J$5+1,OR($O$5="Toate proiectele",Control_Achizitii!$Q733=$O$5)),1,0)))</f>
        <v>0</v>
      </c>
      <c r="W733" s="27">
        <f>IF(AND(V733=1,OR(Control_Achizitii!$J733&lt;&gt;"DOSAR COMPLET",Control_Achizitii!$K733&lt;&gt;"")),ROW(),1000000000)</f>
        <v>1000000000</v>
      </c>
      <c r="X733" s="27">
        <f>IF(AND(V733=1,LEFT(Control_Achizitii!$E733,4)="Fact",NOT(ISNUMBER(Control_Achizitii!$P733))),1,0)</f>
        <v>0</v>
      </c>
      <c r="Y733" s="27">
        <f>IF(V733=0,0,IF(Control_Achizitii!$J733="DOSAR COMPLET",1,IF(LEFT(Control_Achizitii!$J733,9)="INCOMPLET",2,3)))</f>
        <v>0</v>
      </c>
      <c r="Z733" s="27"/>
      <c r="AA733" s="27"/>
      <c r="AB733" s="27"/>
      <c r="AC733" s="27"/>
      <c r="AD733" s="27"/>
      <c r="AE733" s="27"/>
      <c r="AF733" s="27"/>
      <c r="AG733" s="27"/>
      <c r="AH733" s="27">
        <f>IF(AND(V733=1,Control_Achizitii!$J733="DOSAR COMPLET",Control_Achizitii!$K733&lt;&gt;""),1,0)</f>
        <v>0</v>
      </c>
    </row>
    <row r="734" spans="1:34">
      <c r="A734" s="27"/>
      <c r="B734" s="27"/>
      <c r="C734" s="27"/>
      <c r="D734" s="27"/>
      <c r="E734" s="27"/>
      <c r="F734" s="27"/>
      <c r="G734" s="27"/>
      <c r="H734" s="27"/>
      <c r="I734" s="27"/>
      <c r="J734" s="27"/>
      <c r="K734" s="27"/>
      <c r="L734" s="27"/>
      <c r="M734" s="27"/>
      <c r="N734" s="27"/>
      <c r="O734" s="27"/>
      <c r="P734" s="27"/>
      <c r="Q734" s="27"/>
      <c r="R734" s="27"/>
      <c r="S734" s="27"/>
      <c r="T734" s="27">
        <f>IF(LEFT(Control_Achizitii!$E734,4)="Fact",1,0)</f>
        <v>0</v>
      </c>
      <c r="U734" s="27">
        <f>IF(Control_Achizitii!$C734="",0,IF(ISNUMBER(Control_Achizitii!$B734),0,1))</f>
        <v>0</v>
      </c>
      <c r="V734" s="27">
        <f>IF(Control_Achizitii!$C734="",0,IF($Z$2&lt;&gt;"OK",0,IF(AND(ISNUMBER(Control_Achizitii!$B734),Control_Achizitii!$B734&gt;=$E$5,Control_Achizitii!$B734&lt;$J$5+1,OR($O$5="Toate proiectele",Control_Achizitii!$Q734=$O$5)),1,0)))</f>
        <v>0</v>
      </c>
      <c r="W734" s="27">
        <f>IF(AND(V734=1,OR(Control_Achizitii!$J734&lt;&gt;"DOSAR COMPLET",Control_Achizitii!$K734&lt;&gt;"")),ROW(),1000000000)</f>
        <v>1000000000</v>
      </c>
      <c r="X734" s="27">
        <f>IF(AND(V734=1,LEFT(Control_Achizitii!$E734,4)="Fact",NOT(ISNUMBER(Control_Achizitii!$P734))),1,0)</f>
        <v>0</v>
      </c>
      <c r="Y734" s="27">
        <f>IF(V734=0,0,IF(Control_Achizitii!$J734="DOSAR COMPLET",1,IF(LEFT(Control_Achizitii!$J734,9)="INCOMPLET",2,3)))</f>
        <v>0</v>
      </c>
      <c r="Z734" s="27"/>
      <c r="AA734" s="27"/>
      <c r="AB734" s="27"/>
      <c r="AC734" s="27"/>
      <c r="AD734" s="27"/>
      <c r="AE734" s="27"/>
      <c r="AF734" s="27"/>
      <c r="AG734" s="27"/>
      <c r="AH734" s="27">
        <f>IF(AND(V734=1,Control_Achizitii!$J734="DOSAR COMPLET",Control_Achizitii!$K734&lt;&gt;""),1,0)</f>
        <v>0</v>
      </c>
    </row>
    <row r="735" spans="1:34">
      <c r="A735" s="27"/>
      <c r="B735" s="27"/>
      <c r="C735" s="27"/>
      <c r="D735" s="27"/>
      <c r="E735" s="27"/>
      <c r="F735" s="27"/>
      <c r="G735" s="27"/>
      <c r="H735" s="27"/>
      <c r="I735" s="27"/>
      <c r="J735" s="27"/>
      <c r="K735" s="27"/>
      <c r="L735" s="27"/>
      <c r="M735" s="27"/>
      <c r="N735" s="27"/>
      <c r="O735" s="27"/>
      <c r="P735" s="27"/>
      <c r="Q735" s="27"/>
      <c r="R735" s="27"/>
      <c r="S735" s="27"/>
      <c r="T735" s="27">
        <f>IF(LEFT(Control_Achizitii!$E735,4)="Fact",1,0)</f>
        <v>0</v>
      </c>
      <c r="U735" s="27">
        <f>IF(Control_Achizitii!$C735="",0,IF(ISNUMBER(Control_Achizitii!$B735),0,1))</f>
        <v>0</v>
      </c>
      <c r="V735" s="27">
        <f>IF(Control_Achizitii!$C735="",0,IF($Z$2&lt;&gt;"OK",0,IF(AND(ISNUMBER(Control_Achizitii!$B735),Control_Achizitii!$B735&gt;=$E$5,Control_Achizitii!$B735&lt;$J$5+1,OR($O$5="Toate proiectele",Control_Achizitii!$Q735=$O$5)),1,0)))</f>
        <v>0</v>
      </c>
      <c r="W735" s="27">
        <f>IF(AND(V735=1,OR(Control_Achizitii!$J735&lt;&gt;"DOSAR COMPLET",Control_Achizitii!$K735&lt;&gt;"")),ROW(),1000000000)</f>
        <v>1000000000</v>
      </c>
      <c r="X735" s="27">
        <f>IF(AND(V735=1,LEFT(Control_Achizitii!$E735,4)="Fact",NOT(ISNUMBER(Control_Achizitii!$P735))),1,0)</f>
        <v>0</v>
      </c>
      <c r="Y735" s="27">
        <f>IF(V735=0,0,IF(Control_Achizitii!$J735="DOSAR COMPLET",1,IF(LEFT(Control_Achizitii!$J735,9)="INCOMPLET",2,3)))</f>
        <v>0</v>
      </c>
      <c r="Z735" s="27"/>
      <c r="AA735" s="27"/>
      <c r="AB735" s="27"/>
      <c r="AC735" s="27"/>
      <c r="AD735" s="27"/>
      <c r="AE735" s="27"/>
      <c r="AF735" s="27"/>
      <c r="AG735" s="27"/>
      <c r="AH735" s="27">
        <f>IF(AND(V735=1,Control_Achizitii!$J735="DOSAR COMPLET",Control_Achizitii!$K735&lt;&gt;""),1,0)</f>
        <v>0</v>
      </c>
    </row>
    <row r="736" spans="1:34">
      <c r="A736" s="27"/>
      <c r="B736" s="27"/>
      <c r="C736" s="27"/>
      <c r="D736" s="27"/>
      <c r="E736" s="27"/>
      <c r="F736" s="27"/>
      <c r="G736" s="27"/>
      <c r="H736" s="27"/>
      <c r="I736" s="27"/>
      <c r="J736" s="27"/>
      <c r="K736" s="27"/>
      <c r="L736" s="27"/>
      <c r="M736" s="27"/>
      <c r="N736" s="27"/>
      <c r="O736" s="27"/>
      <c r="P736" s="27"/>
      <c r="Q736" s="27"/>
      <c r="R736" s="27"/>
      <c r="S736" s="27"/>
      <c r="T736" s="27">
        <f>IF(LEFT(Control_Achizitii!$E736,4)="Fact",1,0)</f>
        <v>0</v>
      </c>
      <c r="U736" s="27">
        <f>IF(Control_Achizitii!$C736="",0,IF(ISNUMBER(Control_Achizitii!$B736),0,1))</f>
        <v>0</v>
      </c>
      <c r="V736" s="27">
        <f>IF(Control_Achizitii!$C736="",0,IF($Z$2&lt;&gt;"OK",0,IF(AND(ISNUMBER(Control_Achizitii!$B736),Control_Achizitii!$B736&gt;=$E$5,Control_Achizitii!$B736&lt;$J$5+1,OR($O$5="Toate proiectele",Control_Achizitii!$Q736=$O$5)),1,0)))</f>
        <v>0</v>
      </c>
      <c r="W736" s="27">
        <f>IF(AND(V736=1,OR(Control_Achizitii!$J736&lt;&gt;"DOSAR COMPLET",Control_Achizitii!$K736&lt;&gt;"")),ROW(),1000000000)</f>
        <v>1000000000</v>
      </c>
      <c r="X736" s="27">
        <f>IF(AND(V736=1,LEFT(Control_Achizitii!$E736,4)="Fact",NOT(ISNUMBER(Control_Achizitii!$P736))),1,0)</f>
        <v>0</v>
      </c>
      <c r="Y736" s="27">
        <f>IF(V736=0,0,IF(Control_Achizitii!$J736="DOSAR COMPLET",1,IF(LEFT(Control_Achizitii!$J736,9)="INCOMPLET",2,3)))</f>
        <v>0</v>
      </c>
      <c r="Z736" s="27"/>
      <c r="AA736" s="27"/>
      <c r="AB736" s="27"/>
      <c r="AC736" s="27"/>
      <c r="AD736" s="27"/>
      <c r="AE736" s="27"/>
      <c r="AF736" s="27"/>
      <c r="AG736" s="27"/>
      <c r="AH736" s="27">
        <f>IF(AND(V736=1,Control_Achizitii!$J736="DOSAR COMPLET",Control_Achizitii!$K736&lt;&gt;""),1,0)</f>
        <v>0</v>
      </c>
    </row>
    <row r="737" spans="1:34">
      <c r="A737" s="27"/>
      <c r="B737" s="27"/>
      <c r="C737" s="27"/>
      <c r="D737" s="27"/>
      <c r="E737" s="27"/>
      <c r="F737" s="27"/>
      <c r="G737" s="27"/>
      <c r="H737" s="27"/>
      <c r="I737" s="27"/>
      <c r="J737" s="27"/>
      <c r="K737" s="27"/>
      <c r="L737" s="27"/>
      <c r="M737" s="27"/>
      <c r="N737" s="27"/>
      <c r="O737" s="27"/>
      <c r="P737" s="27"/>
      <c r="Q737" s="27"/>
      <c r="R737" s="27"/>
      <c r="S737" s="27"/>
      <c r="T737" s="27">
        <f>IF(LEFT(Control_Achizitii!$E737,4)="Fact",1,0)</f>
        <v>0</v>
      </c>
      <c r="U737" s="27">
        <f>IF(Control_Achizitii!$C737="",0,IF(ISNUMBER(Control_Achizitii!$B737),0,1))</f>
        <v>0</v>
      </c>
      <c r="V737" s="27">
        <f>IF(Control_Achizitii!$C737="",0,IF($Z$2&lt;&gt;"OK",0,IF(AND(ISNUMBER(Control_Achizitii!$B737),Control_Achizitii!$B737&gt;=$E$5,Control_Achizitii!$B737&lt;$J$5+1,OR($O$5="Toate proiectele",Control_Achizitii!$Q737=$O$5)),1,0)))</f>
        <v>0</v>
      </c>
      <c r="W737" s="27">
        <f>IF(AND(V737=1,OR(Control_Achizitii!$J737&lt;&gt;"DOSAR COMPLET",Control_Achizitii!$K737&lt;&gt;"")),ROW(),1000000000)</f>
        <v>1000000000</v>
      </c>
      <c r="X737" s="27">
        <f>IF(AND(V737=1,LEFT(Control_Achizitii!$E737,4)="Fact",NOT(ISNUMBER(Control_Achizitii!$P737))),1,0)</f>
        <v>0</v>
      </c>
      <c r="Y737" s="27">
        <f>IF(V737=0,0,IF(Control_Achizitii!$J737="DOSAR COMPLET",1,IF(LEFT(Control_Achizitii!$J737,9)="INCOMPLET",2,3)))</f>
        <v>0</v>
      </c>
      <c r="Z737" s="27"/>
      <c r="AA737" s="27"/>
      <c r="AB737" s="27"/>
      <c r="AC737" s="27"/>
      <c r="AD737" s="27"/>
      <c r="AE737" s="27"/>
      <c r="AF737" s="27"/>
      <c r="AG737" s="27"/>
      <c r="AH737" s="27">
        <f>IF(AND(V737=1,Control_Achizitii!$J737="DOSAR COMPLET",Control_Achizitii!$K737&lt;&gt;""),1,0)</f>
        <v>0</v>
      </c>
    </row>
    <row r="738" spans="1:34">
      <c r="A738" s="27"/>
      <c r="B738" s="27"/>
      <c r="C738" s="27"/>
      <c r="D738" s="27"/>
      <c r="E738" s="27"/>
      <c r="F738" s="27"/>
      <c r="G738" s="27"/>
      <c r="H738" s="27"/>
      <c r="I738" s="27"/>
      <c r="J738" s="27"/>
      <c r="K738" s="27"/>
      <c r="L738" s="27"/>
      <c r="M738" s="27"/>
      <c r="N738" s="27"/>
      <c r="O738" s="27"/>
      <c r="P738" s="27"/>
      <c r="Q738" s="27"/>
      <c r="R738" s="27"/>
      <c r="S738" s="27"/>
      <c r="T738" s="27">
        <f>IF(LEFT(Control_Achizitii!$E738,4)="Fact",1,0)</f>
        <v>0</v>
      </c>
      <c r="U738" s="27">
        <f>IF(Control_Achizitii!$C738="",0,IF(ISNUMBER(Control_Achizitii!$B738),0,1))</f>
        <v>0</v>
      </c>
      <c r="V738" s="27">
        <f>IF(Control_Achizitii!$C738="",0,IF($Z$2&lt;&gt;"OK",0,IF(AND(ISNUMBER(Control_Achizitii!$B738),Control_Achizitii!$B738&gt;=$E$5,Control_Achizitii!$B738&lt;$J$5+1,OR($O$5="Toate proiectele",Control_Achizitii!$Q738=$O$5)),1,0)))</f>
        <v>0</v>
      </c>
      <c r="W738" s="27">
        <f>IF(AND(V738=1,OR(Control_Achizitii!$J738&lt;&gt;"DOSAR COMPLET",Control_Achizitii!$K738&lt;&gt;"")),ROW(),1000000000)</f>
        <v>1000000000</v>
      </c>
      <c r="X738" s="27">
        <f>IF(AND(V738=1,LEFT(Control_Achizitii!$E738,4)="Fact",NOT(ISNUMBER(Control_Achizitii!$P738))),1,0)</f>
        <v>0</v>
      </c>
      <c r="Y738" s="27">
        <f>IF(V738=0,0,IF(Control_Achizitii!$J738="DOSAR COMPLET",1,IF(LEFT(Control_Achizitii!$J738,9)="INCOMPLET",2,3)))</f>
        <v>0</v>
      </c>
      <c r="Z738" s="27"/>
      <c r="AA738" s="27"/>
      <c r="AB738" s="27"/>
      <c r="AC738" s="27"/>
      <c r="AD738" s="27"/>
      <c r="AE738" s="27"/>
      <c r="AF738" s="27"/>
      <c r="AG738" s="27"/>
      <c r="AH738" s="27">
        <f>IF(AND(V738=1,Control_Achizitii!$J738="DOSAR COMPLET",Control_Achizitii!$K738&lt;&gt;""),1,0)</f>
        <v>0</v>
      </c>
    </row>
    <row r="739" spans="1:34">
      <c r="A739" s="27"/>
      <c r="B739" s="27"/>
      <c r="C739" s="27"/>
      <c r="D739" s="27"/>
      <c r="E739" s="27"/>
      <c r="F739" s="27"/>
      <c r="G739" s="27"/>
      <c r="H739" s="27"/>
      <c r="I739" s="27"/>
      <c r="J739" s="27"/>
      <c r="K739" s="27"/>
      <c r="L739" s="27"/>
      <c r="M739" s="27"/>
      <c r="N739" s="27"/>
      <c r="O739" s="27"/>
      <c r="P739" s="27"/>
      <c r="Q739" s="27"/>
      <c r="R739" s="27"/>
      <c r="S739" s="27"/>
      <c r="T739" s="27">
        <f>IF(LEFT(Control_Achizitii!$E739,4)="Fact",1,0)</f>
        <v>0</v>
      </c>
      <c r="U739" s="27">
        <f>IF(Control_Achizitii!$C739="",0,IF(ISNUMBER(Control_Achizitii!$B739),0,1))</f>
        <v>0</v>
      </c>
      <c r="V739" s="27">
        <f>IF(Control_Achizitii!$C739="",0,IF($Z$2&lt;&gt;"OK",0,IF(AND(ISNUMBER(Control_Achizitii!$B739),Control_Achizitii!$B739&gt;=$E$5,Control_Achizitii!$B739&lt;$J$5+1,OR($O$5="Toate proiectele",Control_Achizitii!$Q739=$O$5)),1,0)))</f>
        <v>0</v>
      </c>
      <c r="W739" s="27">
        <f>IF(AND(V739=1,OR(Control_Achizitii!$J739&lt;&gt;"DOSAR COMPLET",Control_Achizitii!$K739&lt;&gt;"")),ROW(),1000000000)</f>
        <v>1000000000</v>
      </c>
      <c r="X739" s="27">
        <f>IF(AND(V739=1,LEFT(Control_Achizitii!$E739,4)="Fact",NOT(ISNUMBER(Control_Achizitii!$P739))),1,0)</f>
        <v>0</v>
      </c>
      <c r="Y739" s="27">
        <f>IF(V739=0,0,IF(Control_Achizitii!$J739="DOSAR COMPLET",1,IF(LEFT(Control_Achizitii!$J739,9)="INCOMPLET",2,3)))</f>
        <v>0</v>
      </c>
      <c r="Z739" s="27"/>
      <c r="AA739" s="27"/>
      <c r="AB739" s="27"/>
      <c r="AC739" s="27"/>
      <c r="AD739" s="27"/>
      <c r="AE739" s="27"/>
      <c r="AF739" s="27"/>
      <c r="AG739" s="27"/>
      <c r="AH739" s="27">
        <f>IF(AND(V739=1,Control_Achizitii!$J739="DOSAR COMPLET",Control_Achizitii!$K739&lt;&gt;""),1,0)</f>
        <v>0</v>
      </c>
    </row>
    <row r="740" spans="1:34">
      <c r="A740" s="27"/>
      <c r="B740" s="27"/>
      <c r="C740" s="27"/>
      <c r="D740" s="27"/>
      <c r="E740" s="27"/>
      <c r="F740" s="27"/>
      <c r="G740" s="27"/>
      <c r="H740" s="27"/>
      <c r="I740" s="27"/>
      <c r="J740" s="27"/>
      <c r="K740" s="27"/>
      <c r="L740" s="27"/>
      <c r="M740" s="27"/>
      <c r="N740" s="27"/>
      <c r="O740" s="27"/>
      <c r="P740" s="27"/>
      <c r="Q740" s="27"/>
      <c r="R740" s="27"/>
      <c r="S740" s="27"/>
      <c r="T740" s="27">
        <f>IF(LEFT(Control_Achizitii!$E740,4)="Fact",1,0)</f>
        <v>0</v>
      </c>
      <c r="U740" s="27">
        <f>IF(Control_Achizitii!$C740="",0,IF(ISNUMBER(Control_Achizitii!$B740),0,1))</f>
        <v>0</v>
      </c>
      <c r="V740" s="27">
        <f>IF(Control_Achizitii!$C740="",0,IF($Z$2&lt;&gt;"OK",0,IF(AND(ISNUMBER(Control_Achizitii!$B740),Control_Achizitii!$B740&gt;=$E$5,Control_Achizitii!$B740&lt;$J$5+1,OR($O$5="Toate proiectele",Control_Achizitii!$Q740=$O$5)),1,0)))</f>
        <v>0</v>
      </c>
      <c r="W740" s="27">
        <f>IF(AND(V740=1,OR(Control_Achizitii!$J740&lt;&gt;"DOSAR COMPLET",Control_Achizitii!$K740&lt;&gt;"")),ROW(),1000000000)</f>
        <v>1000000000</v>
      </c>
      <c r="X740" s="27">
        <f>IF(AND(V740=1,LEFT(Control_Achizitii!$E740,4)="Fact",NOT(ISNUMBER(Control_Achizitii!$P740))),1,0)</f>
        <v>0</v>
      </c>
      <c r="Y740" s="27">
        <f>IF(V740=0,0,IF(Control_Achizitii!$J740="DOSAR COMPLET",1,IF(LEFT(Control_Achizitii!$J740,9)="INCOMPLET",2,3)))</f>
        <v>0</v>
      </c>
      <c r="Z740" s="27"/>
      <c r="AA740" s="27"/>
      <c r="AB740" s="27"/>
      <c r="AC740" s="27"/>
      <c r="AD740" s="27"/>
      <c r="AE740" s="27"/>
      <c r="AF740" s="27"/>
      <c r="AG740" s="27"/>
      <c r="AH740" s="27">
        <f>IF(AND(V740=1,Control_Achizitii!$J740="DOSAR COMPLET",Control_Achizitii!$K740&lt;&gt;""),1,0)</f>
        <v>0</v>
      </c>
    </row>
    <row r="741" spans="1:34">
      <c r="A741" s="27"/>
      <c r="B741" s="27"/>
      <c r="C741" s="27"/>
      <c r="D741" s="27"/>
      <c r="E741" s="27"/>
      <c r="F741" s="27"/>
      <c r="G741" s="27"/>
      <c r="H741" s="27"/>
      <c r="I741" s="27"/>
      <c r="J741" s="27"/>
      <c r="K741" s="27"/>
      <c r="L741" s="27"/>
      <c r="M741" s="27"/>
      <c r="N741" s="27"/>
      <c r="O741" s="27"/>
      <c r="P741" s="27"/>
      <c r="Q741" s="27"/>
      <c r="R741" s="27"/>
      <c r="S741" s="27"/>
      <c r="T741" s="27">
        <f>IF(LEFT(Control_Achizitii!$E741,4)="Fact",1,0)</f>
        <v>0</v>
      </c>
      <c r="U741" s="27">
        <f>IF(Control_Achizitii!$C741="",0,IF(ISNUMBER(Control_Achizitii!$B741),0,1))</f>
        <v>0</v>
      </c>
      <c r="V741" s="27">
        <f>IF(Control_Achizitii!$C741="",0,IF($Z$2&lt;&gt;"OK",0,IF(AND(ISNUMBER(Control_Achizitii!$B741),Control_Achizitii!$B741&gt;=$E$5,Control_Achizitii!$B741&lt;$J$5+1,OR($O$5="Toate proiectele",Control_Achizitii!$Q741=$O$5)),1,0)))</f>
        <v>0</v>
      </c>
      <c r="W741" s="27">
        <f>IF(AND(V741=1,OR(Control_Achizitii!$J741&lt;&gt;"DOSAR COMPLET",Control_Achizitii!$K741&lt;&gt;"")),ROW(),1000000000)</f>
        <v>1000000000</v>
      </c>
      <c r="X741" s="27">
        <f>IF(AND(V741=1,LEFT(Control_Achizitii!$E741,4)="Fact",NOT(ISNUMBER(Control_Achizitii!$P741))),1,0)</f>
        <v>0</v>
      </c>
      <c r="Y741" s="27">
        <f>IF(V741=0,0,IF(Control_Achizitii!$J741="DOSAR COMPLET",1,IF(LEFT(Control_Achizitii!$J741,9)="INCOMPLET",2,3)))</f>
        <v>0</v>
      </c>
      <c r="Z741" s="27"/>
      <c r="AA741" s="27"/>
      <c r="AB741" s="27"/>
      <c r="AC741" s="27"/>
      <c r="AD741" s="27"/>
      <c r="AE741" s="27"/>
      <c r="AF741" s="27"/>
      <c r="AG741" s="27"/>
      <c r="AH741" s="27">
        <f>IF(AND(V741=1,Control_Achizitii!$J741="DOSAR COMPLET",Control_Achizitii!$K741&lt;&gt;""),1,0)</f>
        <v>0</v>
      </c>
    </row>
    <row r="742" spans="1:34">
      <c r="A742" s="27"/>
      <c r="B742" s="27"/>
      <c r="C742" s="27"/>
      <c r="D742" s="27"/>
      <c r="E742" s="27"/>
      <c r="F742" s="27"/>
      <c r="G742" s="27"/>
      <c r="H742" s="27"/>
      <c r="I742" s="27"/>
      <c r="J742" s="27"/>
      <c r="K742" s="27"/>
      <c r="L742" s="27"/>
      <c r="M742" s="27"/>
      <c r="N742" s="27"/>
      <c r="O742" s="27"/>
      <c r="P742" s="27"/>
      <c r="Q742" s="27"/>
      <c r="R742" s="27"/>
      <c r="S742" s="27"/>
      <c r="T742" s="27">
        <f>IF(LEFT(Control_Achizitii!$E742,4)="Fact",1,0)</f>
        <v>0</v>
      </c>
      <c r="U742" s="27">
        <f>IF(Control_Achizitii!$C742="",0,IF(ISNUMBER(Control_Achizitii!$B742),0,1))</f>
        <v>0</v>
      </c>
      <c r="V742" s="27">
        <f>IF(Control_Achizitii!$C742="",0,IF($Z$2&lt;&gt;"OK",0,IF(AND(ISNUMBER(Control_Achizitii!$B742),Control_Achizitii!$B742&gt;=$E$5,Control_Achizitii!$B742&lt;$J$5+1,OR($O$5="Toate proiectele",Control_Achizitii!$Q742=$O$5)),1,0)))</f>
        <v>0</v>
      </c>
      <c r="W742" s="27">
        <f>IF(AND(V742=1,OR(Control_Achizitii!$J742&lt;&gt;"DOSAR COMPLET",Control_Achizitii!$K742&lt;&gt;"")),ROW(),1000000000)</f>
        <v>1000000000</v>
      </c>
      <c r="X742" s="27">
        <f>IF(AND(V742=1,LEFT(Control_Achizitii!$E742,4)="Fact",NOT(ISNUMBER(Control_Achizitii!$P742))),1,0)</f>
        <v>0</v>
      </c>
      <c r="Y742" s="27">
        <f>IF(V742=0,0,IF(Control_Achizitii!$J742="DOSAR COMPLET",1,IF(LEFT(Control_Achizitii!$J742,9)="INCOMPLET",2,3)))</f>
        <v>0</v>
      </c>
      <c r="Z742" s="27"/>
      <c r="AA742" s="27"/>
      <c r="AB742" s="27"/>
      <c r="AC742" s="27"/>
      <c r="AD742" s="27"/>
      <c r="AE742" s="27"/>
      <c r="AF742" s="27"/>
      <c r="AG742" s="27"/>
      <c r="AH742" s="27">
        <f>IF(AND(V742=1,Control_Achizitii!$J742="DOSAR COMPLET",Control_Achizitii!$K742&lt;&gt;""),1,0)</f>
        <v>0</v>
      </c>
    </row>
    <row r="743" spans="1:34">
      <c r="A743" s="27"/>
      <c r="B743" s="27"/>
      <c r="C743" s="27"/>
      <c r="D743" s="27"/>
      <c r="E743" s="27"/>
      <c r="F743" s="27"/>
      <c r="G743" s="27"/>
      <c r="H743" s="27"/>
      <c r="I743" s="27"/>
      <c r="J743" s="27"/>
      <c r="K743" s="27"/>
      <c r="L743" s="27"/>
      <c r="M743" s="27"/>
      <c r="N743" s="27"/>
      <c r="O743" s="27"/>
      <c r="P743" s="27"/>
      <c r="Q743" s="27"/>
      <c r="R743" s="27"/>
      <c r="S743" s="27"/>
      <c r="T743" s="27">
        <f>IF(LEFT(Control_Achizitii!$E743,4)="Fact",1,0)</f>
        <v>0</v>
      </c>
      <c r="U743" s="27">
        <f>IF(Control_Achizitii!$C743="",0,IF(ISNUMBER(Control_Achizitii!$B743),0,1))</f>
        <v>0</v>
      </c>
      <c r="V743" s="27">
        <f>IF(Control_Achizitii!$C743="",0,IF($Z$2&lt;&gt;"OK",0,IF(AND(ISNUMBER(Control_Achizitii!$B743),Control_Achizitii!$B743&gt;=$E$5,Control_Achizitii!$B743&lt;$J$5+1,OR($O$5="Toate proiectele",Control_Achizitii!$Q743=$O$5)),1,0)))</f>
        <v>0</v>
      </c>
      <c r="W743" s="27">
        <f>IF(AND(V743=1,OR(Control_Achizitii!$J743&lt;&gt;"DOSAR COMPLET",Control_Achizitii!$K743&lt;&gt;"")),ROW(),1000000000)</f>
        <v>1000000000</v>
      </c>
      <c r="X743" s="27">
        <f>IF(AND(V743=1,LEFT(Control_Achizitii!$E743,4)="Fact",NOT(ISNUMBER(Control_Achizitii!$P743))),1,0)</f>
        <v>0</v>
      </c>
      <c r="Y743" s="27">
        <f>IF(V743=0,0,IF(Control_Achizitii!$J743="DOSAR COMPLET",1,IF(LEFT(Control_Achizitii!$J743,9)="INCOMPLET",2,3)))</f>
        <v>0</v>
      </c>
      <c r="Z743" s="27"/>
      <c r="AA743" s="27"/>
      <c r="AB743" s="27"/>
      <c r="AC743" s="27"/>
      <c r="AD743" s="27"/>
      <c r="AE743" s="27"/>
      <c r="AF743" s="27"/>
      <c r="AG743" s="27"/>
      <c r="AH743" s="27">
        <f>IF(AND(V743=1,Control_Achizitii!$J743="DOSAR COMPLET",Control_Achizitii!$K743&lt;&gt;""),1,0)</f>
        <v>0</v>
      </c>
    </row>
    <row r="744" spans="1:34">
      <c r="A744" s="27"/>
      <c r="B744" s="27"/>
      <c r="C744" s="27"/>
      <c r="D744" s="27"/>
      <c r="E744" s="27"/>
      <c r="F744" s="27"/>
      <c r="G744" s="27"/>
      <c r="H744" s="27"/>
      <c r="I744" s="27"/>
      <c r="J744" s="27"/>
      <c r="K744" s="27"/>
      <c r="L744" s="27"/>
      <c r="M744" s="27"/>
      <c r="N744" s="27"/>
      <c r="O744" s="27"/>
      <c r="P744" s="27"/>
      <c r="Q744" s="27"/>
      <c r="R744" s="27"/>
      <c r="S744" s="27"/>
      <c r="T744" s="27">
        <f>IF(LEFT(Control_Achizitii!$E744,4)="Fact",1,0)</f>
        <v>0</v>
      </c>
      <c r="U744" s="27">
        <f>IF(Control_Achizitii!$C744="",0,IF(ISNUMBER(Control_Achizitii!$B744),0,1))</f>
        <v>0</v>
      </c>
      <c r="V744" s="27">
        <f>IF(Control_Achizitii!$C744="",0,IF($Z$2&lt;&gt;"OK",0,IF(AND(ISNUMBER(Control_Achizitii!$B744),Control_Achizitii!$B744&gt;=$E$5,Control_Achizitii!$B744&lt;$J$5+1,OR($O$5="Toate proiectele",Control_Achizitii!$Q744=$O$5)),1,0)))</f>
        <v>0</v>
      </c>
      <c r="W744" s="27">
        <f>IF(AND(V744=1,OR(Control_Achizitii!$J744&lt;&gt;"DOSAR COMPLET",Control_Achizitii!$K744&lt;&gt;"")),ROW(),1000000000)</f>
        <v>1000000000</v>
      </c>
      <c r="X744" s="27">
        <f>IF(AND(V744=1,LEFT(Control_Achizitii!$E744,4)="Fact",NOT(ISNUMBER(Control_Achizitii!$P744))),1,0)</f>
        <v>0</v>
      </c>
      <c r="Y744" s="27">
        <f>IF(V744=0,0,IF(Control_Achizitii!$J744="DOSAR COMPLET",1,IF(LEFT(Control_Achizitii!$J744,9)="INCOMPLET",2,3)))</f>
        <v>0</v>
      </c>
      <c r="Z744" s="27"/>
      <c r="AA744" s="27"/>
      <c r="AB744" s="27"/>
      <c r="AC744" s="27"/>
      <c r="AD744" s="27"/>
      <c r="AE744" s="27"/>
      <c r="AF744" s="27"/>
      <c r="AG744" s="27"/>
      <c r="AH744" s="27">
        <f>IF(AND(V744=1,Control_Achizitii!$J744="DOSAR COMPLET",Control_Achizitii!$K744&lt;&gt;""),1,0)</f>
        <v>0</v>
      </c>
    </row>
    <row r="745" spans="1:34">
      <c r="A745" s="27"/>
      <c r="B745" s="27"/>
      <c r="C745" s="27"/>
      <c r="D745" s="27"/>
      <c r="E745" s="27"/>
      <c r="F745" s="27"/>
      <c r="G745" s="27"/>
      <c r="H745" s="27"/>
      <c r="I745" s="27"/>
      <c r="J745" s="27"/>
      <c r="K745" s="27"/>
      <c r="L745" s="27"/>
      <c r="M745" s="27"/>
      <c r="N745" s="27"/>
      <c r="O745" s="27"/>
      <c r="P745" s="27"/>
      <c r="Q745" s="27"/>
      <c r="R745" s="27"/>
      <c r="S745" s="27"/>
      <c r="T745" s="27">
        <f>IF(LEFT(Control_Achizitii!$E745,4)="Fact",1,0)</f>
        <v>0</v>
      </c>
      <c r="U745" s="27">
        <f>IF(Control_Achizitii!$C745="",0,IF(ISNUMBER(Control_Achizitii!$B745),0,1))</f>
        <v>0</v>
      </c>
      <c r="V745" s="27">
        <f>IF(Control_Achizitii!$C745="",0,IF($Z$2&lt;&gt;"OK",0,IF(AND(ISNUMBER(Control_Achizitii!$B745),Control_Achizitii!$B745&gt;=$E$5,Control_Achizitii!$B745&lt;$J$5+1,OR($O$5="Toate proiectele",Control_Achizitii!$Q745=$O$5)),1,0)))</f>
        <v>0</v>
      </c>
      <c r="W745" s="27">
        <f>IF(AND(V745=1,OR(Control_Achizitii!$J745&lt;&gt;"DOSAR COMPLET",Control_Achizitii!$K745&lt;&gt;"")),ROW(),1000000000)</f>
        <v>1000000000</v>
      </c>
      <c r="X745" s="27">
        <f>IF(AND(V745=1,LEFT(Control_Achizitii!$E745,4)="Fact",NOT(ISNUMBER(Control_Achizitii!$P745))),1,0)</f>
        <v>0</v>
      </c>
      <c r="Y745" s="27">
        <f>IF(V745=0,0,IF(Control_Achizitii!$J745="DOSAR COMPLET",1,IF(LEFT(Control_Achizitii!$J745,9)="INCOMPLET",2,3)))</f>
        <v>0</v>
      </c>
      <c r="Z745" s="27"/>
      <c r="AA745" s="27"/>
      <c r="AB745" s="27"/>
      <c r="AC745" s="27"/>
      <c r="AD745" s="27"/>
      <c r="AE745" s="27"/>
      <c r="AF745" s="27"/>
      <c r="AG745" s="27"/>
      <c r="AH745" s="27">
        <f>IF(AND(V745=1,Control_Achizitii!$J745="DOSAR COMPLET",Control_Achizitii!$K745&lt;&gt;""),1,0)</f>
        <v>0</v>
      </c>
    </row>
    <row r="746" spans="1:34">
      <c r="A746" s="27"/>
      <c r="B746" s="27"/>
      <c r="C746" s="27"/>
      <c r="D746" s="27"/>
      <c r="E746" s="27"/>
      <c r="F746" s="27"/>
      <c r="G746" s="27"/>
      <c r="H746" s="27"/>
      <c r="I746" s="27"/>
      <c r="J746" s="27"/>
      <c r="K746" s="27"/>
      <c r="L746" s="27"/>
      <c r="M746" s="27"/>
      <c r="N746" s="27"/>
      <c r="O746" s="27"/>
      <c r="P746" s="27"/>
      <c r="Q746" s="27"/>
      <c r="R746" s="27"/>
      <c r="S746" s="27"/>
      <c r="T746" s="27">
        <f>IF(LEFT(Control_Achizitii!$E746,4)="Fact",1,0)</f>
        <v>0</v>
      </c>
      <c r="U746" s="27">
        <f>IF(Control_Achizitii!$C746="",0,IF(ISNUMBER(Control_Achizitii!$B746),0,1))</f>
        <v>0</v>
      </c>
      <c r="V746" s="27">
        <f>IF(Control_Achizitii!$C746="",0,IF($Z$2&lt;&gt;"OK",0,IF(AND(ISNUMBER(Control_Achizitii!$B746),Control_Achizitii!$B746&gt;=$E$5,Control_Achizitii!$B746&lt;$J$5+1,OR($O$5="Toate proiectele",Control_Achizitii!$Q746=$O$5)),1,0)))</f>
        <v>0</v>
      </c>
      <c r="W746" s="27">
        <f>IF(AND(V746=1,OR(Control_Achizitii!$J746&lt;&gt;"DOSAR COMPLET",Control_Achizitii!$K746&lt;&gt;"")),ROW(),1000000000)</f>
        <v>1000000000</v>
      </c>
      <c r="X746" s="27">
        <f>IF(AND(V746=1,LEFT(Control_Achizitii!$E746,4)="Fact",NOT(ISNUMBER(Control_Achizitii!$P746))),1,0)</f>
        <v>0</v>
      </c>
      <c r="Y746" s="27">
        <f>IF(V746=0,0,IF(Control_Achizitii!$J746="DOSAR COMPLET",1,IF(LEFT(Control_Achizitii!$J746,9)="INCOMPLET",2,3)))</f>
        <v>0</v>
      </c>
      <c r="Z746" s="27"/>
      <c r="AA746" s="27"/>
      <c r="AB746" s="27"/>
      <c r="AC746" s="27"/>
      <c r="AD746" s="27"/>
      <c r="AE746" s="27"/>
      <c r="AF746" s="27"/>
      <c r="AG746" s="27"/>
      <c r="AH746" s="27">
        <f>IF(AND(V746=1,Control_Achizitii!$J746="DOSAR COMPLET",Control_Achizitii!$K746&lt;&gt;""),1,0)</f>
        <v>0</v>
      </c>
    </row>
    <row r="747" spans="1:34">
      <c r="A747" s="27"/>
      <c r="B747" s="27"/>
      <c r="C747" s="27"/>
      <c r="D747" s="27"/>
      <c r="E747" s="27"/>
      <c r="F747" s="27"/>
      <c r="G747" s="27"/>
      <c r="H747" s="27"/>
      <c r="I747" s="27"/>
      <c r="J747" s="27"/>
      <c r="K747" s="27"/>
      <c r="L747" s="27"/>
      <c r="M747" s="27"/>
      <c r="N747" s="27"/>
      <c r="O747" s="27"/>
      <c r="P747" s="27"/>
      <c r="Q747" s="27"/>
      <c r="R747" s="27"/>
      <c r="S747" s="27"/>
      <c r="T747" s="27">
        <f>IF(LEFT(Control_Achizitii!$E747,4)="Fact",1,0)</f>
        <v>0</v>
      </c>
      <c r="U747" s="27">
        <f>IF(Control_Achizitii!$C747="",0,IF(ISNUMBER(Control_Achizitii!$B747),0,1))</f>
        <v>0</v>
      </c>
      <c r="V747" s="27">
        <f>IF(Control_Achizitii!$C747="",0,IF($Z$2&lt;&gt;"OK",0,IF(AND(ISNUMBER(Control_Achizitii!$B747),Control_Achizitii!$B747&gt;=$E$5,Control_Achizitii!$B747&lt;$J$5+1,OR($O$5="Toate proiectele",Control_Achizitii!$Q747=$O$5)),1,0)))</f>
        <v>0</v>
      </c>
      <c r="W747" s="27">
        <f>IF(AND(V747=1,OR(Control_Achizitii!$J747&lt;&gt;"DOSAR COMPLET",Control_Achizitii!$K747&lt;&gt;"")),ROW(),1000000000)</f>
        <v>1000000000</v>
      </c>
      <c r="X747" s="27">
        <f>IF(AND(V747=1,LEFT(Control_Achizitii!$E747,4)="Fact",NOT(ISNUMBER(Control_Achizitii!$P747))),1,0)</f>
        <v>0</v>
      </c>
      <c r="Y747" s="27">
        <f>IF(V747=0,0,IF(Control_Achizitii!$J747="DOSAR COMPLET",1,IF(LEFT(Control_Achizitii!$J747,9)="INCOMPLET",2,3)))</f>
        <v>0</v>
      </c>
      <c r="Z747" s="27"/>
      <c r="AA747" s="27"/>
      <c r="AB747" s="27"/>
      <c r="AC747" s="27"/>
      <c r="AD747" s="27"/>
      <c r="AE747" s="27"/>
      <c r="AF747" s="27"/>
      <c r="AG747" s="27"/>
      <c r="AH747" s="27">
        <f>IF(AND(V747=1,Control_Achizitii!$J747="DOSAR COMPLET",Control_Achizitii!$K747&lt;&gt;""),1,0)</f>
        <v>0</v>
      </c>
    </row>
    <row r="748" spans="1:34">
      <c r="A748" s="27"/>
      <c r="B748" s="27"/>
      <c r="C748" s="27"/>
      <c r="D748" s="27"/>
      <c r="E748" s="27"/>
      <c r="F748" s="27"/>
      <c r="G748" s="27"/>
      <c r="H748" s="27"/>
      <c r="I748" s="27"/>
      <c r="J748" s="27"/>
      <c r="K748" s="27"/>
      <c r="L748" s="27"/>
      <c r="M748" s="27"/>
      <c r="N748" s="27"/>
      <c r="O748" s="27"/>
      <c r="P748" s="27"/>
      <c r="Q748" s="27"/>
      <c r="R748" s="27"/>
      <c r="S748" s="27"/>
      <c r="T748" s="27">
        <f>IF(LEFT(Control_Achizitii!$E748,4)="Fact",1,0)</f>
        <v>0</v>
      </c>
      <c r="U748" s="27">
        <f>IF(Control_Achizitii!$C748="",0,IF(ISNUMBER(Control_Achizitii!$B748),0,1))</f>
        <v>0</v>
      </c>
      <c r="V748" s="27">
        <f>IF(Control_Achizitii!$C748="",0,IF($Z$2&lt;&gt;"OK",0,IF(AND(ISNUMBER(Control_Achizitii!$B748),Control_Achizitii!$B748&gt;=$E$5,Control_Achizitii!$B748&lt;$J$5+1,OR($O$5="Toate proiectele",Control_Achizitii!$Q748=$O$5)),1,0)))</f>
        <v>0</v>
      </c>
      <c r="W748" s="27">
        <f>IF(AND(V748=1,OR(Control_Achizitii!$J748&lt;&gt;"DOSAR COMPLET",Control_Achizitii!$K748&lt;&gt;"")),ROW(),1000000000)</f>
        <v>1000000000</v>
      </c>
      <c r="X748" s="27">
        <f>IF(AND(V748=1,LEFT(Control_Achizitii!$E748,4)="Fact",NOT(ISNUMBER(Control_Achizitii!$P748))),1,0)</f>
        <v>0</v>
      </c>
      <c r="Y748" s="27">
        <f>IF(V748=0,0,IF(Control_Achizitii!$J748="DOSAR COMPLET",1,IF(LEFT(Control_Achizitii!$J748,9)="INCOMPLET",2,3)))</f>
        <v>0</v>
      </c>
      <c r="Z748" s="27"/>
      <c r="AA748" s="27"/>
      <c r="AB748" s="27"/>
      <c r="AC748" s="27"/>
      <c r="AD748" s="27"/>
      <c r="AE748" s="27"/>
      <c r="AF748" s="27"/>
      <c r="AG748" s="27"/>
      <c r="AH748" s="27">
        <f>IF(AND(V748=1,Control_Achizitii!$J748="DOSAR COMPLET",Control_Achizitii!$K748&lt;&gt;""),1,0)</f>
        <v>0</v>
      </c>
    </row>
    <row r="749" spans="1:34">
      <c r="A749" s="27"/>
      <c r="B749" s="27"/>
      <c r="C749" s="27"/>
      <c r="D749" s="27"/>
      <c r="E749" s="27"/>
      <c r="F749" s="27"/>
      <c r="G749" s="27"/>
      <c r="H749" s="27"/>
      <c r="I749" s="27"/>
      <c r="J749" s="27"/>
      <c r="K749" s="27"/>
      <c r="L749" s="27"/>
      <c r="M749" s="27"/>
      <c r="N749" s="27"/>
      <c r="O749" s="27"/>
      <c r="P749" s="27"/>
      <c r="Q749" s="27"/>
      <c r="R749" s="27"/>
      <c r="S749" s="27"/>
      <c r="T749" s="27">
        <f>IF(LEFT(Control_Achizitii!$E749,4)="Fact",1,0)</f>
        <v>0</v>
      </c>
      <c r="U749" s="27">
        <f>IF(Control_Achizitii!$C749="",0,IF(ISNUMBER(Control_Achizitii!$B749),0,1))</f>
        <v>0</v>
      </c>
      <c r="V749" s="27">
        <f>IF(Control_Achizitii!$C749="",0,IF($Z$2&lt;&gt;"OK",0,IF(AND(ISNUMBER(Control_Achizitii!$B749),Control_Achizitii!$B749&gt;=$E$5,Control_Achizitii!$B749&lt;$J$5+1,OR($O$5="Toate proiectele",Control_Achizitii!$Q749=$O$5)),1,0)))</f>
        <v>0</v>
      </c>
      <c r="W749" s="27">
        <f>IF(AND(V749=1,OR(Control_Achizitii!$J749&lt;&gt;"DOSAR COMPLET",Control_Achizitii!$K749&lt;&gt;"")),ROW(),1000000000)</f>
        <v>1000000000</v>
      </c>
      <c r="X749" s="27">
        <f>IF(AND(V749=1,LEFT(Control_Achizitii!$E749,4)="Fact",NOT(ISNUMBER(Control_Achizitii!$P749))),1,0)</f>
        <v>0</v>
      </c>
      <c r="Y749" s="27">
        <f>IF(V749=0,0,IF(Control_Achizitii!$J749="DOSAR COMPLET",1,IF(LEFT(Control_Achizitii!$J749,9)="INCOMPLET",2,3)))</f>
        <v>0</v>
      </c>
      <c r="Z749" s="27"/>
      <c r="AA749" s="27"/>
      <c r="AB749" s="27"/>
      <c r="AC749" s="27"/>
      <c r="AD749" s="27"/>
      <c r="AE749" s="27"/>
      <c r="AF749" s="27"/>
      <c r="AG749" s="27"/>
      <c r="AH749" s="27">
        <f>IF(AND(V749=1,Control_Achizitii!$J749="DOSAR COMPLET",Control_Achizitii!$K749&lt;&gt;""),1,0)</f>
        <v>0</v>
      </c>
    </row>
    <row r="750" spans="1:34">
      <c r="A750" s="27"/>
      <c r="B750" s="27"/>
      <c r="C750" s="27"/>
      <c r="D750" s="27"/>
      <c r="E750" s="27"/>
      <c r="F750" s="27"/>
      <c r="G750" s="27"/>
      <c r="H750" s="27"/>
      <c r="I750" s="27"/>
      <c r="J750" s="27"/>
      <c r="K750" s="27"/>
      <c r="L750" s="27"/>
      <c r="M750" s="27"/>
      <c r="N750" s="27"/>
      <c r="O750" s="27"/>
      <c r="P750" s="27"/>
      <c r="Q750" s="27"/>
      <c r="R750" s="27"/>
      <c r="S750" s="27"/>
      <c r="T750" s="27">
        <f>IF(LEFT(Control_Achizitii!$E750,4)="Fact",1,0)</f>
        <v>0</v>
      </c>
      <c r="U750" s="27">
        <f>IF(Control_Achizitii!$C750="",0,IF(ISNUMBER(Control_Achizitii!$B750),0,1))</f>
        <v>0</v>
      </c>
      <c r="V750" s="27">
        <f>IF(Control_Achizitii!$C750="",0,IF($Z$2&lt;&gt;"OK",0,IF(AND(ISNUMBER(Control_Achizitii!$B750),Control_Achizitii!$B750&gt;=$E$5,Control_Achizitii!$B750&lt;$J$5+1,OR($O$5="Toate proiectele",Control_Achizitii!$Q750=$O$5)),1,0)))</f>
        <v>0</v>
      </c>
      <c r="W750" s="27">
        <f>IF(AND(V750=1,OR(Control_Achizitii!$J750&lt;&gt;"DOSAR COMPLET",Control_Achizitii!$K750&lt;&gt;"")),ROW(),1000000000)</f>
        <v>1000000000</v>
      </c>
      <c r="X750" s="27">
        <f>IF(AND(V750=1,LEFT(Control_Achizitii!$E750,4)="Fact",NOT(ISNUMBER(Control_Achizitii!$P750))),1,0)</f>
        <v>0</v>
      </c>
      <c r="Y750" s="27">
        <f>IF(V750=0,0,IF(Control_Achizitii!$J750="DOSAR COMPLET",1,IF(LEFT(Control_Achizitii!$J750,9)="INCOMPLET",2,3)))</f>
        <v>0</v>
      </c>
      <c r="Z750" s="27"/>
      <c r="AA750" s="27"/>
      <c r="AB750" s="27"/>
      <c r="AC750" s="27"/>
      <c r="AD750" s="27"/>
      <c r="AE750" s="27"/>
      <c r="AF750" s="27"/>
      <c r="AG750" s="27"/>
      <c r="AH750" s="27">
        <f>IF(AND(V750=1,Control_Achizitii!$J750="DOSAR COMPLET",Control_Achizitii!$K750&lt;&gt;""),1,0)</f>
        <v>0</v>
      </c>
    </row>
    <row r="751" spans="1:34">
      <c r="A751" s="27"/>
      <c r="B751" s="27"/>
      <c r="C751" s="27"/>
      <c r="D751" s="27"/>
      <c r="E751" s="27"/>
      <c r="F751" s="27"/>
      <c r="G751" s="27"/>
      <c r="H751" s="27"/>
      <c r="I751" s="27"/>
      <c r="J751" s="27"/>
      <c r="K751" s="27"/>
      <c r="L751" s="27"/>
      <c r="M751" s="27"/>
      <c r="N751" s="27"/>
      <c r="O751" s="27"/>
      <c r="P751" s="27"/>
      <c r="Q751" s="27"/>
      <c r="R751" s="27"/>
      <c r="S751" s="27"/>
      <c r="T751" s="27">
        <f>IF(LEFT(Control_Achizitii!$E751,4)="Fact",1,0)</f>
        <v>0</v>
      </c>
      <c r="U751" s="27">
        <f>IF(Control_Achizitii!$C751="",0,IF(ISNUMBER(Control_Achizitii!$B751),0,1))</f>
        <v>0</v>
      </c>
      <c r="V751" s="27">
        <f>IF(Control_Achizitii!$C751="",0,IF($Z$2&lt;&gt;"OK",0,IF(AND(ISNUMBER(Control_Achizitii!$B751),Control_Achizitii!$B751&gt;=$E$5,Control_Achizitii!$B751&lt;$J$5+1,OR($O$5="Toate proiectele",Control_Achizitii!$Q751=$O$5)),1,0)))</f>
        <v>0</v>
      </c>
      <c r="W751" s="27">
        <f>IF(AND(V751=1,OR(Control_Achizitii!$J751&lt;&gt;"DOSAR COMPLET",Control_Achizitii!$K751&lt;&gt;"")),ROW(),1000000000)</f>
        <v>1000000000</v>
      </c>
      <c r="X751" s="27">
        <f>IF(AND(V751=1,LEFT(Control_Achizitii!$E751,4)="Fact",NOT(ISNUMBER(Control_Achizitii!$P751))),1,0)</f>
        <v>0</v>
      </c>
      <c r="Y751" s="27">
        <f>IF(V751=0,0,IF(Control_Achizitii!$J751="DOSAR COMPLET",1,IF(LEFT(Control_Achizitii!$J751,9)="INCOMPLET",2,3)))</f>
        <v>0</v>
      </c>
      <c r="Z751" s="27"/>
      <c r="AA751" s="27"/>
      <c r="AB751" s="27"/>
      <c r="AC751" s="27"/>
      <c r="AD751" s="27"/>
      <c r="AE751" s="27"/>
      <c r="AF751" s="27"/>
      <c r="AG751" s="27"/>
      <c r="AH751" s="27">
        <f>IF(AND(V751=1,Control_Achizitii!$J751="DOSAR COMPLET",Control_Achizitii!$K751&lt;&gt;""),1,0)</f>
        <v>0</v>
      </c>
    </row>
    <row r="752" spans="1:34">
      <c r="A752" s="27"/>
      <c r="B752" s="27"/>
      <c r="C752" s="27"/>
      <c r="D752" s="27"/>
      <c r="E752" s="27"/>
      <c r="F752" s="27"/>
      <c r="G752" s="27"/>
      <c r="H752" s="27"/>
      <c r="I752" s="27"/>
      <c r="J752" s="27"/>
      <c r="K752" s="27"/>
      <c r="L752" s="27"/>
      <c r="M752" s="27"/>
      <c r="N752" s="27"/>
      <c r="O752" s="27"/>
      <c r="P752" s="27"/>
      <c r="Q752" s="27"/>
      <c r="R752" s="27"/>
      <c r="S752" s="27"/>
      <c r="T752" s="27">
        <f>IF(LEFT(Control_Achizitii!$E752,4)="Fact",1,0)</f>
        <v>0</v>
      </c>
      <c r="U752" s="27">
        <f>IF(Control_Achizitii!$C752="",0,IF(ISNUMBER(Control_Achizitii!$B752),0,1))</f>
        <v>0</v>
      </c>
      <c r="V752" s="27">
        <f>IF(Control_Achizitii!$C752="",0,IF($Z$2&lt;&gt;"OK",0,IF(AND(ISNUMBER(Control_Achizitii!$B752),Control_Achizitii!$B752&gt;=$E$5,Control_Achizitii!$B752&lt;$J$5+1,OR($O$5="Toate proiectele",Control_Achizitii!$Q752=$O$5)),1,0)))</f>
        <v>0</v>
      </c>
      <c r="W752" s="27">
        <f>IF(AND(V752=1,OR(Control_Achizitii!$J752&lt;&gt;"DOSAR COMPLET",Control_Achizitii!$K752&lt;&gt;"")),ROW(),1000000000)</f>
        <v>1000000000</v>
      </c>
      <c r="X752" s="27">
        <f>IF(AND(V752=1,LEFT(Control_Achizitii!$E752,4)="Fact",NOT(ISNUMBER(Control_Achizitii!$P752))),1,0)</f>
        <v>0</v>
      </c>
      <c r="Y752" s="27">
        <f>IF(V752=0,0,IF(Control_Achizitii!$J752="DOSAR COMPLET",1,IF(LEFT(Control_Achizitii!$J752,9)="INCOMPLET",2,3)))</f>
        <v>0</v>
      </c>
      <c r="Z752" s="27"/>
      <c r="AA752" s="27"/>
      <c r="AB752" s="27"/>
      <c r="AC752" s="27"/>
      <c r="AD752" s="27"/>
      <c r="AE752" s="27"/>
      <c r="AF752" s="27"/>
      <c r="AG752" s="27"/>
      <c r="AH752" s="27">
        <f>IF(AND(V752=1,Control_Achizitii!$J752="DOSAR COMPLET",Control_Achizitii!$K752&lt;&gt;""),1,0)</f>
        <v>0</v>
      </c>
    </row>
    <row r="753" spans="1:34">
      <c r="A753" s="27"/>
      <c r="B753" s="27"/>
      <c r="C753" s="27"/>
      <c r="D753" s="27"/>
      <c r="E753" s="27"/>
      <c r="F753" s="27"/>
      <c r="G753" s="27"/>
      <c r="H753" s="27"/>
      <c r="I753" s="27"/>
      <c r="J753" s="27"/>
      <c r="K753" s="27"/>
      <c r="L753" s="27"/>
      <c r="M753" s="27"/>
      <c r="N753" s="27"/>
      <c r="O753" s="27"/>
      <c r="P753" s="27"/>
      <c r="Q753" s="27"/>
      <c r="R753" s="27"/>
      <c r="S753" s="27"/>
      <c r="T753" s="27">
        <f>IF(LEFT(Control_Achizitii!$E753,4)="Fact",1,0)</f>
        <v>0</v>
      </c>
      <c r="U753" s="27">
        <f>IF(Control_Achizitii!$C753="",0,IF(ISNUMBER(Control_Achizitii!$B753),0,1))</f>
        <v>0</v>
      </c>
      <c r="V753" s="27">
        <f>IF(Control_Achizitii!$C753="",0,IF($Z$2&lt;&gt;"OK",0,IF(AND(ISNUMBER(Control_Achizitii!$B753),Control_Achizitii!$B753&gt;=$E$5,Control_Achizitii!$B753&lt;$J$5+1,OR($O$5="Toate proiectele",Control_Achizitii!$Q753=$O$5)),1,0)))</f>
        <v>0</v>
      </c>
      <c r="W753" s="27">
        <f>IF(AND(V753=1,OR(Control_Achizitii!$J753&lt;&gt;"DOSAR COMPLET",Control_Achizitii!$K753&lt;&gt;"")),ROW(),1000000000)</f>
        <v>1000000000</v>
      </c>
      <c r="X753" s="27">
        <f>IF(AND(V753=1,LEFT(Control_Achizitii!$E753,4)="Fact",NOT(ISNUMBER(Control_Achizitii!$P753))),1,0)</f>
        <v>0</v>
      </c>
      <c r="Y753" s="27">
        <f>IF(V753=0,0,IF(Control_Achizitii!$J753="DOSAR COMPLET",1,IF(LEFT(Control_Achizitii!$J753,9)="INCOMPLET",2,3)))</f>
        <v>0</v>
      </c>
      <c r="Z753" s="27"/>
      <c r="AA753" s="27"/>
      <c r="AB753" s="27"/>
      <c r="AC753" s="27"/>
      <c r="AD753" s="27"/>
      <c r="AE753" s="27"/>
      <c r="AF753" s="27"/>
      <c r="AG753" s="27"/>
      <c r="AH753" s="27">
        <f>IF(AND(V753=1,Control_Achizitii!$J753="DOSAR COMPLET",Control_Achizitii!$K753&lt;&gt;""),1,0)</f>
        <v>0</v>
      </c>
    </row>
    <row r="754" spans="1:34">
      <c r="A754" s="27"/>
      <c r="B754" s="27"/>
      <c r="C754" s="27"/>
      <c r="D754" s="27"/>
      <c r="E754" s="27"/>
      <c r="F754" s="27"/>
      <c r="G754" s="27"/>
      <c r="H754" s="27"/>
      <c r="I754" s="27"/>
      <c r="J754" s="27"/>
      <c r="K754" s="27"/>
      <c r="L754" s="27"/>
      <c r="M754" s="27"/>
      <c r="N754" s="27"/>
      <c r="O754" s="27"/>
      <c r="P754" s="27"/>
      <c r="Q754" s="27"/>
      <c r="R754" s="27"/>
      <c r="S754" s="27"/>
      <c r="T754" s="27">
        <f>IF(LEFT(Control_Achizitii!$E754,4)="Fact",1,0)</f>
        <v>0</v>
      </c>
      <c r="U754" s="27">
        <f>IF(Control_Achizitii!$C754="",0,IF(ISNUMBER(Control_Achizitii!$B754),0,1))</f>
        <v>0</v>
      </c>
      <c r="V754" s="27">
        <f>IF(Control_Achizitii!$C754="",0,IF($Z$2&lt;&gt;"OK",0,IF(AND(ISNUMBER(Control_Achizitii!$B754),Control_Achizitii!$B754&gt;=$E$5,Control_Achizitii!$B754&lt;$J$5+1,OR($O$5="Toate proiectele",Control_Achizitii!$Q754=$O$5)),1,0)))</f>
        <v>0</v>
      </c>
      <c r="W754" s="27">
        <f>IF(AND(V754=1,OR(Control_Achizitii!$J754&lt;&gt;"DOSAR COMPLET",Control_Achizitii!$K754&lt;&gt;"")),ROW(),1000000000)</f>
        <v>1000000000</v>
      </c>
      <c r="X754" s="27">
        <f>IF(AND(V754=1,LEFT(Control_Achizitii!$E754,4)="Fact",NOT(ISNUMBER(Control_Achizitii!$P754))),1,0)</f>
        <v>0</v>
      </c>
      <c r="Y754" s="27">
        <f>IF(V754=0,0,IF(Control_Achizitii!$J754="DOSAR COMPLET",1,IF(LEFT(Control_Achizitii!$J754,9)="INCOMPLET",2,3)))</f>
        <v>0</v>
      </c>
      <c r="Z754" s="27"/>
      <c r="AA754" s="27"/>
      <c r="AB754" s="27"/>
      <c r="AC754" s="27"/>
      <c r="AD754" s="27"/>
      <c r="AE754" s="27"/>
      <c r="AF754" s="27"/>
      <c r="AG754" s="27"/>
      <c r="AH754" s="27">
        <f>IF(AND(V754=1,Control_Achizitii!$J754="DOSAR COMPLET",Control_Achizitii!$K754&lt;&gt;""),1,0)</f>
        <v>0</v>
      </c>
    </row>
    <row r="755" spans="1:34">
      <c r="A755" s="27"/>
      <c r="B755" s="27"/>
      <c r="C755" s="27"/>
      <c r="D755" s="27"/>
      <c r="E755" s="27"/>
      <c r="F755" s="27"/>
      <c r="G755" s="27"/>
      <c r="H755" s="27"/>
      <c r="I755" s="27"/>
      <c r="J755" s="27"/>
      <c r="K755" s="27"/>
      <c r="L755" s="27"/>
      <c r="M755" s="27"/>
      <c r="N755" s="27"/>
      <c r="O755" s="27"/>
      <c r="P755" s="27"/>
      <c r="Q755" s="27"/>
      <c r="R755" s="27"/>
      <c r="S755" s="27"/>
      <c r="T755" s="27">
        <f>IF(LEFT(Control_Achizitii!$E755,4)="Fact",1,0)</f>
        <v>0</v>
      </c>
      <c r="U755" s="27">
        <f>IF(Control_Achizitii!$C755="",0,IF(ISNUMBER(Control_Achizitii!$B755),0,1))</f>
        <v>0</v>
      </c>
      <c r="V755" s="27">
        <f>IF(Control_Achizitii!$C755="",0,IF($Z$2&lt;&gt;"OK",0,IF(AND(ISNUMBER(Control_Achizitii!$B755),Control_Achizitii!$B755&gt;=$E$5,Control_Achizitii!$B755&lt;$J$5+1,OR($O$5="Toate proiectele",Control_Achizitii!$Q755=$O$5)),1,0)))</f>
        <v>0</v>
      </c>
      <c r="W755" s="27">
        <f>IF(AND(V755=1,OR(Control_Achizitii!$J755&lt;&gt;"DOSAR COMPLET",Control_Achizitii!$K755&lt;&gt;"")),ROW(),1000000000)</f>
        <v>1000000000</v>
      </c>
      <c r="X755" s="27">
        <f>IF(AND(V755=1,LEFT(Control_Achizitii!$E755,4)="Fact",NOT(ISNUMBER(Control_Achizitii!$P755))),1,0)</f>
        <v>0</v>
      </c>
      <c r="Y755" s="27">
        <f>IF(V755=0,0,IF(Control_Achizitii!$J755="DOSAR COMPLET",1,IF(LEFT(Control_Achizitii!$J755,9)="INCOMPLET",2,3)))</f>
        <v>0</v>
      </c>
      <c r="Z755" s="27"/>
      <c r="AA755" s="27"/>
      <c r="AB755" s="27"/>
      <c r="AC755" s="27"/>
      <c r="AD755" s="27"/>
      <c r="AE755" s="27"/>
      <c r="AF755" s="27"/>
      <c r="AG755" s="27"/>
      <c r="AH755" s="27">
        <f>IF(AND(V755=1,Control_Achizitii!$J755="DOSAR COMPLET",Control_Achizitii!$K755&lt;&gt;""),1,0)</f>
        <v>0</v>
      </c>
    </row>
    <row r="756" spans="1:34">
      <c r="A756" s="27"/>
      <c r="B756" s="27"/>
      <c r="C756" s="27"/>
      <c r="D756" s="27"/>
      <c r="E756" s="27"/>
      <c r="F756" s="27"/>
      <c r="G756" s="27"/>
      <c r="H756" s="27"/>
      <c r="I756" s="27"/>
      <c r="J756" s="27"/>
      <c r="K756" s="27"/>
      <c r="L756" s="27"/>
      <c r="M756" s="27"/>
      <c r="N756" s="27"/>
      <c r="O756" s="27"/>
      <c r="P756" s="27"/>
      <c r="Q756" s="27"/>
      <c r="R756" s="27"/>
      <c r="S756" s="27"/>
      <c r="T756" s="27">
        <f>IF(LEFT(Control_Achizitii!$E756,4)="Fact",1,0)</f>
        <v>0</v>
      </c>
      <c r="U756" s="27">
        <f>IF(Control_Achizitii!$C756="",0,IF(ISNUMBER(Control_Achizitii!$B756),0,1))</f>
        <v>0</v>
      </c>
      <c r="V756" s="27">
        <f>IF(Control_Achizitii!$C756="",0,IF($Z$2&lt;&gt;"OK",0,IF(AND(ISNUMBER(Control_Achizitii!$B756),Control_Achizitii!$B756&gt;=$E$5,Control_Achizitii!$B756&lt;$J$5+1,OR($O$5="Toate proiectele",Control_Achizitii!$Q756=$O$5)),1,0)))</f>
        <v>0</v>
      </c>
      <c r="W756" s="27">
        <f>IF(AND(V756=1,OR(Control_Achizitii!$J756&lt;&gt;"DOSAR COMPLET",Control_Achizitii!$K756&lt;&gt;"")),ROW(),1000000000)</f>
        <v>1000000000</v>
      </c>
      <c r="X756" s="27">
        <f>IF(AND(V756=1,LEFT(Control_Achizitii!$E756,4)="Fact",NOT(ISNUMBER(Control_Achizitii!$P756))),1,0)</f>
        <v>0</v>
      </c>
      <c r="Y756" s="27">
        <f>IF(V756=0,0,IF(Control_Achizitii!$J756="DOSAR COMPLET",1,IF(LEFT(Control_Achizitii!$J756,9)="INCOMPLET",2,3)))</f>
        <v>0</v>
      </c>
      <c r="Z756" s="27"/>
      <c r="AA756" s="27"/>
      <c r="AB756" s="27"/>
      <c r="AC756" s="27"/>
      <c r="AD756" s="27"/>
      <c r="AE756" s="27"/>
      <c r="AF756" s="27"/>
      <c r="AG756" s="27"/>
      <c r="AH756" s="27">
        <f>IF(AND(V756=1,Control_Achizitii!$J756="DOSAR COMPLET",Control_Achizitii!$K756&lt;&gt;""),1,0)</f>
        <v>0</v>
      </c>
    </row>
    <row r="757" spans="1:34">
      <c r="A757" s="27"/>
      <c r="B757" s="27"/>
      <c r="C757" s="27"/>
      <c r="D757" s="27"/>
      <c r="E757" s="27"/>
      <c r="F757" s="27"/>
      <c r="G757" s="27"/>
      <c r="H757" s="27"/>
      <c r="I757" s="27"/>
      <c r="J757" s="27"/>
      <c r="K757" s="27"/>
      <c r="L757" s="27"/>
      <c r="M757" s="27"/>
      <c r="N757" s="27"/>
      <c r="O757" s="27"/>
      <c r="P757" s="27"/>
      <c r="Q757" s="27"/>
      <c r="R757" s="27"/>
      <c r="S757" s="27"/>
      <c r="T757" s="27">
        <f>IF(LEFT(Control_Achizitii!$E757,4)="Fact",1,0)</f>
        <v>0</v>
      </c>
      <c r="U757" s="27">
        <f>IF(Control_Achizitii!$C757="",0,IF(ISNUMBER(Control_Achizitii!$B757),0,1))</f>
        <v>0</v>
      </c>
      <c r="V757" s="27">
        <f>IF(Control_Achizitii!$C757="",0,IF($Z$2&lt;&gt;"OK",0,IF(AND(ISNUMBER(Control_Achizitii!$B757),Control_Achizitii!$B757&gt;=$E$5,Control_Achizitii!$B757&lt;$J$5+1,OR($O$5="Toate proiectele",Control_Achizitii!$Q757=$O$5)),1,0)))</f>
        <v>0</v>
      </c>
      <c r="W757" s="27">
        <f>IF(AND(V757=1,OR(Control_Achizitii!$J757&lt;&gt;"DOSAR COMPLET",Control_Achizitii!$K757&lt;&gt;"")),ROW(),1000000000)</f>
        <v>1000000000</v>
      </c>
      <c r="X757" s="27">
        <f>IF(AND(V757=1,LEFT(Control_Achizitii!$E757,4)="Fact",NOT(ISNUMBER(Control_Achizitii!$P757))),1,0)</f>
        <v>0</v>
      </c>
      <c r="Y757" s="27">
        <f>IF(V757=0,0,IF(Control_Achizitii!$J757="DOSAR COMPLET",1,IF(LEFT(Control_Achizitii!$J757,9)="INCOMPLET",2,3)))</f>
        <v>0</v>
      </c>
      <c r="Z757" s="27"/>
      <c r="AA757" s="27"/>
      <c r="AB757" s="27"/>
      <c r="AC757" s="27"/>
      <c r="AD757" s="27"/>
      <c r="AE757" s="27"/>
      <c r="AF757" s="27"/>
      <c r="AG757" s="27"/>
      <c r="AH757" s="27">
        <f>IF(AND(V757=1,Control_Achizitii!$J757="DOSAR COMPLET",Control_Achizitii!$K757&lt;&gt;""),1,0)</f>
        <v>0</v>
      </c>
    </row>
    <row r="758" spans="1:34">
      <c r="A758" s="27"/>
      <c r="B758" s="27"/>
      <c r="C758" s="27"/>
      <c r="D758" s="27"/>
      <c r="E758" s="27"/>
      <c r="F758" s="27"/>
      <c r="G758" s="27"/>
      <c r="H758" s="27"/>
      <c r="I758" s="27"/>
      <c r="J758" s="27"/>
      <c r="K758" s="27"/>
      <c r="L758" s="27"/>
      <c r="M758" s="27"/>
      <c r="N758" s="27"/>
      <c r="O758" s="27"/>
      <c r="P758" s="27"/>
      <c r="Q758" s="27"/>
      <c r="R758" s="27"/>
      <c r="S758" s="27"/>
      <c r="T758" s="27">
        <f>IF(LEFT(Control_Achizitii!$E758,4)="Fact",1,0)</f>
        <v>0</v>
      </c>
      <c r="U758" s="27">
        <f>IF(Control_Achizitii!$C758="",0,IF(ISNUMBER(Control_Achizitii!$B758),0,1))</f>
        <v>0</v>
      </c>
      <c r="V758" s="27">
        <f>IF(Control_Achizitii!$C758="",0,IF($Z$2&lt;&gt;"OK",0,IF(AND(ISNUMBER(Control_Achizitii!$B758),Control_Achizitii!$B758&gt;=$E$5,Control_Achizitii!$B758&lt;$J$5+1,OR($O$5="Toate proiectele",Control_Achizitii!$Q758=$O$5)),1,0)))</f>
        <v>0</v>
      </c>
      <c r="W758" s="27">
        <f>IF(AND(V758=1,OR(Control_Achizitii!$J758&lt;&gt;"DOSAR COMPLET",Control_Achizitii!$K758&lt;&gt;"")),ROW(),1000000000)</f>
        <v>1000000000</v>
      </c>
      <c r="X758" s="27">
        <f>IF(AND(V758=1,LEFT(Control_Achizitii!$E758,4)="Fact",NOT(ISNUMBER(Control_Achizitii!$P758))),1,0)</f>
        <v>0</v>
      </c>
      <c r="Y758" s="27">
        <f>IF(V758=0,0,IF(Control_Achizitii!$J758="DOSAR COMPLET",1,IF(LEFT(Control_Achizitii!$J758,9)="INCOMPLET",2,3)))</f>
        <v>0</v>
      </c>
      <c r="Z758" s="27"/>
      <c r="AA758" s="27"/>
      <c r="AB758" s="27"/>
      <c r="AC758" s="27"/>
      <c r="AD758" s="27"/>
      <c r="AE758" s="27"/>
      <c r="AF758" s="27"/>
      <c r="AG758" s="27"/>
      <c r="AH758" s="27">
        <f>IF(AND(V758=1,Control_Achizitii!$J758="DOSAR COMPLET",Control_Achizitii!$K758&lt;&gt;""),1,0)</f>
        <v>0</v>
      </c>
    </row>
    <row r="759" spans="1:34">
      <c r="A759" s="27"/>
      <c r="B759" s="27"/>
      <c r="C759" s="27"/>
      <c r="D759" s="27"/>
      <c r="E759" s="27"/>
      <c r="F759" s="27"/>
      <c r="G759" s="27"/>
      <c r="H759" s="27"/>
      <c r="I759" s="27"/>
      <c r="J759" s="27"/>
      <c r="K759" s="27"/>
      <c r="L759" s="27"/>
      <c r="M759" s="27"/>
      <c r="N759" s="27"/>
      <c r="O759" s="27"/>
      <c r="P759" s="27"/>
      <c r="Q759" s="27"/>
      <c r="R759" s="27"/>
      <c r="S759" s="27"/>
      <c r="T759" s="27">
        <f>IF(LEFT(Control_Achizitii!$E759,4)="Fact",1,0)</f>
        <v>0</v>
      </c>
      <c r="U759" s="27">
        <f>IF(Control_Achizitii!$C759="",0,IF(ISNUMBER(Control_Achizitii!$B759),0,1))</f>
        <v>0</v>
      </c>
      <c r="V759" s="27">
        <f>IF(Control_Achizitii!$C759="",0,IF($Z$2&lt;&gt;"OK",0,IF(AND(ISNUMBER(Control_Achizitii!$B759),Control_Achizitii!$B759&gt;=$E$5,Control_Achizitii!$B759&lt;$J$5+1,OR($O$5="Toate proiectele",Control_Achizitii!$Q759=$O$5)),1,0)))</f>
        <v>0</v>
      </c>
      <c r="W759" s="27">
        <f>IF(AND(V759=1,OR(Control_Achizitii!$J759&lt;&gt;"DOSAR COMPLET",Control_Achizitii!$K759&lt;&gt;"")),ROW(),1000000000)</f>
        <v>1000000000</v>
      </c>
      <c r="X759" s="27">
        <f>IF(AND(V759=1,LEFT(Control_Achizitii!$E759,4)="Fact",NOT(ISNUMBER(Control_Achizitii!$P759))),1,0)</f>
        <v>0</v>
      </c>
      <c r="Y759" s="27">
        <f>IF(V759=0,0,IF(Control_Achizitii!$J759="DOSAR COMPLET",1,IF(LEFT(Control_Achizitii!$J759,9)="INCOMPLET",2,3)))</f>
        <v>0</v>
      </c>
      <c r="Z759" s="27"/>
      <c r="AA759" s="27"/>
      <c r="AB759" s="27"/>
      <c r="AC759" s="27"/>
      <c r="AD759" s="27"/>
      <c r="AE759" s="27"/>
      <c r="AF759" s="27"/>
      <c r="AG759" s="27"/>
      <c r="AH759" s="27">
        <f>IF(AND(V759=1,Control_Achizitii!$J759="DOSAR COMPLET",Control_Achizitii!$K759&lt;&gt;""),1,0)</f>
        <v>0</v>
      </c>
    </row>
    <row r="760" spans="1:34">
      <c r="A760" s="27"/>
      <c r="B760" s="27"/>
      <c r="C760" s="27"/>
      <c r="D760" s="27"/>
      <c r="E760" s="27"/>
      <c r="F760" s="27"/>
      <c r="G760" s="27"/>
      <c r="H760" s="27"/>
      <c r="I760" s="27"/>
      <c r="J760" s="27"/>
      <c r="K760" s="27"/>
      <c r="L760" s="27"/>
      <c r="M760" s="27"/>
      <c r="N760" s="27"/>
      <c r="O760" s="27"/>
      <c r="P760" s="27"/>
      <c r="Q760" s="27"/>
      <c r="R760" s="27"/>
      <c r="S760" s="27"/>
      <c r="T760" s="27">
        <f>IF(LEFT(Control_Achizitii!$E760,4)="Fact",1,0)</f>
        <v>0</v>
      </c>
      <c r="U760" s="27">
        <f>IF(Control_Achizitii!$C760="",0,IF(ISNUMBER(Control_Achizitii!$B760),0,1))</f>
        <v>0</v>
      </c>
      <c r="V760" s="27">
        <f>IF(Control_Achizitii!$C760="",0,IF($Z$2&lt;&gt;"OK",0,IF(AND(ISNUMBER(Control_Achizitii!$B760),Control_Achizitii!$B760&gt;=$E$5,Control_Achizitii!$B760&lt;$J$5+1,OR($O$5="Toate proiectele",Control_Achizitii!$Q760=$O$5)),1,0)))</f>
        <v>0</v>
      </c>
      <c r="W760" s="27">
        <f>IF(AND(V760=1,OR(Control_Achizitii!$J760&lt;&gt;"DOSAR COMPLET",Control_Achizitii!$K760&lt;&gt;"")),ROW(),1000000000)</f>
        <v>1000000000</v>
      </c>
      <c r="X760" s="27">
        <f>IF(AND(V760=1,LEFT(Control_Achizitii!$E760,4)="Fact",NOT(ISNUMBER(Control_Achizitii!$P760))),1,0)</f>
        <v>0</v>
      </c>
      <c r="Y760" s="27">
        <f>IF(V760=0,0,IF(Control_Achizitii!$J760="DOSAR COMPLET",1,IF(LEFT(Control_Achizitii!$J760,9)="INCOMPLET",2,3)))</f>
        <v>0</v>
      </c>
      <c r="Z760" s="27"/>
      <c r="AA760" s="27"/>
      <c r="AB760" s="27"/>
      <c r="AC760" s="27"/>
      <c r="AD760" s="27"/>
      <c r="AE760" s="27"/>
      <c r="AF760" s="27"/>
      <c r="AG760" s="27"/>
      <c r="AH760" s="27">
        <f>IF(AND(V760=1,Control_Achizitii!$J760="DOSAR COMPLET",Control_Achizitii!$K760&lt;&gt;""),1,0)</f>
        <v>0</v>
      </c>
    </row>
    <row r="761" spans="1:34">
      <c r="A761" s="27"/>
      <c r="B761" s="27"/>
      <c r="C761" s="27"/>
      <c r="D761" s="27"/>
      <c r="E761" s="27"/>
      <c r="F761" s="27"/>
      <c r="G761" s="27"/>
      <c r="H761" s="27"/>
      <c r="I761" s="27"/>
      <c r="J761" s="27"/>
      <c r="K761" s="27"/>
      <c r="L761" s="27"/>
      <c r="M761" s="27"/>
      <c r="N761" s="27"/>
      <c r="O761" s="27"/>
      <c r="P761" s="27"/>
      <c r="Q761" s="27"/>
      <c r="R761" s="27"/>
      <c r="S761" s="27"/>
      <c r="T761" s="27">
        <f>IF(LEFT(Control_Achizitii!$E761,4)="Fact",1,0)</f>
        <v>0</v>
      </c>
      <c r="U761" s="27">
        <f>IF(Control_Achizitii!$C761="",0,IF(ISNUMBER(Control_Achizitii!$B761),0,1))</f>
        <v>0</v>
      </c>
      <c r="V761" s="27">
        <f>IF(Control_Achizitii!$C761="",0,IF($Z$2&lt;&gt;"OK",0,IF(AND(ISNUMBER(Control_Achizitii!$B761),Control_Achizitii!$B761&gt;=$E$5,Control_Achizitii!$B761&lt;$J$5+1,OR($O$5="Toate proiectele",Control_Achizitii!$Q761=$O$5)),1,0)))</f>
        <v>0</v>
      </c>
      <c r="W761" s="27">
        <f>IF(AND(V761=1,OR(Control_Achizitii!$J761&lt;&gt;"DOSAR COMPLET",Control_Achizitii!$K761&lt;&gt;"")),ROW(),1000000000)</f>
        <v>1000000000</v>
      </c>
      <c r="X761" s="27">
        <f>IF(AND(V761=1,LEFT(Control_Achizitii!$E761,4)="Fact",NOT(ISNUMBER(Control_Achizitii!$P761))),1,0)</f>
        <v>0</v>
      </c>
      <c r="Y761" s="27">
        <f>IF(V761=0,0,IF(Control_Achizitii!$J761="DOSAR COMPLET",1,IF(LEFT(Control_Achizitii!$J761,9)="INCOMPLET",2,3)))</f>
        <v>0</v>
      </c>
      <c r="Z761" s="27"/>
      <c r="AA761" s="27"/>
      <c r="AB761" s="27"/>
      <c r="AC761" s="27"/>
      <c r="AD761" s="27"/>
      <c r="AE761" s="27"/>
      <c r="AF761" s="27"/>
      <c r="AG761" s="27"/>
      <c r="AH761" s="27">
        <f>IF(AND(V761=1,Control_Achizitii!$J761="DOSAR COMPLET",Control_Achizitii!$K761&lt;&gt;""),1,0)</f>
        <v>0</v>
      </c>
    </row>
    <row r="762" spans="1:34">
      <c r="A762" s="27"/>
      <c r="B762" s="27"/>
      <c r="C762" s="27"/>
      <c r="D762" s="27"/>
      <c r="E762" s="27"/>
      <c r="F762" s="27"/>
      <c r="G762" s="27"/>
      <c r="H762" s="27"/>
      <c r="I762" s="27"/>
      <c r="J762" s="27"/>
      <c r="K762" s="27"/>
      <c r="L762" s="27"/>
      <c r="M762" s="27"/>
      <c r="N762" s="27"/>
      <c r="O762" s="27"/>
      <c r="P762" s="27"/>
      <c r="Q762" s="27"/>
      <c r="R762" s="27"/>
      <c r="S762" s="27"/>
      <c r="T762" s="27">
        <f>IF(LEFT(Control_Achizitii!$E762,4)="Fact",1,0)</f>
        <v>0</v>
      </c>
      <c r="U762" s="27">
        <f>IF(Control_Achizitii!$C762="",0,IF(ISNUMBER(Control_Achizitii!$B762),0,1))</f>
        <v>0</v>
      </c>
      <c r="V762" s="27">
        <f>IF(Control_Achizitii!$C762="",0,IF($Z$2&lt;&gt;"OK",0,IF(AND(ISNUMBER(Control_Achizitii!$B762),Control_Achizitii!$B762&gt;=$E$5,Control_Achizitii!$B762&lt;$J$5+1,OR($O$5="Toate proiectele",Control_Achizitii!$Q762=$O$5)),1,0)))</f>
        <v>0</v>
      </c>
      <c r="W762" s="27">
        <f>IF(AND(V762=1,OR(Control_Achizitii!$J762&lt;&gt;"DOSAR COMPLET",Control_Achizitii!$K762&lt;&gt;"")),ROW(),1000000000)</f>
        <v>1000000000</v>
      </c>
      <c r="X762" s="27">
        <f>IF(AND(V762=1,LEFT(Control_Achizitii!$E762,4)="Fact",NOT(ISNUMBER(Control_Achizitii!$P762))),1,0)</f>
        <v>0</v>
      </c>
      <c r="Y762" s="27">
        <f>IF(V762=0,0,IF(Control_Achizitii!$J762="DOSAR COMPLET",1,IF(LEFT(Control_Achizitii!$J762,9)="INCOMPLET",2,3)))</f>
        <v>0</v>
      </c>
      <c r="Z762" s="27"/>
      <c r="AA762" s="27"/>
      <c r="AB762" s="27"/>
      <c r="AC762" s="27"/>
      <c r="AD762" s="27"/>
      <c r="AE762" s="27"/>
      <c r="AF762" s="27"/>
      <c r="AG762" s="27"/>
      <c r="AH762" s="27">
        <f>IF(AND(V762=1,Control_Achizitii!$J762="DOSAR COMPLET",Control_Achizitii!$K762&lt;&gt;""),1,0)</f>
        <v>0</v>
      </c>
    </row>
    <row r="763" spans="1:34">
      <c r="A763" s="27"/>
      <c r="B763" s="27"/>
      <c r="C763" s="27"/>
      <c r="D763" s="27"/>
      <c r="E763" s="27"/>
      <c r="F763" s="27"/>
      <c r="G763" s="27"/>
      <c r="H763" s="27"/>
      <c r="I763" s="27"/>
      <c r="J763" s="27"/>
      <c r="K763" s="27"/>
      <c r="L763" s="27"/>
      <c r="M763" s="27"/>
      <c r="N763" s="27"/>
      <c r="O763" s="27"/>
      <c r="P763" s="27"/>
      <c r="Q763" s="27"/>
      <c r="R763" s="27"/>
      <c r="S763" s="27"/>
      <c r="T763" s="27">
        <f>IF(LEFT(Control_Achizitii!$E763,4)="Fact",1,0)</f>
        <v>0</v>
      </c>
      <c r="U763" s="27">
        <f>IF(Control_Achizitii!$C763="",0,IF(ISNUMBER(Control_Achizitii!$B763),0,1))</f>
        <v>0</v>
      </c>
      <c r="V763" s="27">
        <f>IF(Control_Achizitii!$C763="",0,IF($Z$2&lt;&gt;"OK",0,IF(AND(ISNUMBER(Control_Achizitii!$B763),Control_Achizitii!$B763&gt;=$E$5,Control_Achizitii!$B763&lt;$J$5+1,OR($O$5="Toate proiectele",Control_Achizitii!$Q763=$O$5)),1,0)))</f>
        <v>0</v>
      </c>
      <c r="W763" s="27">
        <f>IF(AND(V763=1,OR(Control_Achizitii!$J763&lt;&gt;"DOSAR COMPLET",Control_Achizitii!$K763&lt;&gt;"")),ROW(),1000000000)</f>
        <v>1000000000</v>
      </c>
      <c r="X763" s="27">
        <f>IF(AND(V763=1,LEFT(Control_Achizitii!$E763,4)="Fact",NOT(ISNUMBER(Control_Achizitii!$P763))),1,0)</f>
        <v>0</v>
      </c>
      <c r="Y763" s="27">
        <f>IF(V763=0,0,IF(Control_Achizitii!$J763="DOSAR COMPLET",1,IF(LEFT(Control_Achizitii!$J763,9)="INCOMPLET",2,3)))</f>
        <v>0</v>
      </c>
      <c r="Z763" s="27"/>
      <c r="AA763" s="27"/>
      <c r="AB763" s="27"/>
      <c r="AC763" s="27"/>
      <c r="AD763" s="27"/>
      <c r="AE763" s="27"/>
      <c r="AF763" s="27"/>
      <c r="AG763" s="27"/>
      <c r="AH763" s="27">
        <f>IF(AND(V763=1,Control_Achizitii!$J763="DOSAR COMPLET",Control_Achizitii!$K763&lt;&gt;""),1,0)</f>
        <v>0</v>
      </c>
    </row>
    <row r="764" spans="1:34">
      <c r="A764" s="27"/>
      <c r="B764" s="27"/>
      <c r="C764" s="27"/>
      <c r="D764" s="27"/>
      <c r="E764" s="27"/>
      <c r="F764" s="27"/>
      <c r="G764" s="27"/>
      <c r="H764" s="27"/>
      <c r="I764" s="27"/>
      <c r="J764" s="27"/>
      <c r="K764" s="27"/>
      <c r="L764" s="27"/>
      <c r="M764" s="27"/>
      <c r="N764" s="27"/>
      <c r="O764" s="27"/>
      <c r="P764" s="27"/>
      <c r="Q764" s="27"/>
      <c r="R764" s="27"/>
      <c r="S764" s="27"/>
      <c r="T764" s="27">
        <f>IF(LEFT(Control_Achizitii!$E764,4)="Fact",1,0)</f>
        <v>0</v>
      </c>
      <c r="U764" s="27">
        <f>IF(Control_Achizitii!$C764="",0,IF(ISNUMBER(Control_Achizitii!$B764),0,1))</f>
        <v>0</v>
      </c>
      <c r="V764" s="27">
        <f>IF(Control_Achizitii!$C764="",0,IF($Z$2&lt;&gt;"OK",0,IF(AND(ISNUMBER(Control_Achizitii!$B764),Control_Achizitii!$B764&gt;=$E$5,Control_Achizitii!$B764&lt;$J$5+1,OR($O$5="Toate proiectele",Control_Achizitii!$Q764=$O$5)),1,0)))</f>
        <v>0</v>
      </c>
      <c r="W764" s="27">
        <f>IF(AND(V764=1,OR(Control_Achizitii!$J764&lt;&gt;"DOSAR COMPLET",Control_Achizitii!$K764&lt;&gt;"")),ROW(),1000000000)</f>
        <v>1000000000</v>
      </c>
      <c r="X764" s="27">
        <f>IF(AND(V764=1,LEFT(Control_Achizitii!$E764,4)="Fact",NOT(ISNUMBER(Control_Achizitii!$P764))),1,0)</f>
        <v>0</v>
      </c>
      <c r="Y764" s="27">
        <f>IF(V764=0,0,IF(Control_Achizitii!$J764="DOSAR COMPLET",1,IF(LEFT(Control_Achizitii!$J764,9)="INCOMPLET",2,3)))</f>
        <v>0</v>
      </c>
      <c r="Z764" s="27"/>
      <c r="AA764" s="27"/>
      <c r="AB764" s="27"/>
      <c r="AC764" s="27"/>
      <c r="AD764" s="27"/>
      <c r="AE764" s="27"/>
      <c r="AF764" s="27"/>
      <c r="AG764" s="27"/>
      <c r="AH764" s="27">
        <f>IF(AND(V764=1,Control_Achizitii!$J764="DOSAR COMPLET",Control_Achizitii!$K764&lt;&gt;""),1,0)</f>
        <v>0</v>
      </c>
    </row>
    <row r="765" spans="1:34">
      <c r="A765" s="27"/>
      <c r="B765" s="27"/>
      <c r="C765" s="27"/>
      <c r="D765" s="27"/>
      <c r="E765" s="27"/>
      <c r="F765" s="27"/>
      <c r="G765" s="27"/>
      <c r="H765" s="27"/>
      <c r="I765" s="27"/>
      <c r="J765" s="27"/>
      <c r="K765" s="27"/>
      <c r="L765" s="27"/>
      <c r="M765" s="27"/>
      <c r="N765" s="27"/>
      <c r="O765" s="27"/>
      <c r="P765" s="27"/>
      <c r="Q765" s="27"/>
      <c r="R765" s="27"/>
      <c r="S765" s="27"/>
      <c r="T765" s="27">
        <f>IF(LEFT(Control_Achizitii!$E765,4)="Fact",1,0)</f>
        <v>0</v>
      </c>
      <c r="U765" s="27">
        <f>IF(Control_Achizitii!$C765="",0,IF(ISNUMBER(Control_Achizitii!$B765),0,1))</f>
        <v>0</v>
      </c>
      <c r="V765" s="27">
        <f>IF(Control_Achizitii!$C765="",0,IF($Z$2&lt;&gt;"OK",0,IF(AND(ISNUMBER(Control_Achizitii!$B765),Control_Achizitii!$B765&gt;=$E$5,Control_Achizitii!$B765&lt;$J$5+1,OR($O$5="Toate proiectele",Control_Achizitii!$Q765=$O$5)),1,0)))</f>
        <v>0</v>
      </c>
      <c r="W765" s="27">
        <f>IF(AND(V765=1,OR(Control_Achizitii!$J765&lt;&gt;"DOSAR COMPLET",Control_Achizitii!$K765&lt;&gt;"")),ROW(),1000000000)</f>
        <v>1000000000</v>
      </c>
      <c r="X765" s="27">
        <f>IF(AND(V765=1,LEFT(Control_Achizitii!$E765,4)="Fact",NOT(ISNUMBER(Control_Achizitii!$P765))),1,0)</f>
        <v>0</v>
      </c>
      <c r="Y765" s="27">
        <f>IF(V765=0,0,IF(Control_Achizitii!$J765="DOSAR COMPLET",1,IF(LEFT(Control_Achizitii!$J765,9)="INCOMPLET",2,3)))</f>
        <v>0</v>
      </c>
      <c r="Z765" s="27"/>
      <c r="AA765" s="27"/>
      <c r="AB765" s="27"/>
      <c r="AC765" s="27"/>
      <c r="AD765" s="27"/>
      <c r="AE765" s="27"/>
      <c r="AF765" s="27"/>
      <c r="AG765" s="27"/>
      <c r="AH765" s="27">
        <f>IF(AND(V765=1,Control_Achizitii!$J765="DOSAR COMPLET",Control_Achizitii!$K765&lt;&gt;""),1,0)</f>
        <v>0</v>
      </c>
    </row>
    <row r="766" spans="1:34">
      <c r="A766" s="27"/>
      <c r="B766" s="27"/>
      <c r="C766" s="27"/>
      <c r="D766" s="27"/>
      <c r="E766" s="27"/>
      <c r="F766" s="27"/>
      <c r="G766" s="27"/>
      <c r="H766" s="27"/>
      <c r="I766" s="27"/>
      <c r="J766" s="27"/>
      <c r="K766" s="27"/>
      <c r="L766" s="27"/>
      <c r="M766" s="27"/>
      <c r="N766" s="27"/>
      <c r="O766" s="27"/>
      <c r="P766" s="27"/>
      <c r="Q766" s="27"/>
      <c r="R766" s="27"/>
      <c r="S766" s="27"/>
      <c r="T766" s="27">
        <f>IF(LEFT(Control_Achizitii!$E766,4)="Fact",1,0)</f>
        <v>0</v>
      </c>
      <c r="U766" s="27">
        <f>IF(Control_Achizitii!$C766="",0,IF(ISNUMBER(Control_Achizitii!$B766),0,1))</f>
        <v>0</v>
      </c>
      <c r="V766" s="27">
        <f>IF(Control_Achizitii!$C766="",0,IF($Z$2&lt;&gt;"OK",0,IF(AND(ISNUMBER(Control_Achizitii!$B766),Control_Achizitii!$B766&gt;=$E$5,Control_Achizitii!$B766&lt;$J$5+1,OR($O$5="Toate proiectele",Control_Achizitii!$Q766=$O$5)),1,0)))</f>
        <v>0</v>
      </c>
      <c r="W766" s="27">
        <f>IF(AND(V766=1,OR(Control_Achizitii!$J766&lt;&gt;"DOSAR COMPLET",Control_Achizitii!$K766&lt;&gt;"")),ROW(),1000000000)</f>
        <v>1000000000</v>
      </c>
      <c r="X766" s="27">
        <f>IF(AND(V766=1,LEFT(Control_Achizitii!$E766,4)="Fact",NOT(ISNUMBER(Control_Achizitii!$P766))),1,0)</f>
        <v>0</v>
      </c>
      <c r="Y766" s="27">
        <f>IF(V766=0,0,IF(Control_Achizitii!$J766="DOSAR COMPLET",1,IF(LEFT(Control_Achizitii!$J766,9)="INCOMPLET",2,3)))</f>
        <v>0</v>
      </c>
      <c r="Z766" s="27"/>
      <c r="AA766" s="27"/>
      <c r="AB766" s="27"/>
      <c r="AC766" s="27"/>
      <c r="AD766" s="27"/>
      <c r="AE766" s="27"/>
      <c r="AF766" s="27"/>
      <c r="AG766" s="27"/>
      <c r="AH766" s="27">
        <f>IF(AND(V766=1,Control_Achizitii!$J766="DOSAR COMPLET",Control_Achizitii!$K766&lt;&gt;""),1,0)</f>
        <v>0</v>
      </c>
    </row>
    <row r="767" spans="1:34">
      <c r="A767" s="27"/>
      <c r="B767" s="27"/>
      <c r="C767" s="27"/>
      <c r="D767" s="27"/>
      <c r="E767" s="27"/>
      <c r="F767" s="27"/>
      <c r="G767" s="27"/>
      <c r="H767" s="27"/>
      <c r="I767" s="27"/>
      <c r="J767" s="27"/>
      <c r="K767" s="27"/>
      <c r="L767" s="27"/>
      <c r="M767" s="27"/>
      <c r="N767" s="27"/>
      <c r="O767" s="27"/>
      <c r="P767" s="27"/>
      <c r="Q767" s="27"/>
      <c r="R767" s="27"/>
      <c r="S767" s="27"/>
      <c r="T767" s="27">
        <f>IF(LEFT(Control_Achizitii!$E767,4)="Fact",1,0)</f>
        <v>0</v>
      </c>
      <c r="U767" s="27">
        <f>IF(Control_Achizitii!$C767="",0,IF(ISNUMBER(Control_Achizitii!$B767),0,1))</f>
        <v>0</v>
      </c>
      <c r="V767" s="27">
        <f>IF(Control_Achizitii!$C767="",0,IF($Z$2&lt;&gt;"OK",0,IF(AND(ISNUMBER(Control_Achizitii!$B767),Control_Achizitii!$B767&gt;=$E$5,Control_Achizitii!$B767&lt;$J$5+1,OR($O$5="Toate proiectele",Control_Achizitii!$Q767=$O$5)),1,0)))</f>
        <v>0</v>
      </c>
      <c r="W767" s="27">
        <f>IF(AND(V767=1,OR(Control_Achizitii!$J767&lt;&gt;"DOSAR COMPLET",Control_Achizitii!$K767&lt;&gt;"")),ROW(),1000000000)</f>
        <v>1000000000</v>
      </c>
      <c r="X767" s="27">
        <f>IF(AND(V767=1,LEFT(Control_Achizitii!$E767,4)="Fact",NOT(ISNUMBER(Control_Achizitii!$P767))),1,0)</f>
        <v>0</v>
      </c>
      <c r="Y767" s="27">
        <f>IF(V767=0,0,IF(Control_Achizitii!$J767="DOSAR COMPLET",1,IF(LEFT(Control_Achizitii!$J767,9)="INCOMPLET",2,3)))</f>
        <v>0</v>
      </c>
      <c r="Z767" s="27"/>
      <c r="AA767" s="27"/>
      <c r="AB767" s="27"/>
      <c r="AC767" s="27"/>
      <c r="AD767" s="27"/>
      <c r="AE767" s="27"/>
      <c r="AF767" s="27"/>
      <c r="AG767" s="27"/>
      <c r="AH767" s="27">
        <f>IF(AND(V767=1,Control_Achizitii!$J767="DOSAR COMPLET",Control_Achizitii!$K767&lt;&gt;""),1,0)</f>
        <v>0</v>
      </c>
    </row>
    <row r="768" spans="1:34">
      <c r="A768" s="27"/>
      <c r="B768" s="27"/>
      <c r="C768" s="27"/>
      <c r="D768" s="27"/>
      <c r="E768" s="27"/>
      <c r="F768" s="27"/>
      <c r="G768" s="27"/>
      <c r="H768" s="27"/>
      <c r="I768" s="27"/>
      <c r="J768" s="27"/>
      <c r="K768" s="27"/>
      <c r="L768" s="27"/>
      <c r="M768" s="27"/>
      <c r="N768" s="27"/>
      <c r="O768" s="27"/>
      <c r="P768" s="27"/>
      <c r="Q768" s="27"/>
      <c r="R768" s="27"/>
      <c r="S768" s="27"/>
      <c r="T768" s="27">
        <f>IF(LEFT(Control_Achizitii!$E768,4)="Fact",1,0)</f>
        <v>0</v>
      </c>
      <c r="U768" s="27">
        <f>IF(Control_Achizitii!$C768="",0,IF(ISNUMBER(Control_Achizitii!$B768),0,1))</f>
        <v>0</v>
      </c>
      <c r="V768" s="27">
        <f>IF(Control_Achizitii!$C768="",0,IF($Z$2&lt;&gt;"OK",0,IF(AND(ISNUMBER(Control_Achizitii!$B768),Control_Achizitii!$B768&gt;=$E$5,Control_Achizitii!$B768&lt;$J$5+1,OR($O$5="Toate proiectele",Control_Achizitii!$Q768=$O$5)),1,0)))</f>
        <v>0</v>
      </c>
      <c r="W768" s="27">
        <f>IF(AND(V768=1,OR(Control_Achizitii!$J768&lt;&gt;"DOSAR COMPLET",Control_Achizitii!$K768&lt;&gt;"")),ROW(),1000000000)</f>
        <v>1000000000</v>
      </c>
      <c r="X768" s="27">
        <f>IF(AND(V768=1,LEFT(Control_Achizitii!$E768,4)="Fact",NOT(ISNUMBER(Control_Achizitii!$P768))),1,0)</f>
        <v>0</v>
      </c>
      <c r="Y768" s="27">
        <f>IF(V768=0,0,IF(Control_Achizitii!$J768="DOSAR COMPLET",1,IF(LEFT(Control_Achizitii!$J768,9)="INCOMPLET",2,3)))</f>
        <v>0</v>
      </c>
      <c r="Z768" s="27"/>
      <c r="AA768" s="27"/>
      <c r="AB768" s="27"/>
      <c r="AC768" s="27"/>
      <c r="AD768" s="27"/>
      <c r="AE768" s="27"/>
      <c r="AF768" s="27"/>
      <c r="AG768" s="27"/>
      <c r="AH768" s="27">
        <f>IF(AND(V768=1,Control_Achizitii!$J768="DOSAR COMPLET",Control_Achizitii!$K768&lt;&gt;""),1,0)</f>
        <v>0</v>
      </c>
    </row>
    <row r="769" spans="1:34">
      <c r="A769" s="27"/>
      <c r="B769" s="27"/>
      <c r="C769" s="27"/>
      <c r="D769" s="27"/>
      <c r="E769" s="27"/>
      <c r="F769" s="27"/>
      <c r="G769" s="27"/>
      <c r="H769" s="27"/>
      <c r="I769" s="27"/>
      <c r="J769" s="27"/>
      <c r="K769" s="27"/>
      <c r="L769" s="27"/>
      <c r="M769" s="27"/>
      <c r="N769" s="27"/>
      <c r="O769" s="27"/>
      <c r="P769" s="27"/>
      <c r="Q769" s="27"/>
      <c r="R769" s="27"/>
      <c r="S769" s="27"/>
      <c r="T769" s="27">
        <f>IF(LEFT(Control_Achizitii!$E769,4)="Fact",1,0)</f>
        <v>0</v>
      </c>
      <c r="U769" s="27">
        <f>IF(Control_Achizitii!$C769="",0,IF(ISNUMBER(Control_Achizitii!$B769),0,1))</f>
        <v>0</v>
      </c>
      <c r="V769" s="27">
        <f>IF(Control_Achizitii!$C769="",0,IF($Z$2&lt;&gt;"OK",0,IF(AND(ISNUMBER(Control_Achizitii!$B769),Control_Achizitii!$B769&gt;=$E$5,Control_Achizitii!$B769&lt;$J$5+1,OR($O$5="Toate proiectele",Control_Achizitii!$Q769=$O$5)),1,0)))</f>
        <v>0</v>
      </c>
      <c r="W769" s="27">
        <f>IF(AND(V769=1,OR(Control_Achizitii!$J769&lt;&gt;"DOSAR COMPLET",Control_Achizitii!$K769&lt;&gt;"")),ROW(),1000000000)</f>
        <v>1000000000</v>
      </c>
      <c r="X769" s="27">
        <f>IF(AND(V769=1,LEFT(Control_Achizitii!$E769,4)="Fact",NOT(ISNUMBER(Control_Achizitii!$P769))),1,0)</f>
        <v>0</v>
      </c>
      <c r="Y769" s="27">
        <f>IF(V769=0,0,IF(Control_Achizitii!$J769="DOSAR COMPLET",1,IF(LEFT(Control_Achizitii!$J769,9)="INCOMPLET",2,3)))</f>
        <v>0</v>
      </c>
      <c r="Z769" s="27"/>
      <c r="AA769" s="27"/>
      <c r="AB769" s="27"/>
      <c r="AC769" s="27"/>
      <c r="AD769" s="27"/>
      <c r="AE769" s="27"/>
      <c r="AF769" s="27"/>
      <c r="AG769" s="27"/>
      <c r="AH769" s="27">
        <f>IF(AND(V769=1,Control_Achizitii!$J769="DOSAR COMPLET",Control_Achizitii!$K769&lt;&gt;""),1,0)</f>
        <v>0</v>
      </c>
    </row>
    <row r="770" spans="1:34">
      <c r="A770" s="27"/>
      <c r="B770" s="27"/>
      <c r="C770" s="27"/>
      <c r="D770" s="27"/>
      <c r="E770" s="27"/>
      <c r="F770" s="27"/>
      <c r="G770" s="27"/>
      <c r="H770" s="27"/>
      <c r="I770" s="27"/>
      <c r="J770" s="27"/>
      <c r="K770" s="27"/>
      <c r="L770" s="27"/>
      <c r="M770" s="27"/>
      <c r="N770" s="27"/>
      <c r="O770" s="27"/>
      <c r="P770" s="27"/>
      <c r="Q770" s="27"/>
      <c r="R770" s="27"/>
      <c r="S770" s="27"/>
      <c r="T770" s="27">
        <f>IF(LEFT(Control_Achizitii!$E770,4)="Fact",1,0)</f>
        <v>0</v>
      </c>
      <c r="U770" s="27">
        <f>IF(Control_Achizitii!$C770="",0,IF(ISNUMBER(Control_Achizitii!$B770),0,1))</f>
        <v>0</v>
      </c>
      <c r="V770" s="27">
        <f>IF(Control_Achizitii!$C770="",0,IF($Z$2&lt;&gt;"OK",0,IF(AND(ISNUMBER(Control_Achizitii!$B770),Control_Achizitii!$B770&gt;=$E$5,Control_Achizitii!$B770&lt;$J$5+1,OR($O$5="Toate proiectele",Control_Achizitii!$Q770=$O$5)),1,0)))</f>
        <v>0</v>
      </c>
      <c r="W770" s="27">
        <f>IF(AND(V770=1,OR(Control_Achizitii!$J770&lt;&gt;"DOSAR COMPLET",Control_Achizitii!$K770&lt;&gt;"")),ROW(),1000000000)</f>
        <v>1000000000</v>
      </c>
      <c r="X770" s="27">
        <f>IF(AND(V770=1,LEFT(Control_Achizitii!$E770,4)="Fact",NOT(ISNUMBER(Control_Achizitii!$P770))),1,0)</f>
        <v>0</v>
      </c>
      <c r="Y770" s="27">
        <f>IF(V770=0,0,IF(Control_Achizitii!$J770="DOSAR COMPLET",1,IF(LEFT(Control_Achizitii!$J770,9)="INCOMPLET",2,3)))</f>
        <v>0</v>
      </c>
      <c r="Z770" s="27"/>
      <c r="AA770" s="27"/>
      <c r="AB770" s="27"/>
      <c r="AC770" s="27"/>
      <c r="AD770" s="27"/>
      <c r="AE770" s="27"/>
      <c r="AF770" s="27"/>
      <c r="AG770" s="27"/>
      <c r="AH770" s="27">
        <f>IF(AND(V770=1,Control_Achizitii!$J770="DOSAR COMPLET",Control_Achizitii!$K770&lt;&gt;""),1,0)</f>
        <v>0</v>
      </c>
    </row>
    <row r="771" spans="1:34">
      <c r="A771" s="27"/>
      <c r="B771" s="27"/>
      <c r="C771" s="27"/>
      <c r="D771" s="27"/>
      <c r="E771" s="27"/>
      <c r="F771" s="27"/>
      <c r="G771" s="27"/>
      <c r="H771" s="27"/>
      <c r="I771" s="27"/>
      <c r="J771" s="27"/>
      <c r="K771" s="27"/>
      <c r="L771" s="27"/>
      <c r="M771" s="27"/>
      <c r="N771" s="27"/>
      <c r="O771" s="27"/>
      <c r="P771" s="27"/>
      <c r="Q771" s="27"/>
      <c r="R771" s="27"/>
      <c r="S771" s="27"/>
      <c r="T771" s="27">
        <f>IF(LEFT(Control_Achizitii!$E771,4)="Fact",1,0)</f>
        <v>0</v>
      </c>
      <c r="U771" s="27">
        <f>IF(Control_Achizitii!$C771="",0,IF(ISNUMBER(Control_Achizitii!$B771),0,1))</f>
        <v>0</v>
      </c>
      <c r="V771" s="27">
        <f>IF(Control_Achizitii!$C771="",0,IF($Z$2&lt;&gt;"OK",0,IF(AND(ISNUMBER(Control_Achizitii!$B771),Control_Achizitii!$B771&gt;=$E$5,Control_Achizitii!$B771&lt;$J$5+1,OR($O$5="Toate proiectele",Control_Achizitii!$Q771=$O$5)),1,0)))</f>
        <v>0</v>
      </c>
      <c r="W771" s="27">
        <f>IF(AND(V771=1,OR(Control_Achizitii!$J771&lt;&gt;"DOSAR COMPLET",Control_Achizitii!$K771&lt;&gt;"")),ROW(),1000000000)</f>
        <v>1000000000</v>
      </c>
      <c r="X771" s="27">
        <f>IF(AND(V771=1,LEFT(Control_Achizitii!$E771,4)="Fact",NOT(ISNUMBER(Control_Achizitii!$P771))),1,0)</f>
        <v>0</v>
      </c>
      <c r="Y771" s="27">
        <f>IF(V771=0,0,IF(Control_Achizitii!$J771="DOSAR COMPLET",1,IF(LEFT(Control_Achizitii!$J771,9)="INCOMPLET",2,3)))</f>
        <v>0</v>
      </c>
      <c r="Z771" s="27"/>
      <c r="AA771" s="27"/>
      <c r="AB771" s="27"/>
      <c r="AC771" s="27"/>
      <c r="AD771" s="27"/>
      <c r="AE771" s="27"/>
      <c r="AF771" s="27"/>
      <c r="AG771" s="27"/>
      <c r="AH771" s="27">
        <f>IF(AND(V771=1,Control_Achizitii!$J771="DOSAR COMPLET",Control_Achizitii!$K771&lt;&gt;""),1,0)</f>
        <v>0</v>
      </c>
    </row>
    <row r="772" spans="1:34">
      <c r="A772" s="27"/>
      <c r="B772" s="27"/>
      <c r="C772" s="27"/>
      <c r="D772" s="27"/>
      <c r="E772" s="27"/>
      <c r="F772" s="27"/>
      <c r="G772" s="27"/>
      <c r="H772" s="27"/>
      <c r="I772" s="27"/>
      <c r="J772" s="27"/>
      <c r="K772" s="27"/>
      <c r="L772" s="27"/>
      <c r="M772" s="27"/>
      <c r="N772" s="27"/>
      <c r="O772" s="27"/>
      <c r="P772" s="27"/>
      <c r="Q772" s="27"/>
      <c r="R772" s="27"/>
      <c r="S772" s="27"/>
      <c r="T772" s="27">
        <f>IF(LEFT(Control_Achizitii!$E772,4)="Fact",1,0)</f>
        <v>0</v>
      </c>
      <c r="U772" s="27">
        <f>IF(Control_Achizitii!$C772="",0,IF(ISNUMBER(Control_Achizitii!$B772),0,1))</f>
        <v>0</v>
      </c>
      <c r="V772" s="27">
        <f>IF(Control_Achizitii!$C772="",0,IF($Z$2&lt;&gt;"OK",0,IF(AND(ISNUMBER(Control_Achizitii!$B772),Control_Achizitii!$B772&gt;=$E$5,Control_Achizitii!$B772&lt;$J$5+1,OR($O$5="Toate proiectele",Control_Achizitii!$Q772=$O$5)),1,0)))</f>
        <v>0</v>
      </c>
      <c r="W772" s="27">
        <f>IF(AND(V772=1,OR(Control_Achizitii!$J772&lt;&gt;"DOSAR COMPLET",Control_Achizitii!$K772&lt;&gt;"")),ROW(),1000000000)</f>
        <v>1000000000</v>
      </c>
      <c r="X772" s="27">
        <f>IF(AND(V772=1,LEFT(Control_Achizitii!$E772,4)="Fact",NOT(ISNUMBER(Control_Achizitii!$P772))),1,0)</f>
        <v>0</v>
      </c>
      <c r="Y772" s="27">
        <f>IF(V772=0,0,IF(Control_Achizitii!$J772="DOSAR COMPLET",1,IF(LEFT(Control_Achizitii!$J772,9)="INCOMPLET",2,3)))</f>
        <v>0</v>
      </c>
      <c r="Z772" s="27"/>
      <c r="AA772" s="27"/>
      <c r="AB772" s="27"/>
      <c r="AC772" s="27"/>
      <c r="AD772" s="27"/>
      <c r="AE772" s="27"/>
      <c r="AF772" s="27"/>
      <c r="AG772" s="27"/>
      <c r="AH772" s="27">
        <f>IF(AND(V772=1,Control_Achizitii!$J772="DOSAR COMPLET",Control_Achizitii!$K772&lt;&gt;""),1,0)</f>
        <v>0</v>
      </c>
    </row>
    <row r="773" spans="1:34">
      <c r="A773" s="27"/>
      <c r="B773" s="27"/>
      <c r="C773" s="27"/>
      <c r="D773" s="27"/>
      <c r="E773" s="27"/>
      <c r="F773" s="27"/>
      <c r="G773" s="27"/>
      <c r="H773" s="27"/>
      <c r="I773" s="27"/>
      <c r="J773" s="27"/>
      <c r="K773" s="27"/>
      <c r="L773" s="27"/>
      <c r="M773" s="27"/>
      <c r="N773" s="27"/>
      <c r="O773" s="27"/>
      <c r="P773" s="27"/>
      <c r="Q773" s="27"/>
      <c r="R773" s="27"/>
      <c r="S773" s="27"/>
      <c r="T773" s="27">
        <f>IF(LEFT(Control_Achizitii!$E773,4)="Fact",1,0)</f>
        <v>0</v>
      </c>
      <c r="U773" s="27">
        <f>IF(Control_Achizitii!$C773="",0,IF(ISNUMBER(Control_Achizitii!$B773),0,1))</f>
        <v>0</v>
      </c>
      <c r="V773" s="27">
        <f>IF(Control_Achizitii!$C773="",0,IF($Z$2&lt;&gt;"OK",0,IF(AND(ISNUMBER(Control_Achizitii!$B773),Control_Achizitii!$B773&gt;=$E$5,Control_Achizitii!$B773&lt;$J$5+1,OR($O$5="Toate proiectele",Control_Achizitii!$Q773=$O$5)),1,0)))</f>
        <v>0</v>
      </c>
      <c r="W773" s="27">
        <f>IF(AND(V773=1,OR(Control_Achizitii!$J773&lt;&gt;"DOSAR COMPLET",Control_Achizitii!$K773&lt;&gt;"")),ROW(),1000000000)</f>
        <v>1000000000</v>
      </c>
      <c r="X773" s="27">
        <f>IF(AND(V773=1,LEFT(Control_Achizitii!$E773,4)="Fact",NOT(ISNUMBER(Control_Achizitii!$P773))),1,0)</f>
        <v>0</v>
      </c>
      <c r="Y773" s="27">
        <f>IF(V773=0,0,IF(Control_Achizitii!$J773="DOSAR COMPLET",1,IF(LEFT(Control_Achizitii!$J773,9)="INCOMPLET",2,3)))</f>
        <v>0</v>
      </c>
      <c r="Z773" s="27"/>
      <c r="AA773" s="27"/>
      <c r="AB773" s="27"/>
      <c r="AC773" s="27"/>
      <c r="AD773" s="27"/>
      <c r="AE773" s="27"/>
      <c r="AF773" s="27"/>
      <c r="AG773" s="27"/>
      <c r="AH773" s="27">
        <f>IF(AND(V773=1,Control_Achizitii!$J773="DOSAR COMPLET",Control_Achizitii!$K773&lt;&gt;""),1,0)</f>
        <v>0</v>
      </c>
    </row>
    <row r="774" spans="1:34">
      <c r="A774" s="27"/>
      <c r="B774" s="27"/>
      <c r="C774" s="27"/>
      <c r="D774" s="27"/>
      <c r="E774" s="27"/>
      <c r="F774" s="27"/>
      <c r="G774" s="27"/>
      <c r="H774" s="27"/>
      <c r="I774" s="27"/>
      <c r="J774" s="27"/>
      <c r="K774" s="27"/>
      <c r="L774" s="27"/>
      <c r="M774" s="27"/>
      <c r="N774" s="27"/>
      <c r="O774" s="27"/>
      <c r="P774" s="27"/>
      <c r="Q774" s="27"/>
      <c r="R774" s="27"/>
      <c r="S774" s="27"/>
      <c r="T774" s="27">
        <f>IF(LEFT(Control_Achizitii!$E774,4)="Fact",1,0)</f>
        <v>0</v>
      </c>
      <c r="U774" s="27">
        <f>IF(Control_Achizitii!$C774="",0,IF(ISNUMBER(Control_Achizitii!$B774),0,1))</f>
        <v>0</v>
      </c>
      <c r="V774" s="27">
        <f>IF(Control_Achizitii!$C774="",0,IF($Z$2&lt;&gt;"OK",0,IF(AND(ISNUMBER(Control_Achizitii!$B774),Control_Achizitii!$B774&gt;=$E$5,Control_Achizitii!$B774&lt;$J$5+1,OR($O$5="Toate proiectele",Control_Achizitii!$Q774=$O$5)),1,0)))</f>
        <v>0</v>
      </c>
      <c r="W774" s="27">
        <f>IF(AND(V774=1,OR(Control_Achizitii!$J774&lt;&gt;"DOSAR COMPLET",Control_Achizitii!$K774&lt;&gt;"")),ROW(),1000000000)</f>
        <v>1000000000</v>
      </c>
      <c r="X774" s="27">
        <f>IF(AND(V774=1,LEFT(Control_Achizitii!$E774,4)="Fact",NOT(ISNUMBER(Control_Achizitii!$P774))),1,0)</f>
        <v>0</v>
      </c>
      <c r="Y774" s="27">
        <f>IF(V774=0,0,IF(Control_Achizitii!$J774="DOSAR COMPLET",1,IF(LEFT(Control_Achizitii!$J774,9)="INCOMPLET",2,3)))</f>
        <v>0</v>
      </c>
      <c r="Z774" s="27"/>
      <c r="AA774" s="27"/>
      <c r="AB774" s="27"/>
      <c r="AC774" s="27"/>
      <c r="AD774" s="27"/>
      <c r="AE774" s="27"/>
      <c r="AF774" s="27"/>
      <c r="AG774" s="27"/>
      <c r="AH774" s="27">
        <f>IF(AND(V774=1,Control_Achizitii!$J774="DOSAR COMPLET",Control_Achizitii!$K774&lt;&gt;""),1,0)</f>
        <v>0</v>
      </c>
    </row>
    <row r="775" spans="1:34">
      <c r="A775" s="27"/>
      <c r="B775" s="27"/>
      <c r="C775" s="27"/>
      <c r="D775" s="27"/>
      <c r="E775" s="27"/>
      <c r="F775" s="27"/>
      <c r="G775" s="27"/>
      <c r="H775" s="27"/>
      <c r="I775" s="27"/>
      <c r="J775" s="27"/>
      <c r="K775" s="27"/>
      <c r="L775" s="27"/>
      <c r="M775" s="27"/>
      <c r="N775" s="27"/>
      <c r="O775" s="27"/>
      <c r="P775" s="27"/>
      <c r="Q775" s="27"/>
      <c r="R775" s="27"/>
      <c r="S775" s="27"/>
      <c r="T775" s="27">
        <f>IF(LEFT(Control_Achizitii!$E775,4)="Fact",1,0)</f>
        <v>0</v>
      </c>
      <c r="U775" s="27">
        <f>IF(Control_Achizitii!$C775="",0,IF(ISNUMBER(Control_Achizitii!$B775),0,1))</f>
        <v>0</v>
      </c>
      <c r="V775" s="27">
        <f>IF(Control_Achizitii!$C775="",0,IF($Z$2&lt;&gt;"OK",0,IF(AND(ISNUMBER(Control_Achizitii!$B775),Control_Achizitii!$B775&gt;=$E$5,Control_Achizitii!$B775&lt;$J$5+1,OR($O$5="Toate proiectele",Control_Achizitii!$Q775=$O$5)),1,0)))</f>
        <v>0</v>
      </c>
      <c r="W775" s="27">
        <f>IF(AND(V775=1,OR(Control_Achizitii!$J775&lt;&gt;"DOSAR COMPLET",Control_Achizitii!$K775&lt;&gt;"")),ROW(),1000000000)</f>
        <v>1000000000</v>
      </c>
      <c r="X775" s="27">
        <f>IF(AND(V775=1,LEFT(Control_Achizitii!$E775,4)="Fact",NOT(ISNUMBER(Control_Achizitii!$P775))),1,0)</f>
        <v>0</v>
      </c>
      <c r="Y775" s="27">
        <f>IF(V775=0,0,IF(Control_Achizitii!$J775="DOSAR COMPLET",1,IF(LEFT(Control_Achizitii!$J775,9)="INCOMPLET",2,3)))</f>
        <v>0</v>
      </c>
      <c r="Z775" s="27"/>
      <c r="AA775" s="27"/>
      <c r="AB775" s="27"/>
      <c r="AC775" s="27"/>
      <c r="AD775" s="27"/>
      <c r="AE775" s="27"/>
      <c r="AF775" s="27"/>
      <c r="AG775" s="27"/>
      <c r="AH775" s="27">
        <f>IF(AND(V775=1,Control_Achizitii!$J775="DOSAR COMPLET",Control_Achizitii!$K775&lt;&gt;""),1,0)</f>
        <v>0</v>
      </c>
    </row>
    <row r="776" spans="1:34">
      <c r="A776" s="27"/>
      <c r="B776" s="27"/>
      <c r="C776" s="27"/>
      <c r="D776" s="27"/>
      <c r="E776" s="27"/>
      <c r="F776" s="27"/>
      <c r="G776" s="27"/>
      <c r="H776" s="27"/>
      <c r="I776" s="27"/>
      <c r="J776" s="27"/>
      <c r="K776" s="27"/>
      <c r="L776" s="27"/>
      <c r="M776" s="27"/>
      <c r="N776" s="27"/>
      <c r="O776" s="27"/>
      <c r="P776" s="27"/>
      <c r="Q776" s="27"/>
      <c r="R776" s="27"/>
      <c r="S776" s="27"/>
      <c r="T776" s="27">
        <f>IF(LEFT(Control_Achizitii!$E776,4)="Fact",1,0)</f>
        <v>0</v>
      </c>
      <c r="U776" s="27">
        <f>IF(Control_Achizitii!$C776="",0,IF(ISNUMBER(Control_Achizitii!$B776),0,1))</f>
        <v>0</v>
      </c>
      <c r="V776" s="27">
        <f>IF(Control_Achizitii!$C776="",0,IF($Z$2&lt;&gt;"OK",0,IF(AND(ISNUMBER(Control_Achizitii!$B776),Control_Achizitii!$B776&gt;=$E$5,Control_Achizitii!$B776&lt;$J$5+1,OR($O$5="Toate proiectele",Control_Achizitii!$Q776=$O$5)),1,0)))</f>
        <v>0</v>
      </c>
      <c r="W776" s="27">
        <f>IF(AND(V776=1,OR(Control_Achizitii!$J776&lt;&gt;"DOSAR COMPLET",Control_Achizitii!$K776&lt;&gt;"")),ROW(),1000000000)</f>
        <v>1000000000</v>
      </c>
      <c r="X776" s="27">
        <f>IF(AND(V776=1,LEFT(Control_Achizitii!$E776,4)="Fact",NOT(ISNUMBER(Control_Achizitii!$P776))),1,0)</f>
        <v>0</v>
      </c>
      <c r="Y776" s="27">
        <f>IF(V776=0,0,IF(Control_Achizitii!$J776="DOSAR COMPLET",1,IF(LEFT(Control_Achizitii!$J776,9)="INCOMPLET",2,3)))</f>
        <v>0</v>
      </c>
      <c r="Z776" s="27"/>
      <c r="AA776" s="27"/>
      <c r="AB776" s="27"/>
      <c r="AC776" s="27"/>
      <c r="AD776" s="27"/>
      <c r="AE776" s="27"/>
      <c r="AF776" s="27"/>
      <c r="AG776" s="27"/>
      <c r="AH776" s="27">
        <f>IF(AND(V776=1,Control_Achizitii!$J776="DOSAR COMPLET",Control_Achizitii!$K776&lt;&gt;""),1,0)</f>
        <v>0</v>
      </c>
    </row>
    <row r="777" spans="1:34">
      <c r="A777" s="27"/>
      <c r="B777" s="27"/>
      <c r="C777" s="27"/>
      <c r="D777" s="27"/>
      <c r="E777" s="27"/>
      <c r="F777" s="27"/>
      <c r="G777" s="27"/>
      <c r="H777" s="27"/>
      <c r="I777" s="27"/>
      <c r="J777" s="27"/>
      <c r="K777" s="27"/>
      <c r="L777" s="27"/>
      <c r="M777" s="27"/>
      <c r="N777" s="27"/>
      <c r="O777" s="27"/>
      <c r="P777" s="27"/>
      <c r="Q777" s="27"/>
      <c r="R777" s="27"/>
      <c r="S777" s="27"/>
      <c r="T777" s="27">
        <f>IF(LEFT(Control_Achizitii!$E777,4)="Fact",1,0)</f>
        <v>0</v>
      </c>
      <c r="U777" s="27">
        <f>IF(Control_Achizitii!$C777="",0,IF(ISNUMBER(Control_Achizitii!$B777),0,1))</f>
        <v>0</v>
      </c>
      <c r="V777" s="27">
        <f>IF(Control_Achizitii!$C777="",0,IF($Z$2&lt;&gt;"OK",0,IF(AND(ISNUMBER(Control_Achizitii!$B777),Control_Achizitii!$B777&gt;=$E$5,Control_Achizitii!$B777&lt;$J$5+1,OR($O$5="Toate proiectele",Control_Achizitii!$Q777=$O$5)),1,0)))</f>
        <v>0</v>
      </c>
      <c r="W777" s="27">
        <f>IF(AND(V777=1,OR(Control_Achizitii!$J777&lt;&gt;"DOSAR COMPLET",Control_Achizitii!$K777&lt;&gt;"")),ROW(),1000000000)</f>
        <v>1000000000</v>
      </c>
      <c r="X777" s="27">
        <f>IF(AND(V777=1,LEFT(Control_Achizitii!$E777,4)="Fact",NOT(ISNUMBER(Control_Achizitii!$P777))),1,0)</f>
        <v>0</v>
      </c>
      <c r="Y777" s="27">
        <f>IF(V777=0,0,IF(Control_Achizitii!$J777="DOSAR COMPLET",1,IF(LEFT(Control_Achizitii!$J777,9)="INCOMPLET",2,3)))</f>
        <v>0</v>
      </c>
      <c r="Z777" s="27"/>
      <c r="AA777" s="27"/>
      <c r="AB777" s="27"/>
      <c r="AC777" s="27"/>
      <c r="AD777" s="27"/>
      <c r="AE777" s="27"/>
      <c r="AF777" s="27"/>
      <c r="AG777" s="27"/>
      <c r="AH777" s="27">
        <f>IF(AND(V777=1,Control_Achizitii!$J777="DOSAR COMPLET",Control_Achizitii!$K777&lt;&gt;""),1,0)</f>
        <v>0</v>
      </c>
    </row>
    <row r="778" spans="1:34">
      <c r="A778" s="27"/>
      <c r="B778" s="27"/>
      <c r="C778" s="27"/>
      <c r="D778" s="27"/>
      <c r="E778" s="27"/>
      <c r="F778" s="27"/>
      <c r="G778" s="27"/>
      <c r="H778" s="27"/>
      <c r="I778" s="27"/>
      <c r="J778" s="27"/>
      <c r="K778" s="27"/>
      <c r="L778" s="27"/>
      <c r="M778" s="27"/>
      <c r="N778" s="27"/>
      <c r="O778" s="27"/>
      <c r="P778" s="27"/>
      <c r="Q778" s="27"/>
      <c r="R778" s="27"/>
      <c r="S778" s="27"/>
      <c r="T778" s="27">
        <f>IF(LEFT(Control_Achizitii!$E778,4)="Fact",1,0)</f>
        <v>0</v>
      </c>
      <c r="U778" s="27">
        <f>IF(Control_Achizitii!$C778="",0,IF(ISNUMBER(Control_Achizitii!$B778),0,1))</f>
        <v>0</v>
      </c>
      <c r="V778" s="27">
        <f>IF(Control_Achizitii!$C778="",0,IF($Z$2&lt;&gt;"OK",0,IF(AND(ISNUMBER(Control_Achizitii!$B778),Control_Achizitii!$B778&gt;=$E$5,Control_Achizitii!$B778&lt;$J$5+1,OR($O$5="Toate proiectele",Control_Achizitii!$Q778=$O$5)),1,0)))</f>
        <v>0</v>
      </c>
      <c r="W778" s="27">
        <f>IF(AND(V778=1,OR(Control_Achizitii!$J778&lt;&gt;"DOSAR COMPLET",Control_Achizitii!$K778&lt;&gt;"")),ROW(),1000000000)</f>
        <v>1000000000</v>
      </c>
      <c r="X778" s="27">
        <f>IF(AND(V778=1,LEFT(Control_Achizitii!$E778,4)="Fact",NOT(ISNUMBER(Control_Achizitii!$P778))),1,0)</f>
        <v>0</v>
      </c>
      <c r="Y778" s="27">
        <f>IF(V778=0,0,IF(Control_Achizitii!$J778="DOSAR COMPLET",1,IF(LEFT(Control_Achizitii!$J778,9)="INCOMPLET",2,3)))</f>
        <v>0</v>
      </c>
      <c r="Z778" s="27"/>
      <c r="AA778" s="27"/>
      <c r="AB778" s="27"/>
      <c r="AC778" s="27"/>
      <c r="AD778" s="27"/>
      <c r="AE778" s="27"/>
      <c r="AF778" s="27"/>
      <c r="AG778" s="27"/>
      <c r="AH778" s="27">
        <f>IF(AND(V778=1,Control_Achizitii!$J778="DOSAR COMPLET",Control_Achizitii!$K778&lt;&gt;""),1,0)</f>
        <v>0</v>
      </c>
    </row>
    <row r="779" spans="1:34">
      <c r="A779" s="27"/>
      <c r="B779" s="27"/>
      <c r="C779" s="27"/>
      <c r="D779" s="27"/>
      <c r="E779" s="27"/>
      <c r="F779" s="27"/>
      <c r="G779" s="27"/>
      <c r="H779" s="27"/>
      <c r="I779" s="27"/>
      <c r="J779" s="27"/>
      <c r="K779" s="27"/>
      <c r="L779" s="27"/>
      <c r="M779" s="27"/>
      <c r="N779" s="27"/>
      <c r="O779" s="27"/>
      <c r="P779" s="27"/>
      <c r="Q779" s="27"/>
      <c r="R779" s="27"/>
      <c r="S779" s="27"/>
      <c r="T779" s="27">
        <f>IF(LEFT(Control_Achizitii!$E779,4)="Fact",1,0)</f>
        <v>0</v>
      </c>
      <c r="U779" s="27">
        <f>IF(Control_Achizitii!$C779="",0,IF(ISNUMBER(Control_Achizitii!$B779),0,1))</f>
        <v>0</v>
      </c>
      <c r="V779" s="27">
        <f>IF(Control_Achizitii!$C779="",0,IF($Z$2&lt;&gt;"OK",0,IF(AND(ISNUMBER(Control_Achizitii!$B779),Control_Achizitii!$B779&gt;=$E$5,Control_Achizitii!$B779&lt;$J$5+1,OR($O$5="Toate proiectele",Control_Achizitii!$Q779=$O$5)),1,0)))</f>
        <v>0</v>
      </c>
      <c r="W779" s="27">
        <f>IF(AND(V779=1,OR(Control_Achizitii!$J779&lt;&gt;"DOSAR COMPLET",Control_Achizitii!$K779&lt;&gt;"")),ROW(),1000000000)</f>
        <v>1000000000</v>
      </c>
      <c r="X779" s="27">
        <f>IF(AND(V779=1,LEFT(Control_Achizitii!$E779,4)="Fact",NOT(ISNUMBER(Control_Achizitii!$P779))),1,0)</f>
        <v>0</v>
      </c>
      <c r="Y779" s="27">
        <f>IF(V779=0,0,IF(Control_Achizitii!$J779="DOSAR COMPLET",1,IF(LEFT(Control_Achizitii!$J779,9)="INCOMPLET",2,3)))</f>
        <v>0</v>
      </c>
      <c r="Z779" s="27"/>
      <c r="AA779" s="27"/>
      <c r="AB779" s="27"/>
      <c r="AC779" s="27"/>
      <c r="AD779" s="27"/>
      <c r="AE779" s="27"/>
      <c r="AF779" s="27"/>
      <c r="AG779" s="27"/>
      <c r="AH779" s="27">
        <f>IF(AND(V779=1,Control_Achizitii!$J779="DOSAR COMPLET",Control_Achizitii!$K779&lt;&gt;""),1,0)</f>
        <v>0</v>
      </c>
    </row>
    <row r="780" spans="1:34">
      <c r="A780" s="27"/>
      <c r="B780" s="27"/>
      <c r="C780" s="27"/>
      <c r="D780" s="27"/>
      <c r="E780" s="27"/>
      <c r="F780" s="27"/>
      <c r="G780" s="27"/>
      <c r="H780" s="27"/>
      <c r="I780" s="27"/>
      <c r="J780" s="27"/>
      <c r="K780" s="27"/>
      <c r="L780" s="27"/>
      <c r="M780" s="27"/>
      <c r="N780" s="27"/>
      <c r="O780" s="27"/>
      <c r="P780" s="27"/>
      <c r="Q780" s="27"/>
      <c r="R780" s="27"/>
      <c r="S780" s="27"/>
      <c r="T780" s="27">
        <f>IF(LEFT(Control_Achizitii!$E780,4)="Fact",1,0)</f>
        <v>0</v>
      </c>
      <c r="U780" s="27">
        <f>IF(Control_Achizitii!$C780="",0,IF(ISNUMBER(Control_Achizitii!$B780),0,1))</f>
        <v>0</v>
      </c>
      <c r="V780" s="27">
        <f>IF(Control_Achizitii!$C780="",0,IF($Z$2&lt;&gt;"OK",0,IF(AND(ISNUMBER(Control_Achizitii!$B780),Control_Achizitii!$B780&gt;=$E$5,Control_Achizitii!$B780&lt;$J$5+1,OR($O$5="Toate proiectele",Control_Achizitii!$Q780=$O$5)),1,0)))</f>
        <v>0</v>
      </c>
      <c r="W780" s="27">
        <f>IF(AND(V780=1,OR(Control_Achizitii!$J780&lt;&gt;"DOSAR COMPLET",Control_Achizitii!$K780&lt;&gt;"")),ROW(),1000000000)</f>
        <v>1000000000</v>
      </c>
      <c r="X780" s="27">
        <f>IF(AND(V780=1,LEFT(Control_Achizitii!$E780,4)="Fact",NOT(ISNUMBER(Control_Achizitii!$P780))),1,0)</f>
        <v>0</v>
      </c>
      <c r="Y780" s="27">
        <f>IF(V780=0,0,IF(Control_Achizitii!$J780="DOSAR COMPLET",1,IF(LEFT(Control_Achizitii!$J780,9)="INCOMPLET",2,3)))</f>
        <v>0</v>
      </c>
      <c r="Z780" s="27"/>
      <c r="AA780" s="27"/>
      <c r="AB780" s="27"/>
      <c r="AC780" s="27"/>
      <c r="AD780" s="27"/>
      <c r="AE780" s="27"/>
      <c r="AF780" s="27"/>
      <c r="AG780" s="27"/>
      <c r="AH780" s="27">
        <f>IF(AND(V780=1,Control_Achizitii!$J780="DOSAR COMPLET",Control_Achizitii!$K780&lt;&gt;""),1,0)</f>
        <v>0</v>
      </c>
    </row>
    <row r="781" spans="1:34">
      <c r="A781" s="27"/>
      <c r="B781" s="27"/>
      <c r="C781" s="27"/>
      <c r="D781" s="27"/>
      <c r="E781" s="27"/>
      <c r="F781" s="27"/>
      <c r="G781" s="27"/>
      <c r="H781" s="27"/>
      <c r="I781" s="27"/>
      <c r="J781" s="27"/>
      <c r="K781" s="27"/>
      <c r="L781" s="27"/>
      <c r="M781" s="27"/>
      <c r="N781" s="27"/>
      <c r="O781" s="27"/>
      <c r="P781" s="27"/>
      <c r="Q781" s="27"/>
      <c r="R781" s="27"/>
      <c r="S781" s="27"/>
      <c r="T781" s="27">
        <f>IF(LEFT(Control_Achizitii!$E781,4)="Fact",1,0)</f>
        <v>0</v>
      </c>
      <c r="U781" s="27">
        <f>IF(Control_Achizitii!$C781="",0,IF(ISNUMBER(Control_Achizitii!$B781),0,1))</f>
        <v>0</v>
      </c>
      <c r="V781" s="27">
        <f>IF(Control_Achizitii!$C781="",0,IF($Z$2&lt;&gt;"OK",0,IF(AND(ISNUMBER(Control_Achizitii!$B781),Control_Achizitii!$B781&gt;=$E$5,Control_Achizitii!$B781&lt;$J$5+1,OR($O$5="Toate proiectele",Control_Achizitii!$Q781=$O$5)),1,0)))</f>
        <v>0</v>
      </c>
      <c r="W781" s="27">
        <f>IF(AND(V781=1,OR(Control_Achizitii!$J781&lt;&gt;"DOSAR COMPLET",Control_Achizitii!$K781&lt;&gt;"")),ROW(),1000000000)</f>
        <v>1000000000</v>
      </c>
      <c r="X781" s="27">
        <f>IF(AND(V781=1,LEFT(Control_Achizitii!$E781,4)="Fact",NOT(ISNUMBER(Control_Achizitii!$P781))),1,0)</f>
        <v>0</v>
      </c>
      <c r="Y781" s="27">
        <f>IF(V781=0,0,IF(Control_Achizitii!$J781="DOSAR COMPLET",1,IF(LEFT(Control_Achizitii!$J781,9)="INCOMPLET",2,3)))</f>
        <v>0</v>
      </c>
      <c r="Z781" s="27"/>
      <c r="AA781" s="27"/>
      <c r="AB781" s="27"/>
      <c r="AC781" s="27"/>
      <c r="AD781" s="27"/>
      <c r="AE781" s="27"/>
      <c r="AF781" s="27"/>
      <c r="AG781" s="27"/>
      <c r="AH781" s="27">
        <f>IF(AND(V781=1,Control_Achizitii!$J781="DOSAR COMPLET",Control_Achizitii!$K781&lt;&gt;""),1,0)</f>
        <v>0</v>
      </c>
    </row>
    <row r="782" spans="1:34">
      <c r="A782" s="27"/>
      <c r="B782" s="27"/>
      <c r="C782" s="27"/>
      <c r="D782" s="27"/>
      <c r="E782" s="27"/>
      <c r="F782" s="27"/>
      <c r="G782" s="27"/>
      <c r="H782" s="27"/>
      <c r="I782" s="27"/>
      <c r="J782" s="27"/>
      <c r="K782" s="27"/>
      <c r="L782" s="27"/>
      <c r="M782" s="27"/>
      <c r="N782" s="27"/>
      <c r="O782" s="27"/>
      <c r="P782" s="27"/>
      <c r="Q782" s="27"/>
      <c r="R782" s="27"/>
      <c r="S782" s="27"/>
      <c r="T782" s="27">
        <f>IF(LEFT(Control_Achizitii!$E782,4)="Fact",1,0)</f>
        <v>0</v>
      </c>
      <c r="U782" s="27">
        <f>IF(Control_Achizitii!$C782="",0,IF(ISNUMBER(Control_Achizitii!$B782),0,1))</f>
        <v>0</v>
      </c>
      <c r="V782" s="27">
        <f>IF(Control_Achizitii!$C782="",0,IF($Z$2&lt;&gt;"OK",0,IF(AND(ISNUMBER(Control_Achizitii!$B782),Control_Achizitii!$B782&gt;=$E$5,Control_Achizitii!$B782&lt;$J$5+1,OR($O$5="Toate proiectele",Control_Achizitii!$Q782=$O$5)),1,0)))</f>
        <v>0</v>
      </c>
      <c r="W782" s="27">
        <f>IF(AND(V782=1,OR(Control_Achizitii!$J782&lt;&gt;"DOSAR COMPLET",Control_Achizitii!$K782&lt;&gt;"")),ROW(),1000000000)</f>
        <v>1000000000</v>
      </c>
      <c r="X782" s="27">
        <f>IF(AND(V782=1,LEFT(Control_Achizitii!$E782,4)="Fact",NOT(ISNUMBER(Control_Achizitii!$P782))),1,0)</f>
        <v>0</v>
      </c>
      <c r="Y782" s="27">
        <f>IF(V782=0,0,IF(Control_Achizitii!$J782="DOSAR COMPLET",1,IF(LEFT(Control_Achizitii!$J782,9)="INCOMPLET",2,3)))</f>
        <v>0</v>
      </c>
      <c r="Z782" s="27"/>
      <c r="AA782" s="27"/>
      <c r="AB782" s="27"/>
      <c r="AC782" s="27"/>
      <c r="AD782" s="27"/>
      <c r="AE782" s="27"/>
      <c r="AF782" s="27"/>
      <c r="AG782" s="27"/>
      <c r="AH782" s="27">
        <f>IF(AND(V782=1,Control_Achizitii!$J782="DOSAR COMPLET",Control_Achizitii!$K782&lt;&gt;""),1,0)</f>
        <v>0</v>
      </c>
    </row>
    <row r="783" spans="1:34">
      <c r="A783" s="27"/>
      <c r="B783" s="27"/>
      <c r="C783" s="27"/>
      <c r="D783" s="27"/>
      <c r="E783" s="27"/>
      <c r="F783" s="27"/>
      <c r="G783" s="27"/>
      <c r="H783" s="27"/>
      <c r="I783" s="27"/>
      <c r="J783" s="27"/>
      <c r="K783" s="27"/>
      <c r="L783" s="27"/>
      <c r="M783" s="27"/>
      <c r="N783" s="27"/>
      <c r="O783" s="27"/>
      <c r="P783" s="27"/>
      <c r="Q783" s="27"/>
      <c r="R783" s="27"/>
      <c r="S783" s="27"/>
      <c r="T783" s="27">
        <f>IF(LEFT(Control_Achizitii!$E783,4)="Fact",1,0)</f>
        <v>0</v>
      </c>
      <c r="U783" s="27">
        <f>IF(Control_Achizitii!$C783="",0,IF(ISNUMBER(Control_Achizitii!$B783),0,1))</f>
        <v>0</v>
      </c>
      <c r="V783" s="27">
        <f>IF(Control_Achizitii!$C783="",0,IF($Z$2&lt;&gt;"OK",0,IF(AND(ISNUMBER(Control_Achizitii!$B783),Control_Achizitii!$B783&gt;=$E$5,Control_Achizitii!$B783&lt;$J$5+1,OR($O$5="Toate proiectele",Control_Achizitii!$Q783=$O$5)),1,0)))</f>
        <v>0</v>
      </c>
      <c r="W783" s="27">
        <f>IF(AND(V783=1,OR(Control_Achizitii!$J783&lt;&gt;"DOSAR COMPLET",Control_Achizitii!$K783&lt;&gt;"")),ROW(),1000000000)</f>
        <v>1000000000</v>
      </c>
      <c r="X783" s="27">
        <f>IF(AND(V783=1,LEFT(Control_Achizitii!$E783,4)="Fact",NOT(ISNUMBER(Control_Achizitii!$P783))),1,0)</f>
        <v>0</v>
      </c>
      <c r="Y783" s="27">
        <f>IF(V783=0,0,IF(Control_Achizitii!$J783="DOSAR COMPLET",1,IF(LEFT(Control_Achizitii!$J783,9)="INCOMPLET",2,3)))</f>
        <v>0</v>
      </c>
      <c r="Z783" s="27"/>
      <c r="AA783" s="27"/>
      <c r="AB783" s="27"/>
      <c r="AC783" s="27"/>
      <c r="AD783" s="27"/>
      <c r="AE783" s="27"/>
      <c r="AF783" s="27"/>
      <c r="AG783" s="27"/>
      <c r="AH783" s="27">
        <f>IF(AND(V783=1,Control_Achizitii!$J783="DOSAR COMPLET",Control_Achizitii!$K783&lt;&gt;""),1,0)</f>
        <v>0</v>
      </c>
    </row>
    <row r="784" spans="1:34">
      <c r="A784" s="27"/>
      <c r="B784" s="27"/>
      <c r="C784" s="27"/>
      <c r="D784" s="27"/>
      <c r="E784" s="27"/>
      <c r="F784" s="27"/>
      <c r="G784" s="27"/>
      <c r="H784" s="27"/>
      <c r="I784" s="27"/>
      <c r="J784" s="27"/>
      <c r="K784" s="27"/>
      <c r="L784" s="27"/>
      <c r="M784" s="27"/>
      <c r="N784" s="27"/>
      <c r="O784" s="27"/>
      <c r="P784" s="27"/>
      <c r="Q784" s="27"/>
      <c r="R784" s="27"/>
      <c r="S784" s="27"/>
      <c r="T784" s="27">
        <f>IF(LEFT(Control_Achizitii!$E784,4)="Fact",1,0)</f>
        <v>0</v>
      </c>
      <c r="U784" s="27">
        <f>IF(Control_Achizitii!$C784="",0,IF(ISNUMBER(Control_Achizitii!$B784),0,1))</f>
        <v>0</v>
      </c>
      <c r="V784" s="27">
        <f>IF(Control_Achizitii!$C784="",0,IF($Z$2&lt;&gt;"OK",0,IF(AND(ISNUMBER(Control_Achizitii!$B784),Control_Achizitii!$B784&gt;=$E$5,Control_Achizitii!$B784&lt;$J$5+1,OR($O$5="Toate proiectele",Control_Achizitii!$Q784=$O$5)),1,0)))</f>
        <v>0</v>
      </c>
      <c r="W784" s="27">
        <f>IF(AND(V784=1,OR(Control_Achizitii!$J784&lt;&gt;"DOSAR COMPLET",Control_Achizitii!$K784&lt;&gt;"")),ROW(),1000000000)</f>
        <v>1000000000</v>
      </c>
      <c r="X784" s="27">
        <f>IF(AND(V784=1,LEFT(Control_Achizitii!$E784,4)="Fact",NOT(ISNUMBER(Control_Achizitii!$P784))),1,0)</f>
        <v>0</v>
      </c>
      <c r="Y784" s="27">
        <f>IF(V784=0,0,IF(Control_Achizitii!$J784="DOSAR COMPLET",1,IF(LEFT(Control_Achizitii!$J784,9)="INCOMPLET",2,3)))</f>
        <v>0</v>
      </c>
      <c r="Z784" s="27"/>
      <c r="AA784" s="27"/>
      <c r="AB784" s="27"/>
      <c r="AC784" s="27"/>
      <c r="AD784" s="27"/>
      <c r="AE784" s="27"/>
      <c r="AF784" s="27"/>
      <c r="AG784" s="27"/>
      <c r="AH784" s="27">
        <f>IF(AND(V784=1,Control_Achizitii!$J784="DOSAR COMPLET",Control_Achizitii!$K784&lt;&gt;""),1,0)</f>
        <v>0</v>
      </c>
    </row>
    <row r="785" spans="1:34">
      <c r="A785" s="27"/>
      <c r="B785" s="27"/>
      <c r="C785" s="27"/>
      <c r="D785" s="27"/>
      <c r="E785" s="27"/>
      <c r="F785" s="27"/>
      <c r="G785" s="27"/>
      <c r="H785" s="27"/>
      <c r="I785" s="27"/>
      <c r="J785" s="27"/>
      <c r="K785" s="27"/>
      <c r="L785" s="27"/>
      <c r="M785" s="27"/>
      <c r="N785" s="27"/>
      <c r="O785" s="27"/>
      <c r="P785" s="27"/>
      <c r="Q785" s="27"/>
      <c r="R785" s="27"/>
      <c r="S785" s="27"/>
      <c r="T785" s="27">
        <f>IF(LEFT(Control_Achizitii!$E785,4)="Fact",1,0)</f>
        <v>0</v>
      </c>
      <c r="U785" s="27">
        <f>IF(Control_Achizitii!$C785="",0,IF(ISNUMBER(Control_Achizitii!$B785),0,1))</f>
        <v>0</v>
      </c>
      <c r="V785" s="27">
        <f>IF(Control_Achizitii!$C785="",0,IF($Z$2&lt;&gt;"OK",0,IF(AND(ISNUMBER(Control_Achizitii!$B785),Control_Achizitii!$B785&gt;=$E$5,Control_Achizitii!$B785&lt;$J$5+1,OR($O$5="Toate proiectele",Control_Achizitii!$Q785=$O$5)),1,0)))</f>
        <v>0</v>
      </c>
      <c r="W785" s="27">
        <f>IF(AND(V785=1,OR(Control_Achizitii!$J785&lt;&gt;"DOSAR COMPLET",Control_Achizitii!$K785&lt;&gt;"")),ROW(),1000000000)</f>
        <v>1000000000</v>
      </c>
      <c r="X785" s="27">
        <f>IF(AND(V785=1,LEFT(Control_Achizitii!$E785,4)="Fact",NOT(ISNUMBER(Control_Achizitii!$P785))),1,0)</f>
        <v>0</v>
      </c>
      <c r="Y785" s="27">
        <f>IF(V785=0,0,IF(Control_Achizitii!$J785="DOSAR COMPLET",1,IF(LEFT(Control_Achizitii!$J785,9)="INCOMPLET",2,3)))</f>
        <v>0</v>
      </c>
      <c r="Z785" s="27"/>
      <c r="AA785" s="27"/>
      <c r="AB785" s="27"/>
      <c r="AC785" s="27"/>
      <c r="AD785" s="27"/>
      <c r="AE785" s="27"/>
      <c r="AF785" s="27"/>
      <c r="AG785" s="27"/>
      <c r="AH785" s="27">
        <f>IF(AND(V785=1,Control_Achizitii!$J785="DOSAR COMPLET",Control_Achizitii!$K785&lt;&gt;""),1,0)</f>
        <v>0</v>
      </c>
    </row>
    <row r="786" spans="1:34">
      <c r="A786" s="27"/>
      <c r="B786" s="27"/>
      <c r="C786" s="27"/>
      <c r="D786" s="27"/>
      <c r="E786" s="27"/>
      <c r="F786" s="27"/>
      <c r="G786" s="27"/>
      <c r="H786" s="27"/>
      <c r="I786" s="27"/>
      <c r="J786" s="27"/>
      <c r="K786" s="27"/>
      <c r="L786" s="27"/>
      <c r="M786" s="27"/>
      <c r="N786" s="27"/>
      <c r="O786" s="27"/>
      <c r="P786" s="27"/>
      <c r="Q786" s="27"/>
      <c r="R786" s="27"/>
      <c r="S786" s="27"/>
      <c r="T786" s="27">
        <f>IF(LEFT(Control_Achizitii!$E786,4)="Fact",1,0)</f>
        <v>0</v>
      </c>
      <c r="U786" s="27">
        <f>IF(Control_Achizitii!$C786="",0,IF(ISNUMBER(Control_Achizitii!$B786),0,1))</f>
        <v>0</v>
      </c>
      <c r="V786" s="27">
        <f>IF(Control_Achizitii!$C786="",0,IF($Z$2&lt;&gt;"OK",0,IF(AND(ISNUMBER(Control_Achizitii!$B786),Control_Achizitii!$B786&gt;=$E$5,Control_Achizitii!$B786&lt;$J$5+1,OR($O$5="Toate proiectele",Control_Achizitii!$Q786=$O$5)),1,0)))</f>
        <v>0</v>
      </c>
      <c r="W786" s="27">
        <f>IF(AND(V786=1,OR(Control_Achizitii!$J786&lt;&gt;"DOSAR COMPLET",Control_Achizitii!$K786&lt;&gt;"")),ROW(),1000000000)</f>
        <v>1000000000</v>
      </c>
      <c r="X786" s="27">
        <f>IF(AND(V786=1,LEFT(Control_Achizitii!$E786,4)="Fact",NOT(ISNUMBER(Control_Achizitii!$P786))),1,0)</f>
        <v>0</v>
      </c>
      <c r="Y786" s="27">
        <f>IF(V786=0,0,IF(Control_Achizitii!$J786="DOSAR COMPLET",1,IF(LEFT(Control_Achizitii!$J786,9)="INCOMPLET",2,3)))</f>
        <v>0</v>
      </c>
      <c r="Z786" s="27"/>
      <c r="AA786" s="27"/>
      <c r="AB786" s="27"/>
      <c r="AC786" s="27"/>
      <c r="AD786" s="27"/>
      <c r="AE786" s="27"/>
      <c r="AF786" s="27"/>
      <c r="AG786" s="27"/>
      <c r="AH786" s="27">
        <f>IF(AND(V786=1,Control_Achizitii!$J786="DOSAR COMPLET",Control_Achizitii!$K786&lt;&gt;""),1,0)</f>
        <v>0</v>
      </c>
    </row>
    <row r="787" spans="1:34">
      <c r="A787" s="27"/>
      <c r="B787" s="27"/>
      <c r="C787" s="27"/>
      <c r="D787" s="27"/>
      <c r="E787" s="27"/>
      <c r="F787" s="27"/>
      <c r="G787" s="27"/>
      <c r="H787" s="27"/>
      <c r="I787" s="27"/>
      <c r="J787" s="27"/>
      <c r="K787" s="27"/>
      <c r="L787" s="27"/>
      <c r="M787" s="27"/>
      <c r="N787" s="27"/>
      <c r="O787" s="27"/>
      <c r="P787" s="27"/>
      <c r="Q787" s="27"/>
      <c r="R787" s="27"/>
      <c r="S787" s="27"/>
      <c r="T787" s="27">
        <f>IF(LEFT(Control_Achizitii!$E787,4)="Fact",1,0)</f>
        <v>0</v>
      </c>
      <c r="U787" s="27">
        <f>IF(Control_Achizitii!$C787="",0,IF(ISNUMBER(Control_Achizitii!$B787),0,1))</f>
        <v>0</v>
      </c>
      <c r="V787" s="27">
        <f>IF(Control_Achizitii!$C787="",0,IF($Z$2&lt;&gt;"OK",0,IF(AND(ISNUMBER(Control_Achizitii!$B787),Control_Achizitii!$B787&gt;=$E$5,Control_Achizitii!$B787&lt;$J$5+1,OR($O$5="Toate proiectele",Control_Achizitii!$Q787=$O$5)),1,0)))</f>
        <v>0</v>
      </c>
      <c r="W787" s="27">
        <f>IF(AND(V787=1,OR(Control_Achizitii!$J787&lt;&gt;"DOSAR COMPLET",Control_Achizitii!$K787&lt;&gt;"")),ROW(),1000000000)</f>
        <v>1000000000</v>
      </c>
      <c r="X787" s="27">
        <f>IF(AND(V787=1,LEFT(Control_Achizitii!$E787,4)="Fact",NOT(ISNUMBER(Control_Achizitii!$P787))),1,0)</f>
        <v>0</v>
      </c>
      <c r="Y787" s="27">
        <f>IF(V787=0,0,IF(Control_Achizitii!$J787="DOSAR COMPLET",1,IF(LEFT(Control_Achizitii!$J787,9)="INCOMPLET",2,3)))</f>
        <v>0</v>
      </c>
      <c r="Z787" s="27"/>
      <c r="AA787" s="27"/>
      <c r="AB787" s="27"/>
      <c r="AC787" s="27"/>
      <c r="AD787" s="27"/>
      <c r="AE787" s="27"/>
      <c r="AF787" s="27"/>
      <c r="AG787" s="27"/>
      <c r="AH787" s="27">
        <f>IF(AND(V787=1,Control_Achizitii!$J787="DOSAR COMPLET",Control_Achizitii!$K787&lt;&gt;""),1,0)</f>
        <v>0</v>
      </c>
    </row>
    <row r="788" spans="1:34">
      <c r="A788" s="27"/>
      <c r="B788" s="27"/>
      <c r="C788" s="27"/>
      <c r="D788" s="27"/>
      <c r="E788" s="27"/>
      <c r="F788" s="27"/>
      <c r="G788" s="27"/>
      <c r="H788" s="27"/>
      <c r="I788" s="27"/>
      <c r="J788" s="27"/>
      <c r="K788" s="27"/>
      <c r="L788" s="27"/>
      <c r="M788" s="27"/>
      <c r="N788" s="27"/>
      <c r="O788" s="27"/>
      <c r="P788" s="27"/>
      <c r="Q788" s="27"/>
      <c r="R788" s="27"/>
      <c r="S788" s="27"/>
      <c r="T788" s="27">
        <f>IF(LEFT(Control_Achizitii!$E788,4)="Fact",1,0)</f>
        <v>0</v>
      </c>
      <c r="U788" s="27">
        <f>IF(Control_Achizitii!$C788="",0,IF(ISNUMBER(Control_Achizitii!$B788),0,1))</f>
        <v>0</v>
      </c>
      <c r="V788" s="27">
        <f>IF(Control_Achizitii!$C788="",0,IF($Z$2&lt;&gt;"OK",0,IF(AND(ISNUMBER(Control_Achizitii!$B788),Control_Achizitii!$B788&gt;=$E$5,Control_Achizitii!$B788&lt;$J$5+1,OR($O$5="Toate proiectele",Control_Achizitii!$Q788=$O$5)),1,0)))</f>
        <v>0</v>
      </c>
      <c r="W788" s="27">
        <f>IF(AND(V788=1,OR(Control_Achizitii!$J788&lt;&gt;"DOSAR COMPLET",Control_Achizitii!$K788&lt;&gt;"")),ROW(),1000000000)</f>
        <v>1000000000</v>
      </c>
      <c r="X788" s="27">
        <f>IF(AND(V788=1,LEFT(Control_Achizitii!$E788,4)="Fact",NOT(ISNUMBER(Control_Achizitii!$P788))),1,0)</f>
        <v>0</v>
      </c>
      <c r="Y788" s="27">
        <f>IF(V788=0,0,IF(Control_Achizitii!$J788="DOSAR COMPLET",1,IF(LEFT(Control_Achizitii!$J788,9)="INCOMPLET",2,3)))</f>
        <v>0</v>
      </c>
      <c r="Z788" s="27"/>
      <c r="AA788" s="27"/>
      <c r="AB788" s="27"/>
      <c r="AC788" s="27"/>
      <c r="AD788" s="27"/>
      <c r="AE788" s="27"/>
      <c r="AF788" s="27"/>
      <c r="AG788" s="27"/>
      <c r="AH788" s="27">
        <f>IF(AND(V788=1,Control_Achizitii!$J788="DOSAR COMPLET",Control_Achizitii!$K788&lt;&gt;""),1,0)</f>
        <v>0</v>
      </c>
    </row>
    <row r="789" spans="1:34">
      <c r="A789" s="27"/>
      <c r="B789" s="27"/>
      <c r="C789" s="27"/>
      <c r="D789" s="27"/>
      <c r="E789" s="27"/>
      <c r="F789" s="27"/>
      <c r="G789" s="27"/>
      <c r="H789" s="27"/>
      <c r="I789" s="27"/>
      <c r="J789" s="27"/>
      <c r="K789" s="27"/>
      <c r="L789" s="27"/>
      <c r="M789" s="27"/>
      <c r="N789" s="27"/>
      <c r="O789" s="27"/>
      <c r="P789" s="27"/>
      <c r="Q789" s="27"/>
      <c r="R789" s="27"/>
      <c r="S789" s="27"/>
      <c r="T789" s="27">
        <f>IF(LEFT(Control_Achizitii!$E789,4)="Fact",1,0)</f>
        <v>0</v>
      </c>
      <c r="U789" s="27">
        <f>IF(Control_Achizitii!$C789="",0,IF(ISNUMBER(Control_Achizitii!$B789),0,1))</f>
        <v>0</v>
      </c>
      <c r="V789" s="27">
        <f>IF(Control_Achizitii!$C789="",0,IF($Z$2&lt;&gt;"OK",0,IF(AND(ISNUMBER(Control_Achizitii!$B789),Control_Achizitii!$B789&gt;=$E$5,Control_Achizitii!$B789&lt;$J$5+1,OR($O$5="Toate proiectele",Control_Achizitii!$Q789=$O$5)),1,0)))</f>
        <v>0</v>
      </c>
      <c r="W789" s="27">
        <f>IF(AND(V789=1,OR(Control_Achizitii!$J789&lt;&gt;"DOSAR COMPLET",Control_Achizitii!$K789&lt;&gt;"")),ROW(),1000000000)</f>
        <v>1000000000</v>
      </c>
      <c r="X789" s="27">
        <f>IF(AND(V789=1,LEFT(Control_Achizitii!$E789,4)="Fact",NOT(ISNUMBER(Control_Achizitii!$P789))),1,0)</f>
        <v>0</v>
      </c>
      <c r="Y789" s="27">
        <f>IF(V789=0,0,IF(Control_Achizitii!$J789="DOSAR COMPLET",1,IF(LEFT(Control_Achizitii!$J789,9)="INCOMPLET",2,3)))</f>
        <v>0</v>
      </c>
      <c r="Z789" s="27"/>
      <c r="AA789" s="27"/>
      <c r="AB789" s="27"/>
      <c r="AC789" s="27"/>
      <c r="AD789" s="27"/>
      <c r="AE789" s="27"/>
      <c r="AF789" s="27"/>
      <c r="AG789" s="27"/>
      <c r="AH789" s="27">
        <f>IF(AND(V789=1,Control_Achizitii!$J789="DOSAR COMPLET",Control_Achizitii!$K789&lt;&gt;""),1,0)</f>
        <v>0</v>
      </c>
    </row>
    <row r="790" spans="1:34">
      <c r="A790" s="27"/>
      <c r="B790" s="27"/>
      <c r="C790" s="27"/>
      <c r="D790" s="27"/>
      <c r="E790" s="27"/>
      <c r="F790" s="27"/>
      <c r="G790" s="27"/>
      <c r="H790" s="27"/>
      <c r="I790" s="27"/>
      <c r="J790" s="27"/>
      <c r="K790" s="27"/>
      <c r="L790" s="27"/>
      <c r="M790" s="27"/>
      <c r="N790" s="27"/>
      <c r="O790" s="27"/>
      <c r="P790" s="27"/>
      <c r="Q790" s="27"/>
      <c r="R790" s="27"/>
      <c r="S790" s="27"/>
      <c r="T790" s="27">
        <f>IF(LEFT(Control_Achizitii!$E790,4)="Fact",1,0)</f>
        <v>0</v>
      </c>
      <c r="U790" s="27">
        <f>IF(Control_Achizitii!$C790="",0,IF(ISNUMBER(Control_Achizitii!$B790),0,1))</f>
        <v>0</v>
      </c>
      <c r="V790" s="27">
        <f>IF(Control_Achizitii!$C790="",0,IF($Z$2&lt;&gt;"OK",0,IF(AND(ISNUMBER(Control_Achizitii!$B790),Control_Achizitii!$B790&gt;=$E$5,Control_Achizitii!$B790&lt;$J$5+1,OR($O$5="Toate proiectele",Control_Achizitii!$Q790=$O$5)),1,0)))</f>
        <v>0</v>
      </c>
      <c r="W790" s="27">
        <f>IF(AND(V790=1,OR(Control_Achizitii!$J790&lt;&gt;"DOSAR COMPLET",Control_Achizitii!$K790&lt;&gt;"")),ROW(),1000000000)</f>
        <v>1000000000</v>
      </c>
      <c r="X790" s="27">
        <f>IF(AND(V790=1,LEFT(Control_Achizitii!$E790,4)="Fact",NOT(ISNUMBER(Control_Achizitii!$P790))),1,0)</f>
        <v>0</v>
      </c>
      <c r="Y790" s="27">
        <f>IF(V790=0,0,IF(Control_Achizitii!$J790="DOSAR COMPLET",1,IF(LEFT(Control_Achizitii!$J790,9)="INCOMPLET",2,3)))</f>
        <v>0</v>
      </c>
      <c r="Z790" s="27"/>
      <c r="AA790" s="27"/>
      <c r="AB790" s="27"/>
      <c r="AC790" s="27"/>
      <c r="AD790" s="27"/>
      <c r="AE790" s="27"/>
      <c r="AF790" s="27"/>
      <c r="AG790" s="27"/>
      <c r="AH790" s="27">
        <f>IF(AND(V790=1,Control_Achizitii!$J790="DOSAR COMPLET",Control_Achizitii!$K790&lt;&gt;""),1,0)</f>
        <v>0</v>
      </c>
    </row>
    <row r="791" spans="1:34">
      <c r="A791" s="27"/>
      <c r="B791" s="27"/>
      <c r="C791" s="27"/>
      <c r="D791" s="27"/>
      <c r="E791" s="27"/>
      <c r="F791" s="27"/>
      <c r="G791" s="27"/>
      <c r="H791" s="27"/>
      <c r="I791" s="27"/>
      <c r="J791" s="27"/>
      <c r="K791" s="27"/>
      <c r="L791" s="27"/>
      <c r="M791" s="27"/>
      <c r="N791" s="27"/>
      <c r="O791" s="27"/>
      <c r="P791" s="27"/>
      <c r="Q791" s="27"/>
      <c r="R791" s="27"/>
      <c r="S791" s="27"/>
      <c r="T791" s="27">
        <f>IF(LEFT(Control_Achizitii!$E791,4)="Fact",1,0)</f>
        <v>0</v>
      </c>
      <c r="U791" s="27">
        <f>IF(Control_Achizitii!$C791="",0,IF(ISNUMBER(Control_Achizitii!$B791),0,1))</f>
        <v>0</v>
      </c>
      <c r="V791" s="27">
        <f>IF(Control_Achizitii!$C791="",0,IF($Z$2&lt;&gt;"OK",0,IF(AND(ISNUMBER(Control_Achizitii!$B791),Control_Achizitii!$B791&gt;=$E$5,Control_Achizitii!$B791&lt;$J$5+1,OR($O$5="Toate proiectele",Control_Achizitii!$Q791=$O$5)),1,0)))</f>
        <v>0</v>
      </c>
      <c r="W791" s="27">
        <f>IF(AND(V791=1,OR(Control_Achizitii!$J791&lt;&gt;"DOSAR COMPLET",Control_Achizitii!$K791&lt;&gt;"")),ROW(),1000000000)</f>
        <v>1000000000</v>
      </c>
      <c r="X791" s="27">
        <f>IF(AND(V791=1,LEFT(Control_Achizitii!$E791,4)="Fact",NOT(ISNUMBER(Control_Achizitii!$P791))),1,0)</f>
        <v>0</v>
      </c>
      <c r="Y791" s="27">
        <f>IF(V791=0,0,IF(Control_Achizitii!$J791="DOSAR COMPLET",1,IF(LEFT(Control_Achizitii!$J791,9)="INCOMPLET",2,3)))</f>
        <v>0</v>
      </c>
      <c r="Z791" s="27"/>
      <c r="AA791" s="27"/>
      <c r="AB791" s="27"/>
      <c r="AC791" s="27"/>
      <c r="AD791" s="27"/>
      <c r="AE791" s="27"/>
      <c r="AF791" s="27"/>
      <c r="AG791" s="27"/>
      <c r="AH791" s="27">
        <f>IF(AND(V791=1,Control_Achizitii!$J791="DOSAR COMPLET",Control_Achizitii!$K791&lt;&gt;""),1,0)</f>
        <v>0</v>
      </c>
    </row>
    <row r="792" spans="1:34">
      <c r="A792" s="27"/>
      <c r="B792" s="27"/>
      <c r="C792" s="27"/>
      <c r="D792" s="27"/>
      <c r="E792" s="27"/>
      <c r="F792" s="27"/>
      <c r="G792" s="27"/>
      <c r="H792" s="27"/>
      <c r="I792" s="27"/>
      <c r="J792" s="27"/>
      <c r="K792" s="27"/>
      <c r="L792" s="27"/>
      <c r="M792" s="27"/>
      <c r="N792" s="27"/>
      <c r="O792" s="27"/>
      <c r="P792" s="27"/>
      <c r="Q792" s="27"/>
      <c r="R792" s="27"/>
      <c r="S792" s="27"/>
      <c r="T792" s="27">
        <f>IF(LEFT(Control_Achizitii!$E792,4)="Fact",1,0)</f>
        <v>0</v>
      </c>
      <c r="U792" s="27">
        <f>IF(Control_Achizitii!$C792="",0,IF(ISNUMBER(Control_Achizitii!$B792),0,1))</f>
        <v>0</v>
      </c>
      <c r="V792" s="27">
        <f>IF(Control_Achizitii!$C792="",0,IF($Z$2&lt;&gt;"OK",0,IF(AND(ISNUMBER(Control_Achizitii!$B792),Control_Achizitii!$B792&gt;=$E$5,Control_Achizitii!$B792&lt;$J$5+1,OR($O$5="Toate proiectele",Control_Achizitii!$Q792=$O$5)),1,0)))</f>
        <v>0</v>
      </c>
      <c r="W792" s="27">
        <f>IF(AND(V792=1,OR(Control_Achizitii!$J792&lt;&gt;"DOSAR COMPLET",Control_Achizitii!$K792&lt;&gt;"")),ROW(),1000000000)</f>
        <v>1000000000</v>
      </c>
      <c r="X792" s="27">
        <f>IF(AND(V792=1,LEFT(Control_Achizitii!$E792,4)="Fact",NOT(ISNUMBER(Control_Achizitii!$P792))),1,0)</f>
        <v>0</v>
      </c>
      <c r="Y792" s="27">
        <f>IF(V792=0,0,IF(Control_Achizitii!$J792="DOSAR COMPLET",1,IF(LEFT(Control_Achizitii!$J792,9)="INCOMPLET",2,3)))</f>
        <v>0</v>
      </c>
      <c r="Z792" s="27"/>
      <c r="AA792" s="27"/>
      <c r="AB792" s="27"/>
      <c r="AC792" s="27"/>
      <c r="AD792" s="27"/>
      <c r="AE792" s="27"/>
      <c r="AF792" s="27"/>
      <c r="AG792" s="27"/>
      <c r="AH792" s="27">
        <f>IF(AND(V792=1,Control_Achizitii!$J792="DOSAR COMPLET",Control_Achizitii!$K792&lt;&gt;""),1,0)</f>
        <v>0</v>
      </c>
    </row>
    <row r="793" spans="1:34">
      <c r="A793" s="27"/>
      <c r="B793" s="27"/>
      <c r="C793" s="27"/>
      <c r="D793" s="27"/>
      <c r="E793" s="27"/>
      <c r="F793" s="27"/>
      <c r="G793" s="27"/>
      <c r="H793" s="27"/>
      <c r="I793" s="27"/>
      <c r="J793" s="27"/>
      <c r="K793" s="27"/>
      <c r="L793" s="27"/>
      <c r="M793" s="27"/>
      <c r="N793" s="27"/>
      <c r="O793" s="27"/>
      <c r="P793" s="27"/>
      <c r="Q793" s="27"/>
      <c r="R793" s="27"/>
      <c r="S793" s="27"/>
      <c r="T793" s="27">
        <f>IF(LEFT(Control_Achizitii!$E793,4)="Fact",1,0)</f>
        <v>0</v>
      </c>
      <c r="U793" s="27">
        <f>IF(Control_Achizitii!$C793="",0,IF(ISNUMBER(Control_Achizitii!$B793),0,1))</f>
        <v>0</v>
      </c>
      <c r="V793" s="27">
        <f>IF(Control_Achizitii!$C793="",0,IF($Z$2&lt;&gt;"OK",0,IF(AND(ISNUMBER(Control_Achizitii!$B793),Control_Achizitii!$B793&gt;=$E$5,Control_Achizitii!$B793&lt;$J$5+1,OR($O$5="Toate proiectele",Control_Achizitii!$Q793=$O$5)),1,0)))</f>
        <v>0</v>
      </c>
      <c r="W793" s="27">
        <f>IF(AND(V793=1,OR(Control_Achizitii!$J793&lt;&gt;"DOSAR COMPLET",Control_Achizitii!$K793&lt;&gt;"")),ROW(),1000000000)</f>
        <v>1000000000</v>
      </c>
      <c r="X793" s="27">
        <f>IF(AND(V793=1,LEFT(Control_Achizitii!$E793,4)="Fact",NOT(ISNUMBER(Control_Achizitii!$P793))),1,0)</f>
        <v>0</v>
      </c>
      <c r="Y793" s="27">
        <f>IF(V793=0,0,IF(Control_Achizitii!$J793="DOSAR COMPLET",1,IF(LEFT(Control_Achizitii!$J793,9)="INCOMPLET",2,3)))</f>
        <v>0</v>
      </c>
      <c r="Z793" s="27"/>
      <c r="AA793" s="27"/>
      <c r="AB793" s="27"/>
      <c r="AC793" s="27"/>
      <c r="AD793" s="27"/>
      <c r="AE793" s="27"/>
      <c r="AF793" s="27"/>
      <c r="AG793" s="27"/>
      <c r="AH793" s="27">
        <f>IF(AND(V793=1,Control_Achizitii!$J793="DOSAR COMPLET",Control_Achizitii!$K793&lt;&gt;""),1,0)</f>
        <v>0</v>
      </c>
    </row>
    <row r="794" spans="1:34">
      <c r="A794" s="27"/>
      <c r="B794" s="27"/>
      <c r="C794" s="27"/>
      <c r="D794" s="27"/>
      <c r="E794" s="27"/>
      <c r="F794" s="27"/>
      <c r="G794" s="27"/>
      <c r="H794" s="27"/>
      <c r="I794" s="27"/>
      <c r="J794" s="27"/>
      <c r="K794" s="27"/>
      <c r="L794" s="27"/>
      <c r="M794" s="27"/>
      <c r="N794" s="27"/>
      <c r="O794" s="27"/>
      <c r="P794" s="27"/>
      <c r="Q794" s="27"/>
      <c r="R794" s="27"/>
      <c r="S794" s="27"/>
      <c r="T794" s="27">
        <f>IF(LEFT(Control_Achizitii!$E794,4)="Fact",1,0)</f>
        <v>0</v>
      </c>
      <c r="U794" s="27">
        <f>IF(Control_Achizitii!$C794="",0,IF(ISNUMBER(Control_Achizitii!$B794),0,1))</f>
        <v>0</v>
      </c>
      <c r="V794" s="27">
        <f>IF(Control_Achizitii!$C794="",0,IF($Z$2&lt;&gt;"OK",0,IF(AND(ISNUMBER(Control_Achizitii!$B794),Control_Achizitii!$B794&gt;=$E$5,Control_Achizitii!$B794&lt;$J$5+1,OR($O$5="Toate proiectele",Control_Achizitii!$Q794=$O$5)),1,0)))</f>
        <v>0</v>
      </c>
      <c r="W794" s="27">
        <f>IF(AND(V794=1,OR(Control_Achizitii!$J794&lt;&gt;"DOSAR COMPLET",Control_Achizitii!$K794&lt;&gt;"")),ROW(),1000000000)</f>
        <v>1000000000</v>
      </c>
      <c r="X794" s="27">
        <f>IF(AND(V794=1,LEFT(Control_Achizitii!$E794,4)="Fact",NOT(ISNUMBER(Control_Achizitii!$P794))),1,0)</f>
        <v>0</v>
      </c>
      <c r="Y794" s="27">
        <f>IF(V794=0,0,IF(Control_Achizitii!$J794="DOSAR COMPLET",1,IF(LEFT(Control_Achizitii!$J794,9)="INCOMPLET",2,3)))</f>
        <v>0</v>
      </c>
      <c r="Z794" s="27"/>
      <c r="AA794" s="27"/>
      <c r="AB794" s="27"/>
      <c r="AC794" s="27"/>
      <c r="AD794" s="27"/>
      <c r="AE794" s="27"/>
      <c r="AF794" s="27"/>
      <c r="AG794" s="27"/>
      <c r="AH794" s="27">
        <f>IF(AND(V794=1,Control_Achizitii!$J794="DOSAR COMPLET",Control_Achizitii!$K794&lt;&gt;""),1,0)</f>
        <v>0</v>
      </c>
    </row>
    <row r="795" spans="1:34">
      <c r="A795" s="27"/>
      <c r="B795" s="27"/>
      <c r="C795" s="27"/>
      <c r="D795" s="27"/>
      <c r="E795" s="27"/>
      <c r="F795" s="27"/>
      <c r="G795" s="27"/>
      <c r="H795" s="27"/>
      <c r="I795" s="27"/>
      <c r="J795" s="27"/>
      <c r="K795" s="27"/>
      <c r="L795" s="27"/>
      <c r="M795" s="27"/>
      <c r="N795" s="27"/>
      <c r="O795" s="27"/>
      <c r="P795" s="27"/>
      <c r="Q795" s="27"/>
      <c r="R795" s="27"/>
      <c r="S795" s="27"/>
      <c r="T795" s="27">
        <f>IF(LEFT(Control_Achizitii!$E795,4)="Fact",1,0)</f>
        <v>0</v>
      </c>
      <c r="U795" s="27">
        <f>IF(Control_Achizitii!$C795="",0,IF(ISNUMBER(Control_Achizitii!$B795),0,1))</f>
        <v>0</v>
      </c>
      <c r="V795" s="27">
        <f>IF(Control_Achizitii!$C795="",0,IF($Z$2&lt;&gt;"OK",0,IF(AND(ISNUMBER(Control_Achizitii!$B795),Control_Achizitii!$B795&gt;=$E$5,Control_Achizitii!$B795&lt;$J$5+1,OR($O$5="Toate proiectele",Control_Achizitii!$Q795=$O$5)),1,0)))</f>
        <v>0</v>
      </c>
      <c r="W795" s="27">
        <f>IF(AND(V795=1,OR(Control_Achizitii!$J795&lt;&gt;"DOSAR COMPLET",Control_Achizitii!$K795&lt;&gt;"")),ROW(),1000000000)</f>
        <v>1000000000</v>
      </c>
      <c r="X795" s="27">
        <f>IF(AND(V795=1,LEFT(Control_Achizitii!$E795,4)="Fact",NOT(ISNUMBER(Control_Achizitii!$P795))),1,0)</f>
        <v>0</v>
      </c>
      <c r="Y795" s="27">
        <f>IF(V795=0,0,IF(Control_Achizitii!$J795="DOSAR COMPLET",1,IF(LEFT(Control_Achizitii!$J795,9)="INCOMPLET",2,3)))</f>
        <v>0</v>
      </c>
      <c r="Z795" s="27"/>
      <c r="AA795" s="27"/>
      <c r="AB795" s="27"/>
      <c r="AC795" s="27"/>
      <c r="AD795" s="27"/>
      <c r="AE795" s="27"/>
      <c r="AF795" s="27"/>
      <c r="AG795" s="27"/>
      <c r="AH795" s="27">
        <f>IF(AND(V795=1,Control_Achizitii!$J795="DOSAR COMPLET",Control_Achizitii!$K795&lt;&gt;""),1,0)</f>
        <v>0</v>
      </c>
    </row>
    <row r="796" spans="1:34">
      <c r="A796" s="27"/>
      <c r="B796" s="27"/>
      <c r="C796" s="27"/>
      <c r="D796" s="27"/>
      <c r="E796" s="27"/>
      <c r="F796" s="27"/>
      <c r="G796" s="27"/>
      <c r="H796" s="27"/>
      <c r="I796" s="27"/>
      <c r="J796" s="27"/>
      <c r="K796" s="27"/>
      <c r="L796" s="27"/>
      <c r="M796" s="27"/>
      <c r="N796" s="27"/>
      <c r="O796" s="27"/>
      <c r="P796" s="27"/>
      <c r="Q796" s="27"/>
      <c r="R796" s="27"/>
      <c r="S796" s="27"/>
      <c r="T796" s="27">
        <f>IF(LEFT(Control_Achizitii!$E796,4)="Fact",1,0)</f>
        <v>0</v>
      </c>
      <c r="U796" s="27">
        <f>IF(Control_Achizitii!$C796="",0,IF(ISNUMBER(Control_Achizitii!$B796),0,1))</f>
        <v>0</v>
      </c>
      <c r="V796" s="27">
        <f>IF(Control_Achizitii!$C796="",0,IF($Z$2&lt;&gt;"OK",0,IF(AND(ISNUMBER(Control_Achizitii!$B796),Control_Achizitii!$B796&gt;=$E$5,Control_Achizitii!$B796&lt;$J$5+1,OR($O$5="Toate proiectele",Control_Achizitii!$Q796=$O$5)),1,0)))</f>
        <v>0</v>
      </c>
      <c r="W796" s="27">
        <f>IF(AND(V796=1,OR(Control_Achizitii!$J796&lt;&gt;"DOSAR COMPLET",Control_Achizitii!$K796&lt;&gt;"")),ROW(),1000000000)</f>
        <v>1000000000</v>
      </c>
      <c r="X796" s="27">
        <f>IF(AND(V796=1,LEFT(Control_Achizitii!$E796,4)="Fact",NOT(ISNUMBER(Control_Achizitii!$P796))),1,0)</f>
        <v>0</v>
      </c>
      <c r="Y796" s="27">
        <f>IF(V796=0,0,IF(Control_Achizitii!$J796="DOSAR COMPLET",1,IF(LEFT(Control_Achizitii!$J796,9)="INCOMPLET",2,3)))</f>
        <v>0</v>
      </c>
      <c r="Z796" s="27"/>
      <c r="AA796" s="27"/>
      <c r="AB796" s="27"/>
      <c r="AC796" s="27"/>
      <c r="AD796" s="27"/>
      <c r="AE796" s="27"/>
      <c r="AF796" s="27"/>
      <c r="AG796" s="27"/>
      <c r="AH796" s="27">
        <f>IF(AND(V796=1,Control_Achizitii!$J796="DOSAR COMPLET",Control_Achizitii!$K796&lt;&gt;""),1,0)</f>
        <v>0</v>
      </c>
    </row>
    <row r="797" spans="1:34">
      <c r="A797" s="27"/>
      <c r="B797" s="27"/>
      <c r="C797" s="27"/>
      <c r="D797" s="27"/>
      <c r="E797" s="27"/>
      <c r="F797" s="27"/>
      <c r="G797" s="27"/>
      <c r="H797" s="27"/>
      <c r="I797" s="27"/>
      <c r="J797" s="27"/>
      <c r="K797" s="27"/>
      <c r="L797" s="27"/>
      <c r="M797" s="27"/>
      <c r="N797" s="27"/>
      <c r="O797" s="27"/>
      <c r="P797" s="27"/>
      <c r="Q797" s="27"/>
      <c r="R797" s="27"/>
      <c r="S797" s="27"/>
      <c r="T797" s="27">
        <f>IF(LEFT(Control_Achizitii!$E797,4)="Fact",1,0)</f>
        <v>0</v>
      </c>
      <c r="U797" s="27">
        <f>IF(Control_Achizitii!$C797="",0,IF(ISNUMBER(Control_Achizitii!$B797),0,1))</f>
        <v>0</v>
      </c>
      <c r="V797" s="27">
        <f>IF(Control_Achizitii!$C797="",0,IF($Z$2&lt;&gt;"OK",0,IF(AND(ISNUMBER(Control_Achizitii!$B797),Control_Achizitii!$B797&gt;=$E$5,Control_Achizitii!$B797&lt;$J$5+1,OR($O$5="Toate proiectele",Control_Achizitii!$Q797=$O$5)),1,0)))</f>
        <v>0</v>
      </c>
      <c r="W797" s="27">
        <f>IF(AND(V797=1,OR(Control_Achizitii!$J797&lt;&gt;"DOSAR COMPLET",Control_Achizitii!$K797&lt;&gt;"")),ROW(),1000000000)</f>
        <v>1000000000</v>
      </c>
      <c r="X797" s="27">
        <f>IF(AND(V797=1,LEFT(Control_Achizitii!$E797,4)="Fact",NOT(ISNUMBER(Control_Achizitii!$P797))),1,0)</f>
        <v>0</v>
      </c>
      <c r="Y797" s="27">
        <f>IF(V797=0,0,IF(Control_Achizitii!$J797="DOSAR COMPLET",1,IF(LEFT(Control_Achizitii!$J797,9)="INCOMPLET",2,3)))</f>
        <v>0</v>
      </c>
      <c r="Z797" s="27"/>
      <c r="AA797" s="27"/>
      <c r="AB797" s="27"/>
      <c r="AC797" s="27"/>
      <c r="AD797" s="27"/>
      <c r="AE797" s="27"/>
      <c r="AF797" s="27"/>
      <c r="AG797" s="27"/>
      <c r="AH797" s="27">
        <f>IF(AND(V797=1,Control_Achizitii!$J797="DOSAR COMPLET",Control_Achizitii!$K797&lt;&gt;""),1,0)</f>
        <v>0</v>
      </c>
    </row>
    <row r="798" spans="1:34">
      <c r="A798" s="27"/>
      <c r="B798" s="27"/>
      <c r="C798" s="27"/>
      <c r="D798" s="27"/>
      <c r="E798" s="27"/>
      <c r="F798" s="27"/>
      <c r="G798" s="27"/>
      <c r="H798" s="27"/>
      <c r="I798" s="27"/>
      <c r="J798" s="27"/>
      <c r="K798" s="27"/>
      <c r="L798" s="27"/>
      <c r="M798" s="27"/>
      <c r="N798" s="27"/>
      <c r="O798" s="27"/>
      <c r="P798" s="27"/>
      <c r="Q798" s="27"/>
      <c r="R798" s="27"/>
      <c r="S798" s="27"/>
      <c r="T798" s="27">
        <f>IF(LEFT(Control_Achizitii!$E798,4)="Fact",1,0)</f>
        <v>0</v>
      </c>
      <c r="U798" s="27">
        <f>IF(Control_Achizitii!$C798="",0,IF(ISNUMBER(Control_Achizitii!$B798),0,1))</f>
        <v>0</v>
      </c>
      <c r="V798" s="27">
        <f>IF(Control_Achizitii!$C798="",0,IF($Z$2&lt;&gt;"OK",0,IF(AND(ISNUMBER(Control_Achizitii!$B798),Control_Achizitii!$B798&gt;=$E$5,Control_Achizitii!$B798&lt;$J$5+1,OR($O$5="Toate proiectele",Control_Achizitii!$Q798=$O$5)),1,0)))</f>
        <v>0</v>
      </c>
      <c r="W798" s="27">
        <f>IF(AND(V798=1,OR(Control_Achizitii!$J798&lt;&gt;"DOSAR COMPLET",Control_Achizitii!$K798&lt;&gt;"")),ROW(),1000000000)</f>
        <v>1000000000</v>
      </c>
      <c r="X798" s="27">
        <f>IF(AND(V798=1,LEFT(Control_Achizitii!$E798,4)="Fact",NOT(ISNUMBER(Control_Achizitii!$P798))),1,0)</f>
        <v>0</v>
      </c>
      <c r="Y798" s="27">
        <f>IF(V798=0,0,IF(Control_Achizitii!$J798="DOSAR COMPLET",1,IF(LEFT(Control_Achizitii!$J798,9)="INCOMPLET",2,3)))</f>
        <v>0</v>
      </c>
      <c r="Z798" s="27"/>
      <c r="AA798" s="27"/>
      <c r="AB798" s="27"/>
      <c r="AC798" s="27"/>
      <c r="AD798" s="27"/>
      <c r="AE798" s="27"/>
      <c r="AF798" s="27"/>
      <c r="AG798" s="27"/>
      <c r="AH798" s="27">
        <f>IF(AND(V798=1,Control_Achizitii!$J798="DOSAR COMPLET",Control_Achizitii!$K798&lt;&gt;""),1,0)</f>
        <v>0</v>
      </c>
    </row>
    <row r="799" spans="1:34">
      <c r="A799" s="27"/>
      <c r="B799" s="27"/>
      <c r="C799" s="27"/>
      <c r="D799" s="27"/>
      <c r="E799" s="27"/>
      <c r="F799" s="27"/>
      <c r="G799" s="27"/>
      <c r="H799" s="27"/>
      <c r="I799" s="27"/>
      <c r="J799" s="27"/>
      <c r="K799" s="27"/>
      <c r="L799" s="27"/>
      <c r="M799" s="27"/>
      <c r="N799" s="27"/>
      <c r="O799" s="27"/>
      <c r="P799" s="27"/>
      <c r="Q799" s="27"/>
      <c r="R799" s="27"/>
      <c r="S799" s="27"/>
      <c r="T799" s="27">
        <f>IF(LEFT(Control_Achizitii!$E799,4)="Fact",1,0)</f>
        <v>0</v>
      </c>
      <c r="U799" s="27">
        <f>IF(Control_Achizitii!$C799="",0,IF(ISNUMBER(Control_Achizitii!$B799),0,1))</f>
        <v>0</v>
      </c>
      <c r="V799" s="27">
        <f>IF(Control_Achizitii!$C799="",0,IF($Z$2&lt;&gt;"OK",0,IF(AND(ISNUMBER(Control_Achizitii!$B799),Control_Achizitii!$B799&gt;=$E$5,Control_Achizitii!$B799&lt;$J$5+1,OR($O$5="Toate proiectele",Control_Achizitii!$Q799=$O$5)),1,0)))</f>
        <v>0</v>
      </c>
      <c r="W799" s="27">
        <f>IF(AND(V799=1,OR(Control_Achizitii!$J799&lt;&gt;"DOSAR COMPLET",Control_Achizitii!$K799&lt;&gt;"")),ROW(),1000000000)</f>
        <v>1000000000</v>
      </c>
      <c r="X799" s="27">
        <f>IF(AND(V799=1,LEFT(Control_Achizitii!$E799,4)="Fact",NOT(ISNUMBER(Control_Achizitii!$P799))),1,0)</f>
        <v>0</v>
      </c>
      <c r="Y799" s="27">
        <f>IF(V799=0,0,IF(Control_Achizitii!$J799="DOSAR COMPLET",1,IF(LEFT(Control_Achizitii!$J799,9)="INCOMPLET",2,3)))</f>
        <v>0</v>
      </c>
      <c r="Z799" s="27"/>
      <c r="AA799" s="27"/>
      <c r="AB799" s="27"/>
      <c r="AC799" s="27"/>
      <c r="AD799" s="27"/>
      <c r="AE799" s="27"/>
      <c r="AF799" s="27"/>
      <c r="AG799" s="27"/>
      <c r="AH799" s="27">
        <f>IF(AND(V799=1,Control_Achizitii!$J799="DOSAR COMPLET",Control_Achizitii!$K799&lt;&gt;""),1,0)</f>
        <v>0</v>
      </c>
    </row>
    <row r="800" spans="1:34">
      <c r="A800" s="27"/>
      <c r="B800" s="27"/>
      <c r="C800" s="27"/>
      <c r="D800" s="27"/>
      <c r="E800" s="27"/>
      <c r="F800" s="27"/>
      <c r="G800" s="27"/>
      <c r="H800" s="27"/>
      <c r="I800" s="27"/>
      <c r="J800" s="27"/>
      <c r="K800" s="27"/>
      <c r="L800" s="27"/>
      <c r="M800" s="27"/>
      <c r="N800" s="27"/>
      <c r="O800" s="27"/>
      <c r="P800" s="27"/>
      <c r="Q800" s="27"/>
      <c r="R800" s="27"/>
      <c r="S800" s="27"/>
      <c r="T800" s="27">
        <f>IF(LEFT(Control_Achizitii!$E800,4)="Fact",1,0)</f>
        <v>0</v>
      </c>
      <c r="U800" s="27">
        <f>IF(Control_Achizitii!$C800="",0,IF(ISNUMBER(Control_Achizitii!$B800),0,1))</f>
        <v>0</v>
      </c>
      <c r="V800" s="27">
        <f>IF(Control_Achizitii!$C800="",0,IF($Z$2&lt;&gt;"OK",0,IF(AND(ISNUMBER(Control_Achizitii!$B800),Control_Achizitii!$B800&gt;=$E$5,Control_Achizitii!$B800&lt;$J$5+1,OR($O$5="Toate proiectele",Control_Achizitii!$Q800=$O$5)),1,0)))</f>
        <v>0</v>
      </c>
      <c r="W800" s="27">
        <f>IF(AND(V800=1,OR(Control_Achizitii!$J800&lt;&gt;"DOSAR COMPLET",Control_Achizitii!$K800&lt;&gt;"")),ROW(),1000000000)</f>
        <v>1000000000</v>
      </c>
      <c r="X800" s="27">
        <f>IF(AND(V800=1,LEFT(Control_Achizitii!$E800,4)="Fact",NOT(ISNUMBER(Control_Achizitii!$P800))),1,0)</f>
        <v>0</v>
      </c>
      <c r="Y800" s="27">
        <f>IF(V800=0,0,IF(Control_Achizitii!$J800="DOSAR COMPLET",1,IF(LEFT(Control_Achizitii!$J800,9)="INCOMPLET",2,3)))</f>
        <v>0</v>
      </c>
      <c r="Z800" s="27"/>
      <c r="AA800" s="27"/>
      <c r="AB800" s="27"/>
      <c r="AC800" s="27"/>
      <c r="AD800" s="27"/>
      <c r="AE800" s="27"/>
      <c r="AF800" s="27"/>
      <c r="AG800" s="27"/>
      <c r="AH800" s="27">
        <f>IF(AND(V800=1,Control_Achizitii!$J800="DOSAR COMPLET",Control_Achizitii!$K800&lt;&gt;""),1,0)</f>
        <v>0</v>
      </c>
    </row>
    <row r="801" spans="1:34">
      <c r="A801" s="27"/>
      <c r="B801" s="27"/>
      <c r="C801" s="27"/>
      <c r="D801" s="27"/>
      <c r="E801" s="27"/>
      <c r="F801" s="27"/>
      <c r="G801" s="27"/>
      <c r="H801" s="27"/>
      <c r="I801" s="27"/>
      <c r="J801" s="27"/>
      <c r="K801" s="27"/>
      <c r="L801" s="27"/>
      <c r="M801" s="27"/>
      <c r="N801" s="27"/>
      <c r="O801" s="27"/>
      <c r="P801" s="27"/>
      <c r="Q801" s="27"/>
      <c r="R801" s="27"/>
      <c r="S801" s="27"/>
      <c r="T801" s="27">
        <f>IF(LEFT(Control_Achizitii!$E801,4)="Fact",1,0)</f>
        <v>0</v>
      </c>
      <c r="U801" s="27">
        <f>IF(Control_Achizitii!$C801="",0,IF(ISNUMBER(Control_Achizitii!$B801),0,1))</f>
        <v>0</v>
      </c>
      <c r="V801" s="27">
        <f>IF(Control_Achizitii!$C801="",0,IF($Z$2&lt;&gt;"OK",0,IF(AND(ISNUMBER(Control_Achizitii!$B801),Control_Achizitii!$B801&gt;=$E$5,Control_Achizitii!$B801&lt;$J$5+1,OR($O$5="Toate proiectele",Control_Achizitii!$Q801=$O$5)),1,0)))</f>
        <v>0</v>
      </c>
      <c r="W801" s="27">
        <f>IF(AND(V801=1,OR(Control_Achizitii!$J801&lt;&gt;"DOSAR COMPLET",Control_Achizitii!$K801&lt;&gt;"")),ROW(),1000000000)</f>
        <v>1000000000</v>
      </c>
      <c r="X801" s="27">
        <f>IF(AND(V801=1,LEFT(Control_Achizitii!$E801,4)="Fact",NOT(ISNUMBER(Control_Achizitii!$P801))),1,0)</f>
        <v>0</v>
      </c>
      <c r="Y801" s="27">
        <f>IF(V801=0,0,IF(Control_Achizitii!$J801="DOSAR COMPLET",1,IF(LEFT(Control_Achizitii!$J801,9)="INCOMPLET",2,3)))</f>
        <v>0</v>
      </c>
      <c r="Z801" s="27"/>
      <c r="AA801" s="27"/>
      <c r="AB801" s="27"/>
      <c r="AC801" s="27"/>
      <c r="AD801" s="27"/>
      <c r="AE801" s="27"/>
      <c r="AF801" s="27"/>
      <c r="AG801" s="27"/>
      <c r="AH801" s="27">
        <f>IF(AND(V801=1,Control_Achizitii!$J801="DOSAR COMPLET",Control_Achizitii!$K801&lt;&gt;""),1,0)</f>
        <v>0</v>
      </c>
    </row>
    <row r="802" spans="1:34">
      <c r="A802" s="27"/>
      <c r="B802" s="27"/>
      <c r="C802" s="27"/>
      <c r="D802" s="27"/>
      <c r="E802" s="27"/>
      <c r="F802" s="27"/>
      <c r="G802" s="27"/>
      <c r="H802" s="27"/>
      <c r="I802" s="27"/>
      <c r="J802" s="27"/>
      <c r="K802" s="27"/>
      <c r="L802" s="27"/>
      <c r="M802" s="27"/>
      <c r="N802" s="27"/>
      <c r="O802" s="27"/>
      <c r="P802" s="27"/>
      <c r="Q802" s="27"/>
      <c r="R802" s="27"/>
      <c r="S802" s="27"/>
      <c r="T802" s="27">
        <f>IF(LEFT(Control_Achizitii!$E802,4)="Fact",1,0)</f>
        <v>0</v>
      </c>
      <c r="U802" s="27">
        <f>IF(Control_Achizitii!$C802="",0,IF(ISNUMBER(Control_Achizitii!$B802),0,1))</f>
        <v>0</v>
      </c>
      <c r="V802" s="27">
        <f>IF(Control_Achizitii!$C802="",0,IF($Z$2&lt;&gt;"OK",0,IF(AND(ISNUMBER(Control_Achizitii!$B802),Control_Achizitii!$B802&gt;=$E$5,Control_Achizitii!$B802&lt;$J$5+1,OR($O$5="Toate proiectele",Control_Achizitii!$Q802=$O$5)),1,0)))</f>
        <v>0</v>
      </c>
      <c r="W802" s="27">
        <f>IF(AND(V802=1,OR(Control_Achizitii!$J802&lt;&gt;"DOSAR COMPLET",Control_Achizitii!$K802&lt;&gt;"")),ROW(),1000000000)</f>
        <v>1000000000</v>
      </c>
      <c r="X802" s="27">
        <f>IF(AND(V802=1,LEFT(Control_Achizitii!$E802,4)="Fact",NOT(ISNUMBER(Control_Achizitii!$P802))),1,0)</f>
        <v>0</v>
      </c>
      <c r="Y802" s="27">
        <f>IF(V802=0,0,IF(Control_Achizitii!$J802="DOSAR COMPLET",1,IF(LEFT(Control_Achizitii!$J802,9)="INCOMPLET",2,3)))</f>
        <v>0</v>
      </c>
      <c r="Z802" s="27"/>
      <c r="AA802" s="27"/>
      <c r="AB802" s="27"/>
      <c r="AC802" s="27"/>
      <c r="AD802" s="27"/>
      <c r="AE802" s="27"/>
      <c r="AF802" s="27"/>
      <c r="AG802" s="27"/>
      <c r="AH802" s="27">
        <f>IF(AND(V802=1,Control_Achizitii!$J802="DOSAR COMPLET",Control_Achizitii!$K802&lt;&gt;""),1,0)</f>
        <v>0</v>
      </c>
    </row>
    <row r="803" spans="1:34">
      <c r="A803" s="27"/>
      <c r="B803" s="27"/>
      <c r="C803" s="27"/>
      <c r="D803" s="27"/>
      <c r="E803" s="27"/>
      <c r="F803" s="27"/>
      <c r="G803" s="27"/>
      <c r="H803" s="27"/>
      <c r="I803" s="27"/>
      <c r="J803" s="27"/>
      <c r="K803" s="27"/>
      <c r="L803" s="27"/>
      <c r="M803" s="27"/>
      <c r="N803" s="27"/>
      <c r="O803" s="27"/>
      <c r="P803" s="27"/>
      <c r="Q803" s="27"/>
      <c r="R803" s="27"/>
      <c r="S803" s="27"/>
      <c r="T803" s="27">
        <f>IF(LEFT(Control_Achizitii!$E803,4)="Fact",1,0)</f>
        <v>0</v>
      </c>
      <c r="U803" s="27">
        <f>IF(Control_Achizitii!$C803="",0,IF(ISNUMBER(Control_Achizitii!$B803),0,1))</f>
        <v>0</v>
      </c>
      <c r="V803" s="27">
        <f>IF(Control_Achizitii!$C803="",0,IF($Z$2&lt;&gt;"OK",0,IF(AND(ISNUMBER(Control_Achizitii!$B803),Control_Achizitii!$B803&gt;=$E$5,Control_Achizitii!$B803&lt;$J$5+1,OR($O$5="Toate proiectele",Control_Achizitii!$Q803=$O$5)),1,0)))</f>
        <v>0</v>
      </c>
      <c r="W803" s="27">
        <f>IF(AND(V803=1,OR(Control_Achizitii!$J803&lt;&gt;"DOSAR COMPLET",Control_Achizitii!$K803&lt;&gt;"")),ROW(),1000000000)</f>
        <v>1000000000</v>
      </c>
      <c r="X803" s="27">
        <f>IF(AND(V803=1,LEFT(Control_Achizitii!$E803,4)="Fact",NOT(ISNUMBER(Control_Achizitii!$P803))),1,0)</f>
        <v>0</v>
      </c>
      <c r="Y803" s="27">
        <f>IF(V803=0,0,IF(Control_Achizitii!$J803="DOSAR COMPLET",1,IF(LEFT(Control_Achizitii!$J803,9)="INCOMPLET",2,3)))</f>
        <v>0</v>
      </c>
      <c r="Z803" s="27"/>
      <c r="AA803" s="27"/>
      <c r="AB803" s="27"/>
      <c r="AC803" s="27"/>
      <c r="AD803" s="27"/>
      <c r="AE803" s="27"/>
      <c r="AF803" s="27"/>
      <c r="AG803" s="27"/>
      <c r="AH803" s="27">
        <f>IF(AND(V803=1,Control_Achizitii!$J803="DOSAR COMPLET",Control_Achizitii!$K803&lt;&gt;""),1,0)</f>
        <v>0</v>
      </c>
    </row>
    <row r="804" spans="1:34">
      <c r="A804" s="27"/>
      <c r="B804" s="27"/>
      <c r="C804" s="27"/>
      <c r="D804" s="27"/>
      <c r="E804" s="27"/>
      <c r="F804" s="27"/>
      <c r="G804" s="27"/>
      <c r="H804" s="27"/>
      <c r="I804" s="27"/>
      <c r="J804" s="27"/>
      <c r="K804" s="27"/>
      <c r="L804" s="27"/>
      <c r="M804" s="27"/>
      <c r="N804" s="27"/>
      <c r="O804" s="27"/>
      <c r="P804" s="27"/>
      <c r="Q804" s="27"/>
      <c r="R804" s="27"/>
      <c r="S804" s="27"/>
      <c r="T804" s="27">
        <f>IF(LEFT(Control_Achizitii!$E804,4)="Fact",1,0)</f>
        <v>0</v>
      </c>
      <c r="U804" s="27">
        <f>IF(Control_Achizitii!$C804="",0,IF(ISNUMBER(Control_Achizitii!$B804),0,1))</f>
        <v>0</v>
      </c>
      <c r="V804" s="27">
        <f>IF(Control_Achizitii!$C804="",0,IF($Z$2&lt;&gt;"OK",0,IF(AND(ISNUMBER(Control_Achizitii!$B804),Control_Achizitii!$B804&gt;=$E$5,Control_Achizitii!$B804&lt;$J$5+1,OR($O$5="Toate proiectele",Control_Achizitii!$Q804=$O$5)),1,0)))</f>
        <v>0</v>
      </c>
      <c r="W804" s="27">
        <f>IF(AND(V804=1,OR(Control_Achizitii!$J804&lt;&gt;"DOSAR COMPLET",Control_Achizitii!$K804&lt;&gt;"")),ROW(),1000000000)</f>
        <v>1000000000</v>
      </c>
      <c r="X804" s="27">
        <f>IF(AND(V804=1,LEFT(Control_Achizitii!$E804,4)="Fact",NOT(ISNUMBER(Control_Achizitii!$P804))),1,0)</f>
        <v>0</v>
      </c>
      <c r="Y804" s="27">
        <f>IF(V804=0,0,IF(Control_Achizitii!$J804="DOSAR COMPLET",1,IF(LEFT(Control_Achizitii!$J804,9)="INCOMPLET",2,3)))</f>
        <v>0</v>
      </c>
      <c r="Z804" s="27"/>
      <c r="AA804" s="27"/>
      <c r="AB804" s="27"/>
      <c r="AC804" s="27"/>
      <c r="AD804" s="27"/>
      <c r="AE804" s="27"/>
      <c r="AF804" s="27"/>
      <c r="AG804" s="27"/>
      <c r="AH804" s="27">
        <f>IF(AND(V804=1,Control_Achizitii!$J804="DOSAR COMPLET",Control_Achizitii!$K804&lt;&gt;""),1,0)</f>
        <v>0</v>
      </c>
    </row>
    <row r="805" spans="1:34">
      <c r="A805" s="27"/>
      <c r="B805" s="27"/>
      <c r="C805" s="27"/>
      <c r="D805" s="27"/>
      <c r="E805" s="27"/>
      <c r="F805" s="27"/>
      <c r="G805" s="27"/>
      <c r="H805" s="27"/>
      <c r="I805" s="27"/>
      <c r="J805" s="27"/>
      <c r="K805" s="27"/>
      <c r="L805" s="27"/>
      <c r="M805" s="27"/>
      <c r="N805" s="27"/>
      <c r="O805" s="27"/>
      <c r="P805" s="27"/>
      <c r="Q805" s="27"/>
      <c r="R805" s="27"/>
      <c r="S805" s="27"/>
      <c r="T805" s="27">
        <f>IF(LEFT(Control_Achizitii!$E805,4)="Fact",1,0)</f>
        <v>0</v>
      </c>
      <c r="U805" s="27">
        <f>IF(Control_Achizitii!$C805="",0,IF(ISNUMBER(Control_Achizitii!$B805),0,1))</f>
        <v>0</v>
      </c>
      <c r="V805" s="27">
        <f>IF(Control_Achizitii!$C805="",0,IF($Z$2&lt;&gt;"OK",0,IF(AND(ISNUMBER(Control_Achizitii!$B805),Control_Achizitii!$B805&gt;=$E$5,Control_Achizitii!$B805&lt;$J$5+1,OR($O$5="Toate proiectele",Control_Achizitii!$Q805=$O$5)),1,0)))</f>
        <v>0</v>
      </c>
      <c r="W805" s="27">
        <f>IF(AND(V805=1,OR(Control_Achizitii!$J805&lt;&gt;"DOSAR COMPLET",Control_Achizitii!$K805&lt;&gt;"")),ROW(),1000000000)</f>
        <v>1000000000</v>
      </c>
      <c r="X805" s="27">
        <f>IF(AND(V805=1,LEFT(Control_Achizitii!$E805,4)="Fact",NOT(ISNUMBER(Control_Achizitii!$P805))),1,0)</f>
        <v>0</v>
      </c>
      <c r="Y805" s="27">
        <f>IF(V805=0,0,IF(Control_Achizitii!$J805="DOSAR COMPLET",1,IF(LEFT(Control_Achizitii!$J805,9)="INCOMPLET",2,3)))</f>
        <v>0</v>
      </c>
      <c r="Z805" s="27"/>
      <c r="AA805" s="27"/>
      <c r="AB805" s="27"/>
      <c r="AC805" s="27"/>
      <c r="AD805" s="27"/>
      <c r="AE805" s="27"/>
      <c r="AF805" s="27"/>
      <c r="AG805" s="27"/>
      <c r="AH805" s="27">
        <f>IF(AND(V805=1,Control_Achizitii!$J805="DOSAR COMPLET",Control_Achizitii!$K805&lt;&gt;""),1,0)</f>
        <v>0</v>
      </c>
    </row>
    <row r="806" spans="1:34">
      <c r="A806" s="27"/>
      <c r="B806" s="27"/>
      <c r="C806" s="27"/>
      <c r="D806" s="27"/>
      <c r="E806" s="27"/>
      <c r="F806" s="27"/>
      <c r="G806" s="27"/>
      <c r="H806" s="27"/>
      <c r="I806" s="27"/>
      <c r="J806" s="27"/>
      <c r="K806" s="27"/>
      <c r="L806" s="27"/>
      <c r="M806" s="27"/>
      <c r="N806" s="27"/>
      <c r="O806" s="27"/>
      <c r="P806" s="27"/>
      <c r="Q806" s="27"/>
      <c r="R806" s="27"/>
      <c r="S806" s="27"/>
      <c r="T806" s="27">
        <f>IF(LEFT(Control_Achizitii!$E806,4)="Fact",1,0)</f>
        <v>0</v>
      </c>
      <c r="U806" s="27">
        <f>IF(Control_Achizitii!$C806="",0,IF(ISNUMBER(Control_Achizitii!$B806),0,1))</f>
        <v>0</v>
      </c>
      <c r="V806" s="27">
        <f>IF(Control_Achizitii!$C806="",0,IF($Z$2&lt;&gt;"OK",0,IF(AND(ISNUMBER(Control_Achizitii!$B806),Control_Achizitii!$B806&gt;=$E$5,Control_Achizitii!$B806&lt;$J$5+1,OR($O$5="Toate proiectele",Control_Achizitii!$Q806=$O$5)),1,0)))</f>
        <v>0</v>
      </c>
      <c r="W806" s="27">
        <f>IF(AND(V806=1,OR(Control_Achizitii!$J806&lt;&gt;"DOSAR COMPLET",Control_Achizitii!$K806&lt;&gt;"")),ROW(),1000000000)</f>
        <v>1000000000</v>
      </c>
      <c r="X806" s="27">
        <f>IF(AND(V806=1,LEFT(Control_Achizitii!$E806,4)="Fact",NOT(ISNUMBER(Control_Achizitii!$P806))),1,0)</f>
        <v>0</v>
      </c>
      <c r="Y806" s="27">
        <f>IF(V806=0,0,IF(Control_Achizitii!$J806="DOSAR COMPLET",1,IF(LEFT(Control_Achizitii!$J806,9)="INCOMPLET",2,3)))</f>
        <v>0</v>
      </c>
      <c r="Z806" s="27"/>
      <c r="AA806" s="27"/>
      <c r="AB806" s="27"/>
      <c r="AC806" s="27"/>
      <c r="AD806" s="27"/>
      <c r="AE806" s="27"/>
      <c r="AF806" s="27"/>
      <c r="AG806" s="27"/>
      <c r="AH806" s="27">
        <f>IF(AND(V806=1,Control_Achizitii!$J806="DOSAR COMPLET",Control_Achizitii!$K806&lt;&gt;""),1,0)</f>
        <v>0</v>
      </c>
    </row>
    <row r="807" spans="1:34">
      <c r="A807" s="27"/>
      <c r="B807" s="27"/>
      <c r="C807" s="27"/>
      <c r="D807" s="27"/>
      <c r="E807" s="27"/>
      <c r="F807" s="27"/>
      <c r="G807" s="27"/>
      <c r="H807" s="27"/>
      <c r="I807" s="27"/>
      <c r="J807" s="27"/>
      <c r="K807" s="27"/>
      <c r="L807" s="27"/>
      <c r="M807" s="27"/>
      <c r="N807" s="27"/>
      <c r="O807" s="27"/>
      <c r="P807" s="27"/>
      <c r="Q807" s="27"/>
      <c r="R807" s="27"/>
      <c r="S807" s="27"/>
      <c r="T807" s="27">
        <f>IF(LEFT(Control_Achizitii!$E807,4)="Fact",1,0)</f>
        <v>0</v>
      </c>
      <c r="U807" s="27">
        <f>IF(Control_Achizitii!$C807="",0,IF(ISNUMBER(Control_Achizitii!$B807),0,1))</f>
        <v>0</v>
      </c>
      <c r="V807" s="27">
        <f>IF(Control_Achizitii!$C807="",0,IF($Z$2&lt;&gt;"OK",0,IF(AND(ISNUMBER(Control_Achizitii!$B807),Control_Achizitii!$B807&gt;=$E$5,Control_Achizitii!$B807&lt;$J$5+1,OR($O$5="Toate proiectele",Control_Achizitii!$Q807=$O$5)),1,0)))</f>
        <v>0</v>
      </c>
      <c r="W807" s="27">
        <f>IF(AND(V807=1,OR(Control_Achizitii!$J807&lt;&gt;"DOSAR COMPLET",Control_Achizitii!$K807&lt;&gt;"")),ROW(),1000000000)</f>
        <v>1000000000</v>
      </c>
      <c r="X807" s="27">
        <f>IF(AND(V807=1,LEFT(Control_Achizitii!$E807,4)="Fact",NOT(ISNUMBER(Control_Achizitii!$P807))),1,0)</f>
        <v>0</v>
      </c>
      <c r="Y807" s="27">
        <f>IF(V807=0,0,IF(Control_Achizitii!$J807="DOSAR COMPLET",1,IF(LEFT(Control_Achizitii!$J807,9)="INCOMPLET",2,3)))</f>
        <v>0</v>
      </c>
      <c r="Z807" s="27"/>
      <c r="AA807" s="27"/>
      <c r="AB807" s="27"/>
      <c r="AC807" s="27"/>
      <c r="AD807" s="27"/>
      <c r="AE807" s="27"/>
      <c r="AF807" s="27"/>
      <c r="AG807" s="27"/>
      <c r="AH807" s="27">
        <f>IF(AND(V807=1,Control_Achizitii!$J807="DOSAR COMPLET",Control_Achizitii!$K807&lt;&gt;""),1,0)</f>
        <v>0</v>
      </c>
    </row>
    <row r="808" spans="1:34">
      <c r="A808" s="27"/>
      <c r="B808" s="27"/>
      <c r="C808" s="27"/>
      <c r="D808" s="27"/>
      <c r="E808" s="27"/>
      <c r="F808" s="27"/>
      <c r="G808" s="27"/>
      <c r="H808" s="27"/>
      <c r="I808" s="27"/>
      <c r="J808" s="27"/>
      <c r="K808" s="27"/>
      <c r="L808" s="27"/>
      <c r="M808" s="27"/>
      <c r="N808" s="27"/>
      <c r="O808" s="27"/>
      <c r="P808" s="27"/>
      <c r="Q808" s="27"/>
      <c r="R808" s="27"/>
      <c r="S808" s="27"/>
      <c r="T808" s="27">
        <f>IF(LEFT(Control_Achizitii!$E808,4)="Fact",1,0)</f>
        <v>0</v>
      </c>
      <c r="U808" s="27">
        <f>IF(Control_Achizitii!$C808="",0,IF(ISNUMBER(Control_Achizitii!$B808),0,1))</f>
        <v>0</v>
      </c>
      <c r="V808" s="27">
        <f>IF(Control_Achizitii!$C808="",0,IF($Z$2&lt;&gt;"OK",0,IF(AND(ISNUMBER(Control_Achizitii!$B808),Control_Achizitii!$B808&gt;=$E$5,Control_Achizitii!$B808&lt;$J$5+1,OR($O$5="Toate proiectele",Control_Achizitii!$Q808=$O$5)),1,0)))</f>
        <v>0</v>
      </c>
      <c r="W808" s="27">
        <f>IF(AND(V808=1,OR(Control_Achizitii!$J808&lt;&gt;"DOSAR COMPLET",Control_Achizitii!$K808&lt;&gt;"")),ROW(),1000000000)</f>
        <v>1000000000</v>
      </c>
      <c r="X808" s="27">
        <f>IF(AND(V808=1,LEFT(Control_Achizitii!$E808,4)="Fact",NOT(ISNUMBER(Control_Achizitii!$P808))),1,0)</f>
        <v>0</v>
      </c>
      <c r="Y808" s="27">
        <f>IF(V808=0,0,IF(Control_Achizitii!$J808="DOSAR COMPLET",1,IF(LEFT(Control_Achizitii!$J808,9)="INCOMPLET",2,3)))</f>
        <v>0</v>
      </c>
      <c r="Z808" s="27"/>
      <c r="AA808" s="27"/>
      <c r="AB808" s="27"/>
      <c r="AC808" s="27"/>
      <c r="AD808" s="27"/>
      <c r="AE808" s="27"/>
      <c r="AF808" s="27"/>
      <c r="AG808" s="27"/>
      <c r="AH808" s="27">
        <f>IF(AND(V808=1,Control_Achizitii!$J808="DOSAR COMPLET",Control_Achizitii!$K808&lt;&gt;""),1,0)</f>
        <v>0</v>
      </c>
    </row>
    <row r="809" spans="1:34">
      <c r="A809" s="27"/>
      <c r="B809" s="27"/>
      <c r="C809" s="27"/>
      <c r="D809" s="27"/>
      <c r="E809" s="27"/>
      <c r="F809" s="27"/>
      <c r="G809" s="27"/>
      <c r="H809" s="27"/>
      <c r="I809" s="27"/>
      <c r="J809" s="27"/>
      <c r="K809" s="27"/>
      <c r="L809" s="27"/>
      <c r="M809" s="27"/>
      <c r="N809" s="27"/>
      <c r="O809" s="27"/>
      <c r="P809" s="27"/>
      <c r="Q809" s="27"/>
      <c r="R809" s="27"/>
      <c r="S809" s="27"/>
      <c r="T809" s="27">
        <f>IF(LEFT(Control_Achizitii!$E809,4)="Fact",1,0)</f>
        <v>0</v>
      </c>
      <c r="U809" s="27">
        <f>IF(Control_Achizitii!$C809="",0,IF(ISNUMBER(Control_Achizitii!$B809),0,1))</f>
        <v>0</v>
      </c>
      <c r="V809" s="27">
        <f>IF(Control_Achizitii!$C809="",0,IF($Z$2&lt;&gt;"OK",0,IF(AND(ISNUMBER(Control_Achizitii!$B809),Control_Achizitii!$B809&gt;=$E$5,Control_Achizitii!$B809&lt;$J$5+1,OR($O$5="Toate proiectele",Control_Achizitii!$Q809=$O$5)),1,0)))</f>
        <v>0</v>
      </c>
      <c r="W809" s="27">
        <f>IF(AND(V809=1,OR(Control_Achizitii!$J809&lt;&gt;"DOSAR COMPLET",Control_Achizitii!$K809&lt;&gt;"")),ROW(),1000000000)</f>
        <v>1000000000</v>
      </c>
      <c r="X809" s="27">
        <f>IF(AND(V809=1,LEFT(Control_Achizitii!$E809,4)="Fact",NOT(ISNUMBER(Control_Achizitii!$P809))),1,0)</f>
        <v>0</v>
      </c>
      <c r="Y809" s="27">
        <f>IF(V809=0,0,IF(Control_Achizitii!$J809="DOSAR COMPLET",1,IF(LEFT(Control_Achizitii!$J809,9)="INCOMPLET",2,3)))</f>
        <v>0</v>
      </c>
      <c r="Z809" s="27"/>
      <c r="AA809" s="27"/>
      <c r="AB809" s="27"/>
      <c r="AC809" s="27"/>
      <c r="AD809" s="27"/>
      <c r="AE809" s="27"/>
      <c r="AF809" s="27"/>
      <c r="AG809" s="27"/>
      <c r="AH809" s="27">
        <f>IF(AND(V809=1,Control_Achizitii!$J809="DOSAR COMPLET",Control_Achizitii!$K809&lt;&gt;""),1,0)</f>
        <v>0</v>
      </c>
    </row>
    <row r="810" spans="1:34">
      <c r="A810" s="27"/>
      <c r="B810" s="27"/>
      <c r="C810" s="27"/>
      <c r="D810" s="27"/>
      <c r="E810" s="27"/>
      <c r="F810" s="27"/>
      <c r="G810" s="27"/>
      <c r="H810" s="27"/>
      <c r="I810" s="27"/>
      <c r="J810" s="27"/>
      <c r="K810" s="27"/>
      <c r="L810" s="27"/>
      <c r="M810" s="27"/>
      <c r="N810" s="27"/>
      <c r="O810" s="27"/>
      <c r="P810" s="27"/>
      <c r="Q810" s="27"/>
      <c r="R810" s="27"/>
      <c r="S810" s="27"/>
      <c r="T810" s="27">
        <f>IF(LEFT(Control_Achizitii!$E810,4)="Fact",1,0)</f>
        <v>0</v>
      </c>
      <c r="U810" s="27">
        <f>IF(Control_Achizitii!$C810="",0,IF(ISNUMBER(Control_Achizitii!$B810),0,1))</f>
        <v>0</v>
      </c>
      <c r="V810" s="27">
        <f>IF(Control_Achizitii!$C810="",0,IF($Z$2&lt;&gt;"OK",0,IF(AND(ISNUMBER(Control_Achizitii!$B810),Control_Achizitii!$B810&gt;=$E$5,Control_Achizitii!$B810&lt;$J$5+1,OR($O$5="Toate proiectele",Control_Achizitii!$Q810=$O$5)),1,0)))</f>
        <v>0</v>
      </c>
      <c r="W810" s="27">
        <f>IF(AND(V810=1,OR(Control_Achizitii!$J810&lt;&gt;"DOSAR COMPLET",Control_Achizitii!$K810&lt;&gt;"")),ROW(),1000000000)</f>
        <v>1000000000</v>
      </c>
      <c r="X810" s="27">
        <f>IF(AND(V810=1,LEFT(Control_Achizitii!$E810,4)="Fact",NOT(ISNUMBER(Control_Achizitii!$P810))),1,0)</f>
        <v>0</v>
      </c>
      <c r="Y810" s="27">
        <f>IF(V810=0,0,IF(Control_Achizitii!$J810="DOSAR COMPLET",1,IF(LEFT(Control_Achizitii!$J810,9)="INCOMPLET",2,3)))</f>
        <v>0</v>
      </c>
      <c r="Z810" s="27"/>
      <c r="AA810" s="27"/>
      <c r="AB810" s="27"/>
      <c r="AC810" s="27"/>
      <c r="AD810" s="27"/>
      <c r="AE810" s="27"/>
      <c r="AF810" s="27"/>
      <c r="AG810" s="27"/>
      <c r="AH810" s="27">
        <f>IF(AND(V810=1,Control_Achizitii!$J810="DOSAR COMPLET",Control_Achizitii!$K810&lt;&gt;""),1,0)</f>
        <v>0</v>
      </c>
    </row>
    <row r="811" spans="1:34">
      <c r="A811" s="27"/>
      <c r="B811" s="27"/>
      <c r="C811" s="27"/>
      <c r="D811" s="27"/>
      <c r="E811" s="27"/>
      <c r="F811" s="27"/>
      <c r="G811" s="27"/>
      <c r="H811" s="27"/>
      <c r="I811" s="27"/>
      <c r="J811" s="27"/>
      <c r="K811" s="27"/>
      <c r="L811" s="27"/>
      <c r="M811" s="27"/>
      <c r="N811" s="27"/>
      <c r="O811" s="27"/>
      <c r="P811" s="27"/>
      <c r="Q811" s="27"/>
      <c r="R811" s="27"/>
      <c r="S811" s="27"/>
      <c r="T811" s="27">
        <f>IF(LEFT(Control_Achizitii!$E811,4)="Fact",1,0)</f>
        <v>0</v>
      </c>
      <c r="U811" s="27">
        <f>IF(Control_Achizitii!$C811="",0,IF(ISNUMBER(Control_Achizitii!$B811),0,1))</f>
        <v>0</v>
      </c>
      <c r="V811" s="27">
        <f>IF(Control_Achizitii!$C811="",0,IF($Z$2&lt;&gt;"OK",0,IF(AND(ISNUMBER(Control_Achizitii!$B811),Control_Achizitii!$B811&gt;=$E$5,Control_Achizitii!$B811&lt;$J$5+1,OR($O$5="Toate proiectele",Control_Achizitii!$Q811=$O$5)),1,0)))</f>
        <v>0</v>
      </c>
      <c r="W811" s="27">
        <f>IF(AND(V811=1,OR(Control_Achizitii!$J811&lt;&gt;"DOSAR COMPLET",Control_Achizitii!$K811&lt;&gt;"")),ROW(),1000000000)</f>
        <v>1000000000</v>
      </c>
      <c r="X811" s="27">
        <f>IF(AND(V811=1,LEFT(Control_Achizitii!$E811,4)="Fact",NOT(ISNUMBER(Control_Achizitii!$P811))),1,0)</f>
        <v>0</v>
      </c>
      <c r="Y811" s="27">
        <f>IF(V811=0,0,IF(Control_Achizitii!$J811="DOSAR COMPLET",1,IF(LEFT(Control_Achizitii!$J811,9)="INCOMPLET",2,3)))</f>
        <v>0</v>
      </c>
      <c r="Z811" s="27"/>
      <c r="AA811" s="27"/>
      <c r="AB811" s="27"/>
      <c r="AC811" s="27"/>
      <c r="AD811" s="27"/>
      <c r="AE811" s="27"/>
      <c r="AF811" s="27"/>
      <c r="AG811" s="27"/>
      <c r="AH811" s="27">
        <f>IF(AND(V811=1,Control_Achizitii!$J811="DOSAR COMPLET",Control_Achizitii!$K811&lt;&gt;""),1,0)</f>
        <v>0</v>
      </c>
    </row>
    <row r="812" spans="1:34">
      <c r="A812" s="27"/>
      <c r="B812" s="27"/>
      <c r="C812" s="27"/>
      <c r="D812" s="27"/>
      <c r="E812" s="27"/>
      <c r="F812" s="27"/>
      <c r="G812" s="27"/>
      <c r="H812" s="27"/>
      <c r="I812" s="27"/>
      <c r="J812" s="27"/>
      <c r="K812" s="27"/>
      <c r="L812" s="27"/>
      <c r="M812" s="27"/>
      <c r="N812" s="27"/>
      <c r="O812" s="27"/>
      <c r="P812" s="27"/>
      <c r="Q812" s="27"/>
      <c r="R812" s="27"/>
      <c r="S812" s="27"/>
      <c r="T812" s="27">
        <f>IF(LEFT(Control_Achizitii!$E812,4)="Fact",1,0)</f>
        <v>0</v>
      </c>
      <c r="U812" s="27">
        <f>IF(Control_Achizitii!$C812="",0,IF(ISNUMBER(Control_Achizitii!$B812),0,1))</f>
        <v>0</v>
      </c>
      <c r="V812" s="27">
        <f>IF(Control_Achizitii!$C812="",0,IF($Z$2&lt;&gt;"OK",0,IF(AND(ISNUMBER(Control_Achizitii!$B812),Control_Achizitii!$B812&gt;=$E$5,Control_Achizitii!$B812&lt;$J$5+1,OR($O$5="Toate proiectele",Control_Achizitii!$Q812=$O$5)),1,0)))</f>
        <v>0</v>
      </c>
      <c r="W812" s="27">
        <f>IF(AND(V812=1,OR(Control_Achizitii!$J812&lt;&gt;"DOSAR COMPLET",Control_Achizitii!$K812&lt;&gt;"")),ROW(),1000000000)</f>
        <v>1000000000</v>
      </c>
      <c r="X812" s="27">
        <f>IF(AND(V812=1,LEFT(Control_Achizitii!$E812,4)="Fact",NOT(ISNUMBER(Control_Achizitii!$P812))),1,0)</f>
        <v>0</v>
      </c>
      <c r="Y812" s="27">
        <f>IF(V812=0,0,IF(Control_Achizitii!$J812="DOSAR COMPLET",1,IF(LEFT(Control_Achizitii!$J812,9)="INCOMPLET",2,3)))</f>
        <v>0</v>
      </c>
      <c r="Z812" s="27"/>
      <c r="AA812" s="27"/>
      <c r="AB812" s="27"/>
      <c r="AC812" s="27"/>
      <c r="AD812" s="27"/>
      <c r="AE812" s="27"/>
      <c r="AF812" s="27"/>
      <c r="AG812" s="27"/>
      <c r="AH812" s="27">
        <f>IF(AND(V812=1,Control_Achizitii!$J812="DOSAR COMPLET",Control_Achizitii!$K812&lt;&gt;""),1,0)</f>
        <v>0</v>
      </c>
    </row>
    <row r="813" spans="1:34">
      <c r="A813" s="27"/>
      <c r="B813" s="27"/>
      <c r="C813" s="27"/>
      <c r="D813" s="27"/>
      <c r="E813" s="27"/>
      <c r="F813" s="27"/>
      <c r="G813" s="27"/>
      <c r="H813" s="27"/>
      <c r="I813" s="27"/>
      <c r="J813" s="27"/>
      <c r="K813" s="27"/>
      <c r="L813" s="27"/>
      <c r="M813" s="27"/>
      <c r="N813" s="27"/>
      <c r="O813" s="27"/>
      <c r="P813" s="27"/>
      <c r="Q813" s="27"/>
      <c r="R813" s="27"/>
      <c r="S813" s="27"/>
      <c r="T813" s="27">
        <f>IF(LEFT(Control_Achizitii!$E813,4)="Fact",1,0)</f>
        <v>0</v>
      </c>
      <c r="U813" s="27">
        <f>IF(Control_Achizitii!$C813="",0,IF(ISNUMBER(Control_Achizitii!$B813),0,1))</f>
        <v>0</v>
      </c>
      <c r="V813" s="27">
        <f>IF(Control_Achizitii!$C813="",0,IF($Z$2&lt;&gt;"OK",0,IF(AND(ISNUMBER(Control_Achizitii!$B813),Control_Achizitii!$B813&gt;=$E$5,Control_Achizitii!$B813&lt;$J$5+1,OR($O$5="Toate proiectele",Control_Achizitii!$Q813=$O$5)),1,0)))</f>
        <v>0</v>
      </c>
      <c r="W813" s="27">
        <f>IF(AND(V813=1,OR(Control_Achizitii!$J813&lt;&gt;"DOSAR COMPLET",Control_Achizitii!$K813&lt;&gt;"")),ROW(),1000000000)</f>
        <v>1000000000</v>
      </c>
      <c r="X813" s="27">
        <f>IF(AND(V813=1,LEFT(Control_Achizitii!$E813,4)="Fact",NOT(ISNUMBER(Control_Achizitii!$P813))),1,0)</f>
        <v>0</v>
      </c>
      <c r="Y813" s="27">
        <f>IF(V813=0,0,IF(Control_Achizitii!$J813="DOSAR COMPLET",1,IF(LEFT(Control_Achizitii!$J813,9)="INCOMPLET",2,3)))</f>
        <v>0</v>
      </c>
      <c r="Z813" s="27"/>
      <c r="AA813" s="27"/>
      <c r="AB813" s="27"/>
      <c r="AC813" s="27"/>
      <c r="AD813" s="27"/>
      <c r="AE813" s="27"/>
      <c r="AF813" s="27"/>
      <c r="AG813" s="27"/>
      <c r="AH813" s="27">
        <f>IF(AND(V813=1,Control_Achizitii!$J813="DOSAR COMPLET",Control_Achizitii!$K813&lt;&gt;""),1,0)</f>
        <v>0</v>
      </c>
    </row>
    <row r="814" spans="1:34">
      <c r="A814" s="27"/>
      <c r="B814" s="27"/>
      <c r="C814" s="27"/>
      <c r="D814" s="27"/>
      <c r="E814" s="27"/>
      <c r="F814" s="27"/>
      <c r="G814" s="27"/>
      <c r="H814" s="27"/>
      <c r="I814" s="27"/>
      <c r="J814" s="27"/>
      <c r="K814" s="27"/>
      <c r="L814" s="27"/>
      <c r="M814" s="27"/>
      <c r="N814" s="27"/>
      <c r="O814" s="27"/>
      <c r="P814" s="27"/>
      <c r="Q814" s="27"/>
      <c r="R814" s="27"/>
      <c r="S814" s="27"/>
      <c r="T814" s="27">
        <f>IF(LEFT(Control_Achizitii!$E814,4)="Fact",1,0)</f>
        <v>0</v>
      </c>
      <c r="U814" s="27">
        <f>IF(Control_Achizitii!$C814="",0,IF(ISNUMBER(Control_Achizitii!$B814),0,1))</f>
        <v>0</v>
      </c>
      <c r="V814" s="27">
        <f>IF(Control_Achizitii!$C814="",0,IF($Z$2&lt;&gt;"OK",0,IF(AND(ISNUMBER(Control_Achizitii!$B814),Control_Achizitii!$B814&gt;=$E$5,Control_Achizitii!$B814&lt;$J$5+1,OR($O$5="Toate proiectele",Control_Achizitii!$Q814=$O$5)),1,0)))</f>
        <v>0</v>
      </c>
      <c r="W814" s="27">
        <f>IF(AND(V814=1,OR(Control_Achizitii!$J814&lt;&gt;"DOSAR COMPLET",Control_Achizitii!$K814&lt;&gt;"")),ROW(),1000000000)</f>
        <v>1000000000</v>
      </c>
      <c r="X814" s="27">
        <f>IF(AND(V814=1,LEFT(Control_Achizitii!$E814,4)="Fact",NOT(ISNUMBER(Control_Achizitii!$P814))),1,0)</f>
        <v>0</v>
      </c>
      <c r="Y814" s="27">
        <f>IF(V814=0,0,IF(Control_Achizitii!$J814="DOSAR COMPLET",1,IF(LEFT(Control_Achizitii!$J814,9)="INCOMPLET",2,3)))</f>
        <v>0</v>
      </c>
      <c r="Z814" s="27"/>
      <c r="AA814" s="27"/>
      <c r="AB814" s="27"/>
      <c r="AC814" s="27"/>
      <c r="AD814" s="27"/>
      <c r="AE814" s="27"/>
      <c r="AF814" s="27"/>
      <c r="AG814" s="27"/>
      <c r="AH814" s="27">
        <f>IF(AND(V814=1,Control_Achizitii!$J814="DOSAR COMPLET",Control_Achizitii!$K814&lt;&gt;""),1,0)</f>
        <v>0</v>
      </c>
    </row>
    <row r="815" spans="1:34">
      <c r="A815" s="27"/>
      <c r="B815" s="27"/>
      <c r="C815" s="27"/>
      <c r="D815" s="27"/>
      <c r="E815" s="27"/>
      <c r="F815" s="27"/>
      <c r="G815" s="27"/>
      <c r="H815" s="27"/>
      <c r="I815" s="27"/>
      <c r="J815" s="27"/>
      <c r="K815" s="27"/>
      <c r="L815" s="27"/>
      <c r="M815" s="27"/>
      <c r="N815" s="27"/>
      <c r="O815" s="27"/>
      <c r="P815" s="27"/>
      <c r="Q815" s="27"/>
      <c r="R815" s="27"/>
      <c r="S815" s="27"/>
      <c r="T815" s="27">
        <f>IF(LEFT(Control_Achizitii!$E815,4)="Fact",1,0)</f>
        <v>0</v>
      </c>
      <c r="U815" s="27">
        <f>IF(Control_Achizitii!$C815="",0,IF(ISNUMBER(Control_Achizitii!$B815),0,1))</f>
        <v>0</v>
      </c>
      <c r="V815" s="27">
        <f>IF(Control_Achizitii!$C815="",0,IF($Z$2&lt;&gt;"OK",0,IF(AND(ISNUMBER(Control_Achizitii!$B815),Control_Achizitii!$B815&gt;=$E$5,Control_Achizitii!$B815&lt;$J$5+1,OR($O$5="Toate proiectele",Control_Achizitii!$Q815=$O$5)),1,0)))</f>
        <v>0</v>
      </c>
      <c r="W815" s="27">
        <f>IF(AND(V815=1,OR(Control_Achizitii!$J815&lt;&gt;"DOSAR COMPLET",Control_Achizitii!$K815&lt;&gt;"")),ROW(),1000000000)</f>
        <v>1000000000</v>
      </c>
      <c r="X815" s="27">
        <f>IF(AND(V815=1,LEFT(Control_Achizitii!$E815,4)="Fact",NOT(ISNUMBER(Control_Achizitii!$P815))),1,0)</f>
        <v>0</v>
      </c>
      <c r="Y815" s="27">
        <f>IF(V815=0,0,IF(Control_Achizitii!$J815="DOSAR COMPLET",1,IF(LEFT(Control_Achizitii!$J815,9)="INCOMPLET",2,3)))</f>
        <v>0</v>
      </c>
      <c r="Z815" s="27"/>
      <c r="AA815" s="27"/>
      <c r="AB815" s="27"/>
      <c r="AC815" s="27"/>
      <c r="AD815" s="27"/>
      <c r="AE815" s="27"/>
      <c r="AF815" s="27"/>
      <c r="AG815" s="27"/>
      <c r="AH815" s="27">
        <f>IF(AND(V815=1,Control_Achizitii!$J815="DOSAR COMPLET",Control_Achizitii!$K815&lt;&gt;""),1,0)</f>
        <v>0</v>
      </c>
    </row>
    <row r="816" spans="1:34">
      <c r="A816" s="27"/>
      <c r="B816" s="27"/>
      <c r="C816" s="27"/>
      <c r="D816" s="27"/>
      <c r="E816" s="27"/>
      <c r="F816" s="27"/>
      <c r="G816" s="27"/>
      <c r="H816" s="27"/>
      <c r="I816" s="27"/>
      <c r="J816" s="27"/>
      <c r="K816" s="27"/>
      <c r="L816" s="27"/>
      <c r="M816" s="27"/>
      <c r="N816" s="27"/>
      <c r="O816" s="27"/>
      <c r="P816" s="27"/>
      <c r="Q816" s="27"/>
      <c r="R816" s="27"/>
      <c r="S816" s="27"/>
      <c r="T816" s="27">
        <f>IF(LEFT(Control_Achizitii!$E816,4)="Fact",1,0)</f>
        <v>0</v>
      </c>
      <c r="U816" s="27">
        <f>IF(Control_Achizitii!$C816="",0,IF(ISNUMBER(Control_Achizitii!$B816),0,1))</f>
        <v>0</v>
      </c>
      <c r="V816" s="27">
        <f>IF(Control_Achizitii!$C816="",0,IF($Z$2&lt;&gt;"OK",0,IF(AND(ISNUMBER(Control_Achizitii!$B816),Control_Achizitii!$B816&gt;=$E$5,Control_Achizitii!$B816&lt;$J$5+1,OR($O$5="Toate proiectele",Control_Achizitii!$Q816=$O$5)),1,0)))</f>
        <v>0</v>
      </c>
      <c r="W816" s="27">
        <f>IF(AND(V816=1,OR(Control_Achizitii!$J816&lt;&gt;"DOSAR COMPLET",Control_Achizitii!$K816&lt;&gt;"")),ROW(),1000000000)</f>
        <v>1000000000</v>
      </c>
      <c r="X816" s="27">
        <f>IF(AND(V816=1,LEFT(Control_Achizitii!$E816,4)="Fact",NOT(ISNUMBER(Control_Achizitii!$P816))),1,0)</f>
        <v>0</v>
      </c>
      <c r="Y816" s="27">
        <f>IF(V816=0,0,IF(Control_Achizitii!$J816="DOSAR COMPLET",1,IF(LEFT(Control_Achizitii!$J816,9)="INCOMPLET",2,3)))</f>
        <v>0</v>
      </c>
      <c r="Z816" s="27"/>
      <c r="AA816" s="27"/>
      <c r="AB816" s="27"/>
      <c r="AC816" s="27"/>
      <c r="AD816" s="27"/>
      <c r="AE816" s="27"/>
      <c r="AF816" s="27"/>
      <c r="AG816" s="27"/>
      <c r="AH816" s="27">
        <f>IF(AND(V816=1,Control_Achizitii!$J816="DOSAR COMPLET",Control_Achizitii!$K816&lt;&gt;""),1,0)</f>
        <v>0</v>
      </c>
    </row>
    <row r="817" spans="1:34">
      <c r="A817" s="27"/>
      <c r="B817" s="27"/>
      <c r="C817" s="27"/>
      <c r="D817" s="27"/>
      <c r="E817" s="27"/>
      <c r="F817" s="27"/>
      <c r="G817" s="27"/>
      <c r="H817" s="27"/>
      <c r="I817" s="27"/>
      <c r="J817" s="27"/>
      <c r="K817" s="27"/>
      <c r="L817" s="27"/>
      <c r="M817" s="27"/>
      <c r="N817" s="27"/>
      <c r="O817" s="27"/>
      <c r="P817" s="27"/>
      <c r="Q817" s="27"/>
      <c r="R817" s="27"/>
      <c r="S817" s="27"/>
      <c r="T817" s="27">
        <f>IF(LEFT(Control_Achizitii!$E817,4)="Fact",1,0)</f>
        <v>0</v>
      </c>
      <c r="U817" s="27">
        <f>IF(Control_Achizitii!$C817="",0,IF(ISNUMBER(Control_Achizitii!$B817),0,1))</f>
        <v>0</v>
      </c>
      <c r="V817" s="27">
        <f>IF(Control_Achizitii!$C817="",0,IF($Z$2&lt;&gt;"OK",0,IF(AND(ISNUMBER(Control_Achizitii!$B817),Control_Achizitii!$B817&gt;=$E$5,Control_Achizitii!$B817&lt;$J$5+1,OR($O$5="Toate proiectele",Control_Achizitii!$Q817=$O$5)),1,0)))</f>
        <v>0</v>
      </c>
      <c r="W817" s="27">
        <f>IF(AND(V817=1,OR(Control_Achizitii!$J817&lt;&gt;"DOSAR COMPLET",Control_Achizitii!$K817&lt;&gt;"")),ROW(),1000000000)</f>
        <v>1000000000</v>
      </c>
      <c r="X817" s="27">
        <f>IF(AND(V817=1,LEFT(Control_Achizitii!$E817,4)="Fact",NOT(ISNUMBER(Control_Achizitii!$P817))),1,0)</f>
        <v>0</v>
      </c>
      <c r="Y817" s="27">
        <f>IF(V817=0,0,IF(Control_Achizitii!$J817="DOSAR COMPLET",1,IF(LEFT(Control_Achizitii!$J817,9)="INCOMPLET",2,3)))</f>
        <v>0</v>
      </c>
      <c r="Z817" s="27"/>
      <c r="AA817" s="27"/>
      <c r="AB817" s="27"/>
      <c r="AC817" s="27"/>
      <c r="AD817" s="27"/>
      <c r="AE817" s="27"/>
      <c r="AF817" s="27"/>
      <c r="AG817" s="27"/>
      <c r="AH817" s="27">
        <f>IF(AND(V817=1,Control_Achizitii!$J817="DOSAR COMPLET",Control_Achizitii!$K817&lt;&gt;""),1,0)</f>
        <v>0</v>
      </c>
    </row>
    <row r="818" spans="1:34">
      <c r="A818" s="27"/>
      <c r="B818" s="27"/>
      <c r="C818" s="27"/>
      <c r="D818" s="27"/>
      <c r="E818" s="27"/>
      <c r="F818" s="27"/>
      <c r="G818" s="27"/>
      <c r="H818" s="27"/>
      <c r="I818" s="27"/>
      <c r="J818" s="27"/>
      <c r="K818" s="27"/>
      <c r="L818" s="27"/>
      <c r="M818" s="27"/>
      <c r="N818" s="27"/>
      <c r="O818" s="27"/>
      <c r="P818" s="27"/>
      <c r="Q818" s="27"/>
      <c r="R818" s="27"/>
      <c r="S818" s="27"/>
      <c r="T818" s="27">
        <f>IF(LEFT(Control_Achizitii!$E818,4)="Fact",1,0)</f>
        <v>0</v>
      </c>
      <c r="U818" s="27">
        <f>IF(Control_Achizitii!$C818="",0,IF(ISNUMBER(Control_Achizitii!$B818),0,1))</f>
        <v>0</v>
      </c>
      <c r="V818" s="27">
        <f>IF(Control_Achizitii!$C818="",0,IF($Z$2&lt;&gt;"OK",0,IF(AND(ISNUMBER(Control_Achizitii!$B818),Control_Achizitii!$B818&gt;=$E$5,Control_Achizitii!$B818&lt;$J$5+1,OR($O$5="Toate proiectele",Control_Achizitii!$Q818=$O$5)),1,0)))</f>
        <v>0</v>
      </c>
      <c r="W818" s="27">
        <f>IF(AND(V818=1,OR(Control_Achizitii!$J818&lt;&gt;"DOSAR COMPLET",Control_Achizitii!$K818&lt;&gt;"")),ROW(),1000000000)</f>
        <v>1000000000</v>
      </c>
      <c r="X818" s="27">
        <f>IF(AND(V818=1,LEFT(Control_Achizitii!$E818,4)="Fact",NOT(ISNUMBER(Control_Achizitii!$P818))),1,0)</f>
        <v>0</v>
      </c>
      <c r="Y818" s="27">
        <f>IF(V818=0,0,IF(Control_Achizitii!$J818="DOSAR COMPLET",1,IF(LEFT(Control_Achizitii!$J818,9)="INCOMPLET",2,3)))</f>
        <v>0</v>
      </c>
      <c r="Z818" s="27"/>
      <c r="AA818" s="27"/>
      <c r="AB818" s="27"/>
      <c r="AC818" s="27"/>
      <c r="AD818" s="27"/>
      <c r="AE818" s="27"/>
      <c r="AF818" s="27"/>
      <c r="AG818" s="27"/>
      <c r="AH818" s="27">
        <f>IF(AND(V818=1,Control_Achizitii!$J818="DOSAR COMPLET",Control_Achizitii!$K818&lt;&gt;""),1,0)</f>
        <v>0</v>
      </c>
    </row>
    <row r="819" spans="1:34">
      <c r="A819" s="27"/>
      <c r="B819" s="27"/>
      <c r="C819" s="27"/>
      <c r="D819" s="27"/>
      <c r="E819" s="27"/>
      <c r="F819" s="27"/>
      <c r="G819" s="27"/>
      <c r="H819" s="27"/>
      <c r="I819" s="27"/>
      <c r="J819" s="27"/>
      <c r="K819" s="27"/>
      <c r="L819" s="27"/>
      <c r="M819" s="27"/>
      <c r="N819" s="27"/>
      <c r="O819" s="27"/>
      <c r="P819" s="27"/>
      <c r="Q819" s="27"/>
      <c r="R819" s="27"/>
      <c r="S819" s="27"/>
      <c r="T819" s="27">
        <f>IF(LEFT(Control_Achizitii!$E819,4)="Fact",1,0)</f>
        <v>0</v>
      </c>
      <c r="U819" s="27">
        <f>IF(Control_Achizitii!$C819="",0,IF(ISNUMBER(Control_Achizitii!$B819),0,1))</f>
        <v>0</v>
      </c>
      <c r="V819" s="27">
        <f>IF(Control_Achizitii!$C819="",0,IF($Z$2&lt;&gt;"OK",0,IF(AND(ISNUMBER(Control_Achizitii!$B819),Control_Achizitii!$B819&gt;=$E$5,Control_Achizitii!$B819&lt;$J$5+1,OR($O$5="Toate proiectele",Control_Achizitii!$Q819=$O$5)),1,0)))</f>
        <v>0</v>
      </c>
      <c r="W819" s="27">
        <f>IF(AND(V819=1,OR(Control_Achizitii!$J819&lt;&gt;"DOSAR COMPLET",Control_Achizitii!$K819&lt;&gt;"")),ROW(),1000000000)</f>
        <v>1000000000</v>
      </c>
      <c r="X819" s="27">
        <f>IF(AND(V819=1,LEFT(Control_Achizitii!$E819,4)="Fact",NOT(ISNUMBER(Control_Achizitii!$P819))),1,0)</f>
        <v>0</v>
      </c>
      <c r="Y819" s="27">
        <f>IF(V819=0,0,IF(Control_Achizitii!$J819="DOSAR COMPLET",1,IF(LEFT(Control_Achizitii!$J819,9)="INCOMPLET",2,3)))</f>
        <v>0</v>
      </c>
      <c r="Z819" s="27"/>
      <c r="AA819" s="27"/>
      <c r="AB819" s="27"/>
      <c r="AC819" s="27"/>
      <c r="AD819" s="27"/>
      <c r="AE819" s="27"/>
      <c r="AF819" s="27"/>
      <c r="AG819" s="27"/>
      <c r="AH819" s="27">
        <f>IF(AND(V819=1,Control_Achizitii!$J819="DOSAR COMPLET",Control_Achizitii!$K819&lt;&gt;""),1,0)</f>
        <v>0</v>
      </c>
    </row>
    <row r="820" spans="1:34">
      <c r="A820" s="27"/>
      <c r="B820" s="27"/>
      <c r="C820" s="27"/>
      <c r="D820" s="27"/>
      <c r="E820" s="27"/>
      <c r="F820" s="27"/>
      <c r="G820" s="27"/>
      <c r="H820" s="27"/>
      <c r="I820" s="27"/>
      <c r="J820" s="27"/>
      <c r="K820" s="27"/>
      <c r="L820" s="27"/>
      <c r="M820" s="27"/>
      <c r="N820" s="27"/>
      <c r="O820" s="27"/>
      <c r="P820" s="27"/>
      <c r="Q820" s="27"/>
      <c r="R820" s="27"/>
      <c r="S820" s="27"/>
      <c r="T820" s="27">
        <f>IF(LEFT(Control_Achizitii!$E820,4)="Fact",1,0)</f>
        <v>0</v>
      </c>
      <c r="U820" s="27">
        <f>IF(Control_Achizitii!$C820="",0,IF(ISNUMBER(Control_Achizitii!$B820),0,1))</f>
        <v>0</v>
      </c>
      <c r="V820" s="27">
        <f>IF(Control_Achizitii!$C820="",0,IF($Z$2&lt;&gt;"OK",0,IF(AND(ISNUMBER(Control_Achizitii!$B820),Control_Achizitii!$B820&gt;=$E$5,Control_Achizitii!$B820&lt;$J$5+1,OR($O$5="Toate proiectele",Control_Achizitii!$Q820=$O$5)),1,0)))</f>
        <v>0</v>
      </c>
      <c r="W820" s="27">
        <f>IF(AND(V820=1,OR(Control_Achizitii!$J820&lt;&gt;"DOSAR COMPLET",Control_Achizitii!$K820&lt;&gt;"")),ROW(),1000000000)</f>
        <v>1000000000</v>
      </c>
      <c r="X820" s="27">
        <f>IF(AND(V820=1,LEFT(Control_Achizitii!$E820,4)="Fact",NOT(ISNUMBER(Control_Achizitii!$P820))),1,0)</f>
        <v>0</v>
      </c>
      <c r="Y820" s="27">
        <f>IF(V820=0,0,IF(Control_Achizitii!$J820="DOSAR COMPLET",1,IF(LEFT(Control_Achizitii!$J820,9)="INCOMPLET",2,3)))</f>
        <v>0</v>
      </c>
      <c r="Z820" s="27"/>
      <c r="AA820" s="27"/>
      <c r="AB820" s="27"/>
      <c r="AC820" s="27"/>
      <c r="AD820" s="27"/>
      <c r="AE820" s="27"/>
      <c r="AF820" s="27"/>
      <c r="AG820" s="27"/>
      <c r="AH820" s="27">
        <f>IF(AND(V820=1,Control_Achizitii!$J820="DOSAR COMPLET",Control_Achizitii!$K820&lt;&gt;""),1,0)</f>
        <v>0</v>
      </c>
    </row>
    <row r="821" spans="1:34">
      <c r="A821" s="27"/>
      <c r="B821" s="27"/>
      <c r="C821" s="27"/>
      <c r="D821" s="27"/>
      <c r="E821" s="27"/>
      <c r="F821" s="27"/>
      <c r="G821" s="27"/>
      <c r="H821" s="27"/>
      <c r="I821" s="27"/>
      <c r="J821" s="27"/>
      <c r="K821" s="27"/>
      <c r="L821" s="27"/>
      <c r="M821" s="27"/>
      <c r="N821" s="27"/>
      <c r="O821" s="27"/>
      <c r="P821" s="27"/>
      <c r="Q821" s="27"/>
      <c r="R821" s="27"/>
      <c r="S821" s="27"/>
      <c r="T821" s="27">
        <f>IF(LEFT(Control_Achizitii!$E821,4)="Fact",1,0)</f>
        <v>0</v>
      </c>
      <c r="U821" s="27">
        <f>IF(Control_Achizitii!$C821="",0,IF(ISNUMBER(Control_Achizitii!$B821),0,1))</f>
        <v>0</v>
      </c>
      <c r="V821" s="27">
        <f>IF(Control_Achizitii!$C821="",0,IF($Z$2&lt;&gt;"OK",0,IF(AND(ISNUMBER(Control_Achizitii!$B821),Control_Achizitii!$B821&gt;=$E$5,Control_Achizitii!$B821&lt;$J$5+1,OR($O$5="Toate proiectele",Control_Achizitii!$Q821=$O$5)),1,0)))</f>
        <v>0</v>
      </c>
      <c r="W821" s="27">
        <f>IF(AND(V821=1,OR(Control_Achizitii!$J821&lt;&gt;"DOSAR COMPLET",Control_Achizitii!$K821&lt;&gt;"")),ROW(),1000000000)</f>
        <v>1000000000</v>
      </c>
      <c r="X821" s="27">
        <f>IF(AND(V821=1,LEFT(Control_Achizitii!$E821,4)="Fact",NOT(ISNUMBER(Control_Achizitii!$P821))),1,0)</f>
        <v>0</v>
      </c>
      <c r="Y821" s="27">
        <f>IF(V821=0,0,IF(Control_Achizitii!$J821="DOSAR COMPLET",1,IF(LEFT(Control_Achizitii!$J821,9)="INCOMPLET",2,3)))</f>
        <v>0</v>
      </c>
      <c r="Z821" s="27"/>
      <c r="AA821" s="27"/>
      <c r="AB821" s="27"/>
      <c r="AC821" s="27"/>
      <c r="AD821" s="27"/>
      <c r="AE821" s="27"/>
      <c r="AF821" s="27"/>
      <c r="AG821" s="27"/>
      <c r="AH821" s="27">
        <f>IF(AND(V821=1,Control_Achizitii!$J821="DOSAR COMPLET",Control_Achizitii!$K821&lt;&gt;""),1,0)</f>
        <v>0</v>
      </c>
    </row>
    <row r="822" spans="1:34">
      <c r="A822" s="27"/>
      <c r="B822" s="27"/>
      <c r="C822" s="27"/>
      <c r="D822" s="27"/>
      <c r="E822" s="27"/>
      <c r="F822" s="27"/>
      <c r="G822" s="27"/>
      <c r="H822" s="27"/>
      <c r="I822" s="27"/>
      <c r="J822" s="27"/>
      <c r="K822" s="27"/>
      <c r="L822" s="27"/>
      <c r="M822" s="27"/>
      <c r="N822" s="27"/>
      <c r="O822" s="27"/>
      <c r="P822" s="27"/>
      <c r="Q822" s="27"/>
      <c r="R822" s="27"/>
      <c r="S822" s="27"/>
      <c r="T822" s="27">
        <f>IF(LEFT(Control_Achizitii!$E822,4)="Fact",1,0)</f>
        <v>0</v>
      </c>
      <c r="U822" s="27">
        <f>IF(Control_Achizitii!$C822="",0,IF(ISNUMBER(Control_Achizitii!$B822),0,1))</f>
        <v>0</v>
      </c>
      <c r="V822" s="27">
        <f>IF(Control_Achizitii!$C822="",0,IF($Z$2&lt;&gt;"OK",0,IF(AND(ISNUMBER(Control_Achizitii!$B822),Control_Achizitii!$B822&gt;=$E$5,Control_Achizitii!$B822&lt;$J$5+1,OR($O$5="Toate proiectele",Control_Achizitii!$Q822=$O$5)),1,0)))</f>
        <v>0</v>
      </c>
      <c r="W822" s="27">
        <f>IF(AND(V822=1,OR(Control_Achizitii!$J822&lt;&gt;"DOSAR COMPLET",Control_Achizitii!$K822&lt;&gt;"")),ROW(),1000000000)</f>
        <v>1000000000</v>
      </c>
      <c r="X822" s="27">
        <f>IF(AND(V822=1,LEFT(Control_Achizitii!$E822,4)="Fact",NOT(ISNUMBER(Control_Achizitii!$P822))),1,0)</f>
        <v>0</v>
      </c>
      <c r="Y822" s="27">
        <f>IF(V822=0,0,IF(Control_Achizitii!$J822="DOSAR COMPLET",1,IF(LEFT(Control_Achizitii!$J822,9)="INCOMPLET",2,3)))</f>
        <v>0</v>
      </c>
      <c r="Z822" s="27"/>
      <c r="AA822" s="27"/>
      <c r="AB822" s="27"/>
      <c r="AC822" s="27"/>
      <c r="AD822" s="27"/>
      <c r="AE822" s="27"/>
      <c r="AF822" s="27"/>
      <c r="AG822" s="27"/>
      <c r="AH822" s="27">
        <f>IF(AND(V822=1,Control_Achizitii!$J822="DOSAR COMPLET",Control_Achizitii!$K822&lt;&gt;""),1,0)</f>
        <v>0</v>
      </c>
    </row>
    <row r="823" spans="1:34">
      <c r="A823" s="27"/>
      <c r="B823" s="27"/>
      <c r="C823" s="27"/>
      <c r="D823" s="27"/>
      <c r="E823" s="27"/>
      <c r="F823" s="27"/>
      <c r="G823" s="27"/>
      <c r="H823" s="27"/>
      <c r="I823" s="27"/>
      <c r="J823" s="27"/>
      <c r="K823" s="27"/>
      <c r="L823" s="27"/>
      <c r="M823" s="27"/>
      <c r="N823" s="27"/>
      <c r="O823" s="27"/>
      <c r="P823" s="27"/>
      <c r="Q823" s="27"/>
      <c r="R823" s="27"/>
      <c r="S823" s="27"/>
      <c r="T823" s="27">
        <f>IF(LEFT(Control_Achizitii!$E823,4)="Fact",1,0)</f>
        <v>0</v>
      </c>
      <c r="U823" s="27">
        <f>IF(Control_Achizitii!$C823="",0,IF(ISNUMBER(Control_Achizitii!$B823),0,1))</f>
        <v>0</v>
      </c>
      <c r="V823" s="27">
        <f>IF(Control_Achizitii!$C823="",0,IF($Z$2&lt;&gt;"OK",0,IF(AND(ISNUMBER(Control_Achizitii!$B823),Control_Achizitii!$B823&gt;=$E$5,Control_Achizitii!$B823&lt;$J$5+1,OR($O$5="Toate proiectele",Control_Achizitii!$Q823=$O$5)),1,0)))</f>
        <v>0</v>
      </c>
      <c r="W823" s="27">
        <f>IF(AND(V823=1,OR(Control_Achizitii!$J823&lt;&gt;"DOSAR COMPLET",Control_Achizitii!$K823&lt;&gt;"")),ROW(),1000000000)</f>
        <v>1000000000</v>
      </c>
      <c r="X823" s="27">
        <f>IF(AND(V823=1,LEFT(Control_Achizitii!$E823,4)="Fact",NOT(ISNUMBER(Control_Achizitii!$P823))),1,0)</f>
        <v>0</v>
      </c>
      <c r="Y823" s="27">
        <f>IF(V823=0,0,IF(Control_Achizitii!$J823="DOSAR COMPLET",1,IF(LEFT(Control_Achizitii!$J823,9)="INCOMPLET",2,3)))</f>
        <v>0</v>
      </c>
      <c r="Z823" s="27"/>
      <c r="AA823" s="27"/>
      <c r="AB823" s="27"/>
      <c r="AC823" s="27"/>
      <c r="AD823" s="27"/>
      <c r="AE823" s="27"/>
      <c r="AF823" s="27"/>
      <c r="AG823" s="27"/>
      <c r="AH823" s="27">
        <f>IF(AND(V823=1,Control_Achizitii!$J823="DOSAR COMPLET",Control_Achizitii!$K823&lt;&gt;""),1,0)</f>
        <v>0</v>
      </c>
    </row>
    <row r="824" spans="1:34">
      <c r="A824" s="27"/>
      <c r="B824" s="27"/>
      <c r="C824" s="27"/>
      <c r="D824" s="27"/>
      <c r="E824" s="27"/>
      <c r="F824" s="27"/>
      <c r="G824" s="27"/>
      <c r="H824" s="27"/>
      <c r="I824" s="27"/>
      <c r="J824" s="27"/>
      <c r="K824" s="27"/>
      <c r="L824" s="27"/>
      <c r="M824" s="27"/>
      <c r="N824" s="27"/>
      <c r="O824" s="27"/>
      <c r="P824" s="27"/>
      <c r="Q824" s="27"/>
      <c r="R824" s="27"/>
      <c r="S824" s="27"/>
      <c r="T824" s="27">
        <f>IF(LEFT(Control_Achizitii!$E824,4)="Fact",1,0)</f>
        <v>0</v>
      </c>
      <c r="U824" s="27">
        <f>IF(Control_Achizitii!$C824="",0,IF(ISNUMBER(Control_Achizitii!$B824),0,1))</f>
        <v>0</v>
      </c>
      <c r="V824" s="27">
        <f>IF(Control_Achizitii!$C824="",0,IF($Z$2&lt;&gt;"OK",0,IF(AND(ISNUMBER(Control_Achizitii!$B824),Control_Achizitii!$B824&gt;=$E$5,Control_Achizitii!$B824&lt;$J$5+1,OR($O$5="Toate proiectele",Control_Achizitii!$Q824=$O$5)),1,0)))</f>
        <v>0</v>
      </c>
      <c r="W824" s="27">
        <f>IF(AND(V824=1,OR(Control_Achizitii!$J824&lt;&gt;"DOSAR COMPLET",Control_Achizitii!$K824&lt;&gt;"")),ROW(),1000000000)</f>
        <v>1000000000</v>
      </c>
      <c r="X824" s="27">
        <f>IF(AND(V824=1,LEFT(Control_Achizitii!$E824,4)="Fact",NOT(ISNUMBER(Control_Achizitii!$P824))),1,0)</f>
        <v>0</v>
      </c>
      <c r="Y824" s="27">
        <f>IF(V824=0,0,IF(Control_Achizitii!$J824="DOSAR COMPLET",1,IF(LEFT(Control_Achizitii!$J824,9)="INCOMPLET",2,3)))</f>
        <v>0</v>
      </c>
      <c r="Z824" s="27"/>
      <c r="AA824" s="27"/>
      <c r="AB824" s="27"/>
      <c r="AC824" s="27"/>
      <c r="AD824" s="27"/>
      <c r="AE824" s="27"/>
      <c r="AF824" s="27"/>
      <c r="AG824" s="27"/>
      <c r="AH824" s="27">
        <f>IF(AND(V824=1,Control_Achizitii!$J824="DOSAR COMPLET",Control_Achizitii!$K824&lt;&gt;""),1,0)</f>
        <v>0</v>
      </c>
    </row>
    <row r="825" spans="1:34">
      <c r="A825" s="27"/>
      <c r="B825" s="27"/>
      <c r="C825" s="27"/>
      <c r="D825" s="27"/>
      <c r="E825" s="27"/>
      <c r="F825" s="27"/>
      <c r="G825" s="27"/>
      <c r="H825" s="27"/>
      <c r="I825" s="27"/>
      <c r="J825" s="27"/>
      <c r="K825" s="27"/>
      <c r="L825" s="27"/>
      <c r="M825" s="27"/>
      <c r="N825" s="27"/>
      <c r="O825" s="27"/>
      <c r="P825" s="27"/>
      <c r="Q825" s="27"/>
      <c r="R825" s="27"/>
      <c r="S825" s="27"/>
      <c r="T825" s="27">
        <f>IF(LEFT(Control_Achizitii!$E825,4)="Fact",1,0)</f>
        <v>0</v>
      </c>
      <c r="U825" s="27">
        <f>IF(Control_Achizitii!$C825="",0,IF(ISNUMBER(Control_Achizitii!$B825),0,1))</f>
        <v>0</v>
      </c>
      <c r="V825" s="27">
        <f>IF(Control_Achizitii!$C825="",0,IF($Z$2&lt;&gt;"OK",0,IF(AND(ISNUMBER(Control_Achizitii!$B825),Control_Achizitii!$B825&gt;=$E$5,Control_Achizitii!$B825&lt;$J$5+1,OR($O$5="Toate proiectele",Control_Achizitii!$Q825=$O$5)),1,0)))</f>
        <v>0</v>
      </c>
      <c r="W825" s="27">
        <f>IF(AND(V825=1,OR(Control_Achizitii!$J825&lt;&gt;"DOSAR COMPLET",Control_Achizitii!$K825&lt;&gt;"")),ROW(),1000000000)</f>
        <v>1000000000</v>
      </c>
      <c r="X825" s="27">
        <f>IF(AND(V825=1,LEFT(Control_Achizitii!$E825,4)="Fact",NOT(ISNUMBER(Control_Achizitii!$P825))),1,0)</f>
        <v>0</v>
      </c>
      <c r="Y825" s="27">
        <f>IF(V825=0,0,IF(Control_Achizitii!$J825="DOSAR COMPLET",1,IF(LEFT(Control_Achizitii!$J825,9)="INCOMPLET",2,3)))</f>
        <v>0</v>
      </c>
      <c r="Z825" s="27"/>
      <c r="AA825" s="27"/>
      <c r="AB825" s="27"/>
      <c r="AC825" s="27"/>
      <c r="AD825" s="27"/>
      <c r="AE825" s="27"/>
      <c r="AF825" s="27"/>
      <c r="AG825" s="27"/>
      <c r="AH825" s="27">
        <f>IF(AND(V825=1,Control_Achizitii!$J825="DOSAR COMPLET",Control_Achizitii!$K825&lt;&gt;""),1,0)</f>
        <v>0</v>
      </c>
    </row>
    <row r="826" spans="1:34">
      <c r="A826" s="27"/>
      <c r="B826" s="27"/>
      <c r="C826" s="27"/>
      <c r="D826" s="27"/>
      <c r="E826" s="27"/>
      <c r="F826" s="27"/>
      <c r="G826" s="27"/>
      <c r="H826" s="27"/>
      <c r="I826" s="27"/>
      <c r="J826" s="27"/>
      <c r="K826" s="27"/>
      <c r="L826" s="27"/>
      <c r="M826" s="27"/>
      <c r="N826" s="27"/>
      <c r="O826" s="27"/>
      <c r="P826" s="27"/>
      <c r="Q826" s="27"/>
      <c r="R826" s="27"/>
      <c r="S826" s="27"/>
      <c r="T826" s="27">
        <f>IF(LEFT(Control_Achizitii!$E826,4)="Fact",1,0)</f>
        <v>0</v>
      </c>
      <c r="U826" s="27">
        <f>IF(Control_Achizitii!$C826="",0,IF(ISNUMBER(Control_Achizitii!$B826),0,1))</f>
        <v>0</v>
      </c>
      <c r="V826" s="27">
        <f>IF(Control_Achizitii!$C826="",0,IF($Z$2&lt;&gt;"OK",0,IF(AND(ISNUMBER(Control_Achizitii!$B826),Control_Achizitii!$B826&gt;=$E$5,Control_Achizitii!$B826&lt;$J$5+1,OR($O$5="Toate proiectele",Control_Achizitii!$Q826=$O$5)),1,0)))</f>
        <v>0</v>
      </c>
      <c r="W826" s="27">
        <f>IF(AND(V826=1,OR(Control_Achizitii!$J826&lt;&gt;"DOSAR COMPLET",Control_Achizitii!$K826&lt;&gt;"")),ROW(),1000000000)</f>
        <v>1000000000</v>
      </c>
      <c r="X826" s="27">
        <f>IF(AND(V826=1,LEFT(Control_Achizitii!$E826,4)="Fact",NOT(ISNUMBER(Control_Achizitii!$P826))),1,0)</f>
        <v>0</v>
      </c>
      <c r="Y826" s="27">
        <f>IF(V826=0,0,IF(Control_Achizitii!$J826="DOSAR COMPLET",1,IF(LEFT(Control_Achizitii!$J826,9)="INCOMPLET",2,3)))</f>
        <v>0</v>
      </c>
      <c r="Z826" s="27"/>
      <c r="AA826" s="27"/>
      <c r="AB826" s="27"/>
      <c r="AC826" s="27"/>
      <c r="AD826" s="27"/>
      <c r="AE826" s="27"/>
      <c r="AF826" s="27"/>
      <c r="AG826" s="27"/>
      <c r="AH826" s="27">
        <f>IF(AND(V826=1,Control_Achizitii!$J826="DOSAR COMPLET",Control_Achizitii!$K826&lt;&gt;""),1,0)</f>
        <v>0</v>
      </c>
    </row>
    <row r="827" spans="1:34">
      <c r="A827" s="27"/>
      <c r="B827" s="27"/>
      <c r="C827" s="27"/>
      <c r="D827" s="27"/>
      <c r="E827" s="27"/>
      <c r="F827" s="27"/>
      <c r="G827" s="27"/>
      <c r="H827" s="27"/>
      <c r="I827" s="27"/>
      <c r="J827" s="27"/>
      <c r="K827" s="27"/>
      <c r="L827" s="27"/>
      <c r="M827" s="27"/>
      <c r="N827" s="27"/>
      <c r="O827" s="27"/>
      <c r="P827" s="27"/>
      <c r="Q827" s="27"/>
      <c r="R827" s="27"/>
      <c r="S827" s="27"/>
      <c r="T827" s="27">
        <f>IF(LEFT(Control_Achizitii!$E827,4)="Fact",1,0)</f>
        <v>0</v>
      </c>
      <c r="U827" s="27">
        <f>IF(Control_Achizitii!$C827="",0,IF(ISNUMBER(Control_Achizitii!$B827),0,1))</f>
        <v>0</v>
      </c>
      <c r="V827" s="27">
        <f>IF(Control_Achizitii!$C827="",0,IF($Z$2&lt;&gt;"OK",0,IF(AND(ISNUMBER(Control_Achizitii!$B827),Control_Achizitii!$B827&gt;=$E$5,Control_Achizitii!$B827&lt;$J$5+1,OR($O$5="Toate proiectele",Control_Achizitii!$Q827=$O$5)),1,0)))</f>
        <v>0</v>
      </c>
      <c r="W827" s="27">
        <f>IF(AND(V827=1,OR(Control_Achizitii!$J827&lt;&gt;"DOSAR COMPLET",Control_Achizitii!$K827&lt;&gt;"")),ROW(),1000000000)</f>
        <v>1000000000</v>
      </c>
      <c r="X827" s="27">
        <f>IF(AND(V827=1,LEFT(Control_Achizitii!$E827,4)="Fact",NOT(ISNUMBER(Control_Achizitii!$P827))),1,0)</f>
        <v>0</v>
      </c>
      <c r="Y827" s="27">
        <f>IF(V827=0,0,IF(Control_Achizitii!$J827="DOSAR COMPLET",1,IF(LEFT(Control_Achizitii!$J827,9)="INCOMPLET",2,3)))</f>
        <v>0</v>
      </c>
      <c r="Z827" s="27"/>
      <c r="AA827" s="27"/>
      <c r="AB827" s="27"/>
      <c r="AC827" s="27"/>
      <c r="AD827" s="27"/>
      <c r="AE827" s="27"/>
      <c r="AF827" s="27"/>
      <c r="AG827" s="27"/>
      <c r="AH827" s="27">
        <f>IF(AND(V827=1,Control_Achizitii!$J827="DOSAR COMPLET",Control_Achizitii!$K827&lt;&gt;""),1,0)</f>
        <v>0</v>
      </c>
    </row>
    <row r="828" spans="1:34">
      <c r="A828" s="27"/>
      <c r="B828" s="27"/>
      <c r="C828" s="27"/>
      <c r="D828" s="27"/>
      <c r="E828" s="27"/>
      <c r="F828" s="27"/>
      <c r="G828" s="27"/>
      <c r="H828" s="27"/>
      <c r="I828" s="27"/>
      <c r="J828" s="27"/>
      <c r="K828" s="27"/>
      <c r="L828" s="27"/>
      <c r="M828" s="27"/>
      <c r="N828" s="27"/>
      <c r="O828" s="27"/>
      <c r="P828" s="27"/>
      <c r="Q828" s="27"/>
      <c r="R828" s="27"/>
      <c r="S828" s="27"/>
      <c r="T828" s="27">
        <f>IF(LEFT(Control_Achizitii!$E828,4)="Fact",1,0)</f>
        <v>0</v>
      </c>
      <c r="U828" s="27">
        <f>IF(Control_Achizitii!$C828="",0,IF(ISNUMBER(Control_Achizitii!$B828),0,1))</f>
        <v>0</v>
      </c>
      <c r="V828" s="27">
        <f>IF(Control_Achizitii!$C828="",0,IF($Z$2&lt;&gt;"OK",0,IF(AND(ISNUMBER(Control_Achizitii!$B828),Control_Achizitii!$B828&gt;=$E$5,Control_Achizitii!$B828&lt;$J$5+1,OR($O$5="Toate proiectele",Control_Achizitii!$Q828=$O$5)),1,0)))</f>
        <v>0</v>
      </c>
      <c r="W828" s="27">
        <f>IF(AND(V828=1,OR(Control_Achizitii!$J828&lt;&gt;"DOSAR COMPLET",Control_Achizitii!$K828&lt;&gt;"")),ROW(),1000000000)</f>
        <v>1000000000</v>
      </c>
      <c r="X828" s="27">
        <f>IF(AND(V828=1,LEFT(Control_Achizitii!$E828,4)="Fact",NOT(ISNUMBER(Control_Achizitii!$P828))),1,0)</f>
        <v>0</v>
      </c>
      <c r="Y828" s="27">
        <f>IF(V828=0,0,IF(Control_Achizitii!$J828="DOSAR COMPLET",1,IF(LEFT(Control_Achizitii!$J828,9)="INCOMPLET",2,3)))</f>
        <v>0</v>
      </c>
      <c r="Z828" s="27"/>
      <c r="AA828" s="27"/>
      <c r="AB828" s="27"/>
      <c r="AC828" s="27"/>
      <c r="AD828" s="27"/>
      <c r="AE828" s="27"/>
      <c r="AF828" s="27"/>
      <c r="AG828" s="27"/>
      <c r="AH828" s="27">
        <f>IF(AND(V828=1,Control_Achizitii!$J828="DOSAR COMPLET",Control_Achizitii!$K828&lt;&gt;""),1,0)</f>
        <v>0</v>
      </c>
    </row>
    <row r="829" spans="1:34">
      <c r="A829" s="27"/>
      <c r="B829" s="27"/>
      <c r="C829" s="27"/>
      <c r="D829" s="27"/>
      <c r="E829" s="27"/>
      <c r="F829" s="27"/>
      <c r="G829" s="27"/>
      <c r="H829" s="27"/>
      <c r="I829" s="27"/>
      <c r="J829" s="27"/>
      <c r="K829" s="27"/>
      <c r="L829" s="27"/>
      <c r="M829" s="27"/>
      <c r="N829" s="27"/>
      <c r="O829" s="27"/>
      <c r="P829" s="27"/>
      <c r="Q829" s="27"/>
      <c r="R829" s="27"/>
      <c r="S829" s="27"/>
      <c r="T829" s="27">
        <f>IF(LEFT(Control_Achizitii!$E829,4)="Fact",1,0)</f>
        <v>0</v>
      </c>
      <c r="U829" s="27">
        <f>IF(Control_Achizitii!$C829="",0,IF(ISNUMBER(Control_Achizitii!$B829),0,1))</f>
        <v>0</v>
      </c>
      <c r="V829" s="27">
        <f>IF(Control_Achizitii!$C829="",0,IF($Z$2&lt;&gt;"OK",0,IF(AND(ISNUMBER(Control_Achizitii!$B829),Control_Achizitii!$B829&gt;=$E$5,Control_Achizitii!$B829&lt;$J$5+1,OR($O$5="Toate proiectele",Control_Achizitii!$Q829=$O$5)),1,0)))</f>
        <v>0</v>
      </c>
      <c r="W829" s="27">
        <f>IF(AND(V829=1,OR(Control_Achizitii!$J829&lt;&gt;"DOSAR COMPLET",Control_Achizitii!$K829&lt;&gt;"")),ROW(),1000000000)</f>
        <v>1000000000</v>
      </c>
      <c r="X829" s="27">
        <f>IF(AND(V829=1,LEFT(Control_Achizitii!$E829,4)="Fact",NOT(ISNUMBER(Control_Achizitii!$P829))),1,0)</f>
        <v>0</v>
      </c>
      <c r="Y829" s="27">
        <f>IF(V829=0,0,IF(Control_Achizitii!$J829="DOSAR COMPLET",1,IF(LEFT(Control_Achizitii!$J829,9)="INCOMPLET",2,3)))</f>
        <v>0</v>
      </c>
      <c r="Z829" s="27"/>
      <c r="AA829" s="27"/>
      <c r="AB829" s="27"/>
      <c r="AC829" s="27"/>
      <c r="AD829" s="27"/>
      <c r="AE829" s="27"/>
      <c r="AF829" s="27"/>
      <c r="AG829" s="27"/>
      <c r="AH829" s="27">
        <f>IF(AND(V829=1,Control_Achizitii!$J829="DOSAR COMPLET",Control_Achizitii!$K829&lt;&gt;""),1,0)</f>
        <v>0</v>
      </c>
    </row>
    <row r="830" spans="1:34">
      <c r="A830" s="27"/>
      <c r="B830" s="27"/>
      <c r="C830" s="27"/>
      <c r="D830" s="27"/>
      <c r="E830" s="27"/>
      <c r="F830" s="27"/>
      <c r="G830" s="27"/>
      <c r="H830" s="27"/>
      <c r="I830" s="27"/>
      <c r="J830" s="27"/>
      <c r="K830" s="27"/>
      <c r="L830" s="27"/>
      <c r="M830" s="27"/>
      <c r="N830" s="27"/>
      <c r="O830" s="27"/>
      <c r="P830" s="27"/>
      <c r="Q830" s="27"/>
      <c r="R830" s="27"/>
      <c r="S830" s="27"/>
      <c r="T830" s="27">
        <f>IF(LEFT(Control_Achizitii!$E830,4)="Fact",1,0)</f>
        <v>0</v>
      </c>
      <c r="U830" s="27">
        <f>IF(Control_Achizitii!$C830="",0,IF(ISNUMBER(Control_Achizitii!$B830),0,1))</f>
        <v>0</v>
      </c>
      <c r="V830" s="27">
        <f>IF(Control_Achizitii!$C830="",0,IF($Z$2&lt;&gt;"OK",0,IF(AND(ISNUMBER(Control_Achizitii!$B830),Control_Achizitii!$B830&gt;=$E$5,Control_Achizitii!$B830&lt;$J$5+1,OR($O$5="Toate proiectele",Control_Achizitii!$Q830=$O$5)),1,0)))</f>
        <v>0</v>
      </c>
      <c r="W830" s="27">
        <f>IF(AND(V830=1,OR(Control_Achizitii!$J830&lt;&gt;"DOSAR COMPLET",Control_Achizitii!$K830&lt;&gt;"")),ROW(),1000000000)</f>
        <v>1000000000</v>
      </c>
      <c r="X830" s="27">
        <f>IF(AND(V830=1,LEFT(Control_Achizitii!$E830,4)="Fact",NOT(ISNUMBER(Control_Achizitii!$P830))),1,0)</f>
        <v>0</v>
      </c>
      <c r="Y830" s="27">
        <f>IF(V830=0,0,IF(Control_Achizitii!$J830="DOSAR COMPLET",1,IF(LEFT(Control_Achizitii!$J830,9)="INCOMPLET",2,3)))</f>
        <v>0</v>
      </c>
      <c r="Z830" s="27"/>
      <c r="AA830" s="27"/>
      <c r="AB830" s="27"/>
      <c r="AC830" s="27"/>
      <c r="AD830" s="27"/>
      <c r="AE830" s="27"/>
      <c r="AF830" s="27"/>
      <c r="AG830" s="27"/>
      <c r="AH830" s="27">
        <f>IF(AND(V830=1,Control_Achizitii!$J830="DOSAR COMPLET",Control_Achizitii!$K830&lt;&gt;""),1,0)</f>
        <v>0</v>
      </c>
    </row>
    <row r="831" spans="1:34">
      <c r="A831" s="27"/>
      <c r="B831" s="27"/>
      <c r="C831" s="27"/>
      <c r="D831" s="27"/>
      <c r="E831" s="27"/>
      <c r="F831" s="27"/>
      <c r="G831" s="27"/>
      <c r="H831" s="27"/>
      <c r="I831" s="27"/>
      <c r="J831" s="27"/>
      <c r="K831" s="27"/>
      <c r="L831" s="27"/>
      <c r="M831" s="27"/>
      <c r="N831" s="27"/>
      <c r="O831" s="27"/>
      <c r="P831" s="27"/>
      <c r="Q831" s="27"/>
      <c r="R831" s="27"/>
      <c r="S831" s="27"/>
      <c r="T831" s="27">
        <f>IF(LEFT(Control_Achizitii!$E831,4)="Fact",1,0)</f>
        <v>0</v>
      </c>
      <c r="U831" s="27">
        <f>IF(Control_Achizitii!$C831="",0,IF(ISNUMBER(Control_Achizitii!$B831),0,1))</f>
        <v>0</v>
      </c>
      <c r="V831" s="27">
        <f>IF(Control_Achizitii!$C831="",0,IF($Z$2&lt;&gt;"OK",0,IF(AND(ISNUMBER(Control_Achizitii!$B831),Control_Achizitii!$B831&gt;=$E$5,Control_Achizitii!$B831&lt;$J$5+1,OR($O$5="Toate proiectele",Control_Achizitii!$Q831=$O$5)),1,0)))</f>
        <v>0</v>
      </c>
      <c r="W831" s="27">
        <f>IF(AND(V831=1,OR(Control_Achizitii!$J831&lt;&gt;"DOSAR COMPLET",Control_Achizitii!$K831&lt;&gt;"")),ROW(),1000000000)</f>
        <v>1000000000</v>
      </c>
      <c r="X831" s="27">
        <f>IF(AND(V831=1,LEFT(Control_Achizitii!$E831,4)="Fact",NOT(ISNUMBER(Control_Achizitii!$P831))),1,0)</f>
        <v>0</v>
      </c>
      <c r="Y831" s="27">
        <f>IF(V831=0,0,IF(Control_Achizitii!$J831="DOSAR COMPLET",1,IF(LEFT(Control_Achizitii!$J831,9)="INCOMPLET",2,3)))</f>
        <v>0</v>
      </c>
      <c r="Z831" s="27"/>
      <c r="AA831" s="27"/>
      <c r="AB831" s="27"/>
      <c r="AC831" s="27"/>
      <c r="AD831" s="27"/>
      <c r="AE831" s="27"/>
      <c r="AF831" s="27"/>
      <c r="AG831" s="27"/>
      <c r="AH831" s="27">
        <f>IF(AND(V831=1,Control_Achizitii!$J831="DOSAR COMPLET",Control_Achizitii!$K831&lt;&gt;""),1,0)</f>
        <v>0</v>
      </c>
    </row>
    <row r="832" spans="1:34">
      <c r="A832" s="27"/>
      <c r="B832" s="27"/>
      <c r="C832" s="27"/>
      <c r="D832" s="27"/>
      <c r="E832" s="27"/>
      <c r="F832" s="27"/>
      <c r="G832" s="27"/>
      <c r="H832" s="27"/>
      <c r="I832" s="27"/>
      <c r="J832" s="27"/>
      <c r="K832" s="27"/>
      <c r="L832" s="27"/>
      <c r="M832" s="27"/>
      <c r="N832" s="27"/>
      <c r="O832" s="27"/>
      <c r="P832" s="27"/>
      <c r="Q832" s="27"/>
      <c r="R832" s="27"/>
      <c r="S832" s="27"/>
      <c r="T832" s="27">
        <f>IF(LEFT(Control_Achizitii!$E832,4)="Fact",1,0)</f>
        <v>0</v>
      </c>
      <c r="U832" s="27">
        <f>IF(Control_Achizitii!$C832="",0,IF(ISNUMBER(Control_Achizitii!$B832),0,1))</f>
        <v>0</v>
      </c>
      <c r="V832" s="27">
        <f>IF(Control_Achizitii!$C832="",0,IF($Z$2&lt;&gt;"OK",0,IF(AND(ISNUMBER(Control_Achizitii!$B832),Control_Achizitii!$B832&gt;=$E$5,Control_Achizitii!$B832&lt;$J$5+1,OR($O$5="Toate proiectele",Control_Achizitii!$Q832=$O$5)),1,0)))</f>
        <v>0</v>
      </c>
      <c r="W832" s="27">
        <f>IF(AND(V832=1,OR(Control_Achizitii!$J832&lt;&gt;"DOSAR COMPLET",Control_Achizitii!$K832&lt;&gt;"")),ROW(),1000000000)</f>
        <v>1000000000</v>
      </c>
      <c r="X832" s="27">
        <f>IF(AND(V832=1,LEFT(Control_Achizitii!$E832,4)="Fact",NOT(ISNUMBER(Control_Achizitii!$P832))),1,0)</f>
        <v>0</v>
      </c>
      <c r="Y832" s="27">
        <f>IF(V832=0,0,IF(Control_Achizitii!$J832="DOSAR COMPLET",1,IF(LEFT(Control_Achizitii!$J832,9)="INCOMPLET",2,3)))</f>
        <v>0</v>
      </c>
      <c r="Z832" s="27"/>
      <c r="AA832" s="27"/>
      <c r="AB832" s="27"/>
      <c r="AC832" s="27"/>
      <c r="AD832" s="27"/>
      <c r="AE832" s="27"/>
      <c r="AF832" s="27"/>
      <c r="AG832" s="27"/>
      <c r="AH832" s="27">
        <f>IF(AND(V832=1,Control_Achizitii!$J832="DOSAR COMPLET",Control_Achizitii!$K832&lt;&gt;""),1,0)</f>
        <v>0</v>
      </c>
    </row>
    <row r="833" spans="1:34">
      <c r="A833" s="27"/>
      <c r="B833" s="27"/>
      <c r="C833" s="27"/>
      <c r="D833" s="27"/>
      <c r="E833" s="27"/>
      <c r="F833" s="27"/>
      <c r="G833" s="27"/>
      <c r="H833" s="27"/>
      <c r="I833" s="27"/>
      <c r="J833" s="27"/>
      <c r="K833" s="27"/>
      <c r="L833" s="27"/>
      <c r="M833" s="27"/>
      <c r="N833" s="27"/>
      <c r="O833" s="27"/>
      <c r="P833" s="27"/>
      <c r="Q833" s="27"/>
      <c r="R833" s="27"/>
      <c r="S833" s="27"/>
      <c r="T833" s="27">
        <f>IF(LEFT(Control_Achizitii!$E833,4)="Fact",1,0)</f>
        <v>0</v>
      </c>
      <c r="U833" s="27">
        <f>IF(Control_Achizitii!$C833="",0,IF(ISNUMBER(Control_Achizitii!$B833),0,1))</f>
        <v>0</v>
      </c>
      <c r="V833" s="27">
        <f>IF(Control_Achizitii!$C833="",0,IF($Z$2&lt;&gt;"OK",0,IF(AND(ISNUMBER(Control_Achizitii!$B833),Control_Achizitii!$B833&gt;=$E$5,Control_Achizitii!$B833&lt;$J$5+1,OR($O$5="Toate proiectele",Control_Achizitii!$Q833=$O$5)),1,0)))</f>
        <v>0</v>
      </c>
      <c r="W833" s="27">
        <f>IF(AND(V833=1,OR(Control_Achizitii!$J833&lt;&gt;"DOSAR COMPLET",Control_Achizitii!$K833&lt;&gt;"")),ROW(),1000000000)</f>
        <v>1000000000</v>
      </c>
      <c r="X833" s="27">
        <f>IF(AND(V833=1,LEFT(Control_Achizitii!$E833,4)="Fact",NOT(ISNUMBER(Control_Achizitii!$P833))),1,0)</f>
        <v>0</v>
      </c>
      <c r="Y833" s="27">
        <f>IF(V833=0,0,IF(Control_Achizitii!$J833="DOSAR COMPLET",1,IF(LEFT(Control_Achizitii!$J833,9)="INCOMPLET",2,3)))</f>
        <v>0</v>
      </c>
      <c r="Z833" s="27"/>
      <c r="AA833" s="27"/>
      <c r="AB833" s="27"/>
      <c r="AC833" s="27"/>
      <c r="AD833" s="27"/>
      <c r="AE833" s="27"/>
      <c r="AF833" s="27"/>
      <c r="AG833" s="27"/>
      <c r="AH833" s="27">
        <f>IF(AND(V833=1,Control_Achizitii!$J833="DOSAR COMPLET",Control_Achizitii!$K833&lt;&gt;""),1,0)</f>
        <v>0</v>
      </c>
    </row>
    <row r="834" spans="1:34">
      <c r="A834" s="27"/>
      <c r="B834" s="27"/>
      <c r="C834" s="27"/>
      <c r="D834" s="27"/>
      <c r="E834" s="27"/>
      <c r="F834" s="27"/>
      <c r="G834" s="27"/>
      <c r="H834" s="27"/>
      <c r="I834" s="27"/>
      <c r="J834" s="27"/>
      <c r="K834" s="27"/>
      <c r="L834" s="27"/>
      <c r="M834" s="27"/>
      <c r="N834" s="27"/>
      <c r="O834" s="27"/>
      <c r="P834" s="27"/>
      <c r="Q834" s="27"/>
      <c r="R834" s="27"/>
      <c r="S834" s="27"/>
      <c r="T834" s="27">
        <f>IF(LEFT(Control_Achizitii!$E834,4)="Fact",1,0)</f>
        <v>0</v>
      </c>
      <c r="U834" s="27">
        <f>IF(Control_Achizitii!$C834="",0,IF(ISNUMBER(Control_Achizitii!$B834),0,1))</f>
        <v>0</v>
      </c>
      <c r="V834" s="27">
        <f>IF(Control_Achizitii!$C834="",0,IF($Z$2&lt;&gt;"OK",0,IF(AND(ISNUMBER(Control_Achizitii!$B834),Control_Achizitii!$B834&gt;=$E$5,Control_Achizitii!$B834&lt;$J$5+1,OR($O$5="Toate proiectele",Control_Achizitii!$Q834=$O$5)),1,0)))</f>
        <v>0</v>
      </c>
      <c r="W834" s="27">
        <f>IF(AND(V834=1,OR(Control_Achizitii!$J834&lt;&gt;"DOSAR COMPLET",Control_Achizitii!$K834&lt;&gt;"")),ROW(),1000000000)</f>
        <v>1000000000</v>
      </c>
      <c r="X834" s="27">
        <f>IF(AND(V834=1,LEFT(Control_Achizitii!$E834,4)="Fact",NOT(ISNUMBER(Control_Achizitii!$P834))),1,0)</f>
        <v>0</v>
      </c>
      <c r="Y834" s="27">
        <f>IF(V834=0,0,IF(Control_Achizitii!$J834="DOSAR COMPLET",1,IF(LEFT(Control_Achizitii!$J834,9)="INCOMPLET",2,3)))</f>
        <v>0</v>
      </c>
      <c r="Z834" s="27"/>
      <c r="AA834" s="27"/>
      <c r="AB834" s="27"/>
      <c r="AC834" s="27"/>
      <c r="AD834" s="27"/>
      <c r="AE834" s="27"/>
      <c r="AF834" s="27"/>
      <c r="AG834" s="27"/>
      <c r="AH834" s="27">
        <f>IF(AND(V834=1,Control_Achizitii!$J834="DOSAR COMPLET",Control_Achizitii!$K834&lt;&gt;""),1,0)</f>
        <v>0</v>
      </c>
    </row>
    <row r="835" spans="1:34">
      <c r="A835" s="27"/>
      <c r="B835" s="27"/>
      <c r="C835" s="27"/>
      <c r="D835" s="27"/>
      <c r="E835" s="27"/>
      <c r="F835" s="27"/>
      <c r="G835" s="27"/>
      <c r="H835" s="27"/>
      <c r="I835" s="27"/>
      <c r="J835" s="27"/>
      <c r="K835" s="27"/>
      <c r="L835" s="27"/>
      <c r="M835" s="27"/>
      <c r="N835" s="27"/>
      <c r="O835" s="27"/>
      <c r="P835" s="27"/>
      <c r="Q835" s="27"/>
      <c r="R835" s="27"/>
      <c r="S835" s="27"/>
      <c r="T835" s="27">
        <f>IF(LEFT(Control_Achizitii!$E835,4)="Fact",1,0)</f>
        <v>0</v>
      </c>
      <c r="U835" s="27">
        <f>IF(Control_Achizitii!$C835="",0,IF(ISNUMBER(Control_Achizitii!$B835),0,1))</f>
        <v>0</v>
      </c>
      <c r="V835" s="27">
        <f>IF(Control_Achizitii!$C835="",0,IF($Z$2&lt;&gt;"OK",0,IF(AND(ISNUMBER(Control_Achizitii!$B835),Control_Achizitii!$B835&gt;=$E$5,Control_Achizitii!$B835&lt;$J$5+1,OR($O$5="Toate proiectele",Control_Achizitii!$Q835=$O$5)),1,0)))</f>
        <v>0</v>
      </c>
      <c r="W835" s="27">
        <f>IF(AND(V835=1,OR(Control_Achizitii!$J835&lt;&gt;"DOSAR COMPLET",Control_Achizitii!$K835&lt;&gt;"")),ROW(),1000000000)</f>
        <v>1000000000</v>
      </c>
      <c r="X835" s="27">
        <f>IF(AND(V835=1,LEFT(Control_Achizitii!$E835,4)="Fact",NOT(ISNUMBER(Control_Achizitii!$P835))),1,0)</f>
        <v>0</v>
      </c>
      <c r="Y835" s="27">
        <f>IF(V835=0,0,IF(Control_Achizitii!$J835="DOSAR COMPLET",1,IF(LEFT(Control_Achizitii!$J835,9)="INCOMPLET",2,3)))</f>
        <v>0</v>
      </c>
      <c r="Z835" s="27"/>
      <c r="AA835" s="27"/>
      <c r="AB835" s="27"/>
      <c r="AC835" s="27"/>
      <c r="AD835" s="27"/>
      <c r="AE835" s="27"/>
      <c r="AF835" s="27"/>
      <c r="AG835" s="27"/>
      <c r="AH835" s="27">
        <f>IF(AND(V835=1,Control_Achizitii!$J835="DOSAR COMPLET",Control_Achizitii!$K835&lt;&gt;""),1,0)</f>
        <v>0</v>
      </c>
    </row>
    <row r="836" spans="1:34">
      <c r="A836" s="27"/>
      <c r="B836" s="27"/>
      <c r="C836" s="27"/>
      <c r="D836" s="27"/>
      <c r="E836" s="27"/>
      <c r="F836" s="27"/>
      <c r="G836" s="27"/>
      <c r="H836" s="27"/>
      <c r="I836" s="27"/>
      <c r="J836" s="27"/>
      <c r="K836" s="27"/>
      <c r="L836" s="27"/>
      <c r="M836" s="27"/>
      <c r="N836" s="27"/>
      <c r="O836" s="27"/>
      <c r="P836" s="27"/>
      <c r="Q836" s="27"/>
      <c r="R836" s="27"/>
      <c r="S836" s="27"/>
      <c r="T836" s="27">
        <f>IF(LEFT(Control_Achizitii!$E836,4)="Fact",1,0)</f>
        <v>0</v>
      </c>
      <c r="U836" s="27">
        <f>IF(Control_Achizitii!$C836="",0,IF(ISNUMBER(Control_Achizitii!$B836),0,1))</f>
        <v>0</v>
      </c>
      <c r="V836" s="27">
        <f>IF(Control_Achizitii!$C836="",0,IF($Z$2&lt;&gt;"OK",0,IF(AND(ISNUMBER(Control_Achizitii!$B836),Control_Achizitii!$B836&gt;=$E$5,Control_Achizitii!$B836&lt;$J$5+1,OR($O$5="Toate proiectele",Control_Achizitii!$Q836=$O$5)),1,0)))</f>
        <v>0</v>
      </c>
      <c r="W836" s="27">
        <f>IF(AND(V836=1,OR(Control_Achizitii!$J836&lt;&gt;"DOSAR COMPLET",Control_Achizitii!$K836&lt;&gt;"")),ROW(),1000000000)</f>
        <v>1000000000</v>
      </c>
      <c r="X836" s="27">
        <f>IF(AND(V836=1,LEFT(Control_Achizitii!$E836,4)="Fact",NOT(ISNUMBER(Control_Achizitii!$P836))),1,0)</f>
        <v>0</v>
      </c>
      <c r="Y836" s="27">
        <f>IF(V836=0,0,IF(Control_Achizitii!$J836="DOSAR COMPLET",1,IF(LEFT(Control_Achizitii!$J836,9)="INCOMPLET",2,3)))</f>
        <v>0</v>
      </c>
      <c r="Z836" s="27"/>
      <c r="AA836" s="27"/>
      <c r="AB836" s="27"/>
      <c r="AC836" s="27"/>
      <c r="AD836" s="27"/>
      <c r="AE836" s="27"/>
      <c r="AF836" s="27"/>
      <c r="AG836" s="27"/>
      <c r="AH836" s="27">
        <f>IF(AND(V836=1,Control_Achizitii!$J836="DOSAR COMPLET",Control_Achizitii!$K836&lt;&gt;""),1,0)</f>
        <v>0</v>
      </c>
    </row>
    <row r="837" spans="1:34">
      <c r="A837" s="27"/>
      <c r="B837" s="27"/>
      <c r="C837" s="27"/>
      <c r="D837" s="27"/>
      <c r="E837" s="27"/>
      <c r="F837" s="27"/>
      <c r="G837" s="27"/>
      <c r="H837" s="27"/>
      <c r="I837" s="27"/>
      <c r="J837" s="27"/>
      <c r="K837" s="27"/>
      <c r="L837" s="27"/>
      <c r="M837" s="27"/>
      <c r="N837" s="27"/>
      <c r="O837" s="27"/>
      <c r="P837" s="27"/>
      <c r="Q837" s="27"/>
      <c r="R837" s="27"/>
      <c r="S837" s="27"/>
      <c r="T837" s="27">
        <f>IF(LEFT(Control_Achizitii!$E837,4)="Fact",1,0)</f>
        <v>0</v>
      </c>
      <c r="U837" s="27">
        <f>IF(Control_Achizitii!$C837="",0,IF(ISNUMBER(Control_Achizitii!$B837),0,1))</f>
        <v>0</v>
      </c>
      <c r="V837" s="27">
        <f>IF(Control_Achizitii!$C837="",0,IF($Z$2&lt;&gt;"OK",0,IF(AND(ISNUMBER(Control_Achizitii!$B837),Control_Achizitii!$B837&gt;=$E$5,Control_Achizitii!$B837&lt;$J$5+1,OR($O$5="Toate proiectele",Control_Achizitii!$Q837=$O$5)),1,0)))</f>
        <v>0</v>
      </c>
      <c r="W837" s="27">
        <f>IF(AND(V837=1,OR(Control_Achizitii!$J837&lt;&gt;"DOSAR COMPLET",Control_Achizitii!$K837&lt;&gt;"")),ROW(),1000000000)</f>
        <v>1000000000</v>
      </c>
      <c r="X837" s="27">
        <f>IF(AND(V837=1,LEFT(Control_Achizitii!$E837,4)="Fact",NOT(ISNUMBER(Control_Achizitii!$P837))),1,0)</f>
        <v>0</v>
      </c>
      <c r="Y837" s="27">
        <f>IF(V837=0,0,IF(Control_Achizitii!$J837="DOSAR COMPLET",1,IF(LEFT(Control_Achizitii!$J837,9)="INCOMPLET",2,3)))</f>
        <v>0</v>
      </c>
      <c r="Z837" s="27"/>
      <c r="AA837" s="27"/>
      <c r="AB837" s="27"/>
      <c r="AC837" s="27"/>
      <c r="AD837" s="27"/>
      <c r="AE837" s="27"/>
      <c r="AF837" s="27"/>
      <c r="AG837" s="27"/>
      <c r="AH837" s="27">
        <f>IF(AND(V837=1,Control_Achizitii!$J837="DOSAR COMPLET",Control_Achizitii!$K837&lt;&gt;""),1,0)</f>
        <v>0</v>
      </c>
    </row>
    <row r="838" spans="1:34">
      <c r="A838" s="27"/>
      <c r="B838" s="27"/>
      <c r="C838" s="27"/>
      <c r="D838" s="27"/>
      <c r="E838" s="27"/>
      <c r="F838" s="27"/>
      <c r="G838" s="27"/>
      <c r="H838" s="27"/>
      <c r="I838" s="27"/>
      <c r="J838" s="27"/>
      <c r="K838" s="27"/>
      <c r="L838" s="27"/>
      <c r="M838" s="27"/>
      <c r="N838" s="27"/>
      <c r="O838" s="27"/>
      <c r="P838" s="27"/>
      <c r="Q838" s="27"/>
      <c r="R838" s="27"/>
      <c r="S838" s="27"/>
      <c r="T838" s="27">
        <f>IF(LEFT(Control_Achizitii!$E838,4)="Fact",1,0)</f>
        <v>0</v>
      </c>
      <c r="U838" s="27">
        <f>IF(Control_Achizitii!$C838="",0,IF(ISNUMBER(Control_Achizitii!$B838),0,1))</f>
        <v>0</v>
      </c>
      <c r="V838" s="27">
        <f>IF(Control_Achizitii!$C838="",0,IF($Z$2&lt;&gt;"OK",0,IF(AND(ISNUMBER(Control_Achizitii!$B838),Control_Achizitii!$B838&gt;=$E$5,Control_Achizitii!$B838&lt;$J$5+1,OR($O$5="Toate proiectele",Control_Achizitii!$Q838=$O$5)),1,0)))</f>
        <v>0</v>
      </c>
      <c r="W838" s="27">
        <f>IF(AND(V838=1,OR(Control_Achizitii!$J838&lt;&gt;"DOSAR COMPLET",Control_Achizitii!$K838&lt;&gt;"")),ROW(),1000000000)</f>
        <v>1000000000</v>
      </c>
      <c r="X838" s="27">
        <f>IF(AND(V838=1,LEFT(Control_Achizitii!$E838,4)="Fact",NOT(ISNUMBER(Control_Achizitii!$P838))),1,0)</f>
        <v>0</v>
      </c>
      <c r="Y838" s="27">
        <f>IF(V838=0,0,IF(Control_Achizitii!$J838="DOSAR COMPLET",1,IF(LEFT(Control_Achizitii!$J838,9)="INCOMPLET",2,3)))</f>
        <v>0</v>
      </c>
      <c r="Z838" s="27"/>
      <c r="AA838" s="27"/>
      <c r="AB838" s="27"/>
      <c r="AC838" s="27"/>
      <c r="AD838" s="27"/>
      <c r="AE838" s="27"/>
      <c r="AF838" s="27"/>
      <c r="AG838" s="27"/>
      <c r="AH838" s="27">
        <f>IF(AND(V838=1,Control_Achizitii!$J838="DOSAR COMPLET",Control_Achizitii!$K838&lt;&gt;""),1,0)</f>
        <v>0</v>
      </c>
    </row>
    <row r="839" spans="1:34">
      <c r="A839" s="27"/>
      <c r="B839" s="27"/>
      <c r="C839" s="27"/>
      <c r="D839" s="27"/>
      <c r="E839" s="27"/>
      <c r="F839" s="27"/>
      <c r="G839" s="27"/>
      <c r="H839" s="27"/>
      <c r="I839" s="27"/>
      <c r="J839" s="27"/>
      <c r="K839" s="27"/>
      <c r="L839" s="27"/>
      <c r="M839" s="27"/>
      <c r="N839" s="27"/>
      <c r="O839" s="27"/>
      <c r="P839" s="27"/>
      <c r="Q839" s="27"/>
      <c r="R839" s="27"/>
      <c r="S839" s="27"/>
      <c r="T839" s="27">
        <f>IF(LEFT(Control_Achizitii!$E839,4)="Fact",1,0)</f>
        <v>0</v>
      </c>
      <c r="U839" s="27">
        <f>IF(Control_Achizitii!$C839="",0,IF(ISNUMBER(Control_Achizitii!$B839),0,1))</f>
        <v>0</v>
      </c>
      <c r="V839" s="27">
        <f>IF(Control_Achizitii!$C839="",0,IF($Z$2&lt;&gt;"OK",0,IF(AND(ISNUMBER(Control_Achizitii!$B839),Control_Achizitii!$B839&gt;=$E$5,Control_Achizitii!$B839&lt;$J$5+1,OR($O$5="Toate proiectele",Control_Achizitii!$Q839=$O$5)),1,0)))</f>
        <v>0</v>
      </c>
      <c r="W839" s="27">
        <f>IF(AND(V839=1,OR(Control_Achizitii!$J839&lt;&gt;"DOSAR COMPLET",Control_Achizitii!$K839&lt;&gt;"")),ROW(),1000000000)</f>
        <v>1000000000</v>
      </c>
      <c r="X839" s="27">
        <f>IF(AND(V839=1,LEFT(Control_Achizitii!$E839,4)="Fact",NOT(ISNUMBER(Control_Achizitii!$P839))),1,0)</f>
        <v>0</v>
      </c>
      <c r="Y839" s="27">
        <f>IF(V839=0,0,IF(Control_Achizitii!$J839="DOSAR COMPLET",1,IF(LEFT(Control_Achizitii!$J839,9)="INCOMPLET",2,3)))</f>
        <v>0</v>
      </c>
      <c r="Z839" s="27"/>
      <c r="AA839" s="27"/>
      <c r="AB839" s="27"/>
      <c r="AC839" s="27"/>
      <c r="AD839" s="27"/>
      <c r="AE839" s="27"/>
      <c r="AF839" s="27"/>
      <c r="AG839" s="27"/>
      <c r="AH839" s="27">
        <f>IF(AND(V839=1,Control_Achizitii!$J839="DOSAR COMPLET",Control_Achizitii!$K839&lt;&gt;""),1,0)</f>
        <v>0</v>
      </c>
    </row>
    <row r="840" spans="1:34">
      <c r="A840" s="27"/>
      <c r="B840" s="27"/>
      <c r="C840" s="27"/>
      <c r="D840" s="27"/>
      <c r="E840" s="27"/>
      <c r="F840" s="27"/>
      <c r="G840" s="27"/>
      <c r="H840" s="27"/>
      <c r="I840" s="27"/>
      <c r="J840" s="27"/>
      <c r="K840" s="27"/>
      <c r="L840" s="27"/>
      <c r="M840" s="27"/>
      <c r="N840" s="27"/>
      <c r="O840" s="27"/>
      <c r="P840" s="27"/>
      <c r="Q840" s="27"/>
      <c r="R840" s="27"/>
      <c r="S840" s="27"/>
      <c r="T840" s="27">
        <f>IF(LEFT(Control_Achizitii!$E840,4)="Fact",1,0)</f>
        <v>0</v>
      </c>
      <c r="U840" s="27">
        <f>IF(Control_Achizitii!$C840="",0,IF(ISNUMBER(Control_Achizitii!$B840),0,1))</f>
        <v>0</v>
      </c>
      <c r="V840" s="27">
        <f>IF(Control_Achizitii!$C840="",0,IF($Z$2&lt;&gt;"OK",0,IF(AND(ISNUMBER(Control_Achizitii!$B840),Control_Achizitii!$B840&gt;=$E$5,Control_Achizitii!$B840&lt;$J$5+1,OR($O$5="Toate proiectele",Control_Achizitii!$Q840=$O$5)),1,0)))</f>
        <v>0</v>
      </c>
      <c r="W840" s="27">
        <f>IF(AND(V840=1,OR(Control_Achizitii!$J840&lt;&gt;"DOSAR COMPLET",Control_Achizitii!$K840&lt;&gt;"")),ROW(),1000000000)</f>
        <v>1000000000</v>
      </c>
      <c r="X840" s="27">
        <f>IF(AND(V840=1,LEFT(Control_Achizitii!$E840,4)="Fact",NOT(ISNUMBER(Control_Achizitii!$P840))),1,0)</f>
        <v>0</v>
      </c>
      <c r="Y840" s="27">
        <f>IF(V840=0,0,IF(Control_Achizitii!$J840="DOSAR COMPLET",1,IF(LEFT(Control_Achizitii!$J840,9)="INCOMPLET",2,3)))</f>
        <v>0</v>
      </c>
      <c r="Z840" s="27"/>
      <c r="AA840" s="27"/>
      <c r="AB840" s="27"/>
      <c r="AC840" s="27"/>
      <c r="AD840" s="27"/>
      <c r="AE840" s="27"/>
      <c r="AF840" s="27"/>
      <c r="AG840" s="27"/>
      <c r="AH840" s="27">
        <f>IF(AND(V840=1,Control_Achizitii!$J840="DOSAR COMPLET",Control_Achizitii!$K840&lt;&gt;""),1,0)</f>
        <v>0</v>
      </c>
    </row>
    <row r="841" spans="1:34">
      <c r="A841" s="27"/>
      <c r="B841" s="27"/>
      <c r="C841" s="27"/>
      <c r="D841" s="27"/>
      <c r="E841" s="27"/>
      <c r="F841" s="27"/>
      <c r="G841" s="27"/>
      <c r="H841" s="27"/>
      <c r="I841" s="27"/>
      <c r="J841" s="27"/>
      <c r="K841" s="27"/>
      <c r="L841" s="27"/>
      <c r="M841" s="27"/>
      <c r="N841" s="27"/>
      <c r="O841" s="27"/>
      <c r="P841" s="27"/>
      <c r="Q841" s="27"/>
      <c r="R841" s="27"/>
      <c r="S841" s="27"/>
      <c r="T841" s="27">
        <f>IF(LEFT(Control_Achizitii!$E841,4)="Fact",1,0)</f>
        <v>0</v>
      </c>
      <c r="U841" s="27">
        <f>IF(Control_Achizitii!$C841="",0,IF(ISNUMBER(Control_Achizitii!$B841),0,1))</f>
        <v>0</v>
      </c>
      <c r="V841" s="27">
        <f>IF(Control_Achizitii!$C841="",0,IF($Z$2&lt;&gt;"OK",0,IF(AND(ISNUMBER(Control_Achizitii!$B841),Control_Achizitii!$B841&gt;=$E$5,Control_Achizitii!$B841&lt;$J$5+1,OR($O$5="Toate proiectele",Control_Achizitii!$Q841=$O$5)),1,0)))</f>
        <v>0</v>
      </c>
      <c r="W841" s="27">
        <f>IF(AND(V841=1,OR(Control_Achizitii!$J841&lt;&gt;"DOSAR COMPLET",Control_Achizitii!$K841&lt;&gt;"")),ROW(),1000000000)</f>
        <v>1000000000</v>
      </c>
      <c r="X841" s="27">
        <f>IF(AND(V841=1,LEFT(Control_Achizitii!$E841,4)="Fact",NOT(ISNUMBER(Control_Achizitii!$P841))),1,0)</f>
        <v>0</v>
      </c>
      <c r="Y841" s="27">
        <f>IF(V841=0,0,IF(Control_Achizitii!$J841="DOSAR COMPLET",1,IF(LEFT(Control_Achizitii!$J841,9)="INCOMPLET",2,3)))</f>
        <v>0</v>
      </c>
      <c r="Z841" s="27"/>
      <c r="AA841" s="27"/>
      <c r="AB841" s="27"/>
      <c r="AC841" s="27"/>
      <c r="AD841" s="27"/>
      <c r="AE841" s="27"/>
      <c r="AF841" s="27"/>
      <c r="AG841" s="27"/>
      <c r="AH841" s="27">
        <f>IF(AND(V841=1,Control_Achizitii!$J841="DOSAR COMPLET",Control_Achizitii!$K841&lt;&gt;""),1,0)</f>
        <v>0</v>
      </c>
    </row>
    <row r="842" spans="1:34">
      <c r="A842" s="27"/>
      <c r="B842" s="27"/>
      <c r="C842" s="27"/>
      <c r="D842" s="27"/>
      <c r="E842" s="27"/>
      <c r="F842" s="27"/>
      <c r="G842" s="27"/>
      <c r="H842" s="27"/>
      <c r="I842" s="27"/>
      <c r="J842" s="27"/>
      <c r="K842" s="27"/>
      <c r="L842" s="27"/>
      <c r="M842" s="27"/>
      <c r="N842" s="27"/>
      <c r="O842" s="27"/>
      <c r="P842" s="27"/>
      <c r="Q842" s="27"/>
      <c r="R842" s="27"/>
      <c r="S842" s="27"/>
      <c r="T842" s="27">
        <f>IF(LEFT(Control_Achizitii!$E842,4)="Fact",1,0)</f>
        <v>0</v>
      </c>
      <c r="U842" s="27">
        <f>IF(Control_Achizitii!$C842="",0,IF(ISNUMBER(Control_Achizitii!$B842),0,1))</f>
        <v>0</v>
      </c>
      <c r="V842" s="27">
        <f>IF(Control_Achizitii!$C842="",0,IF($Z$2&lt;&gt;"OK",0,IF(AND(ISNUMBER(Control_Achizitii!$B842),Control_Achizitii!$B842&gt;=$E$5,Control_Achizitii!$B842&lt;$J$5+1,OR($O$5="Toate proiectele",Control_Achizitii!$Q842=$O$5)),1,0)))</f>
        <v>0</v>
      </c>
      <c r="W842" s="27">
        <f>IF(AND(V842=1,OR(Control_Achizitii!$J842&lt;&gt;"DOSAR COMPLET",Control_Achizitii!$K842&lt;&gt;"")),ROW(),1000000000)</f>
        <v>1000000000</v>
      </c>
      <c r="X842" s="27">
        <f>IF(AND(V842=1,LEFT(Control_Achizitii!$E842,4)="Fact",NOT(ISNUMBER(Control_Achizitii!$P842))),1,0)</f>
        <v>0</v>
      </c>
      <c r="Y842" s="27">
        <f>IF(V842=0,0,IF(Control_Achizitii!$J842="DOSAR COMPLET",1,IF(LEFT(Control_Achizitii!$J842,9)="INCOMPLET",2,3)))</f>
        <v>0</v>
      </c>
      <c r="Z842" s="27"/>
      <c r="AA842" s="27"/>
      <c r="AB842" s="27"/>
      <c r="AC842" s="27"/>
      <c r="AD842" s="27"/>
      <c r="AE842" s="27"/>
      <c r="AF842" s="27"/>
      <c r="AG842" s="27"/>
      <c r="AH842" s="27">
        <f>IF(AND(V842=1,Control_Achizitii!$J842="DOSAR COMPLET",Control_Achizitii!$K842&lt;&gt;""),1,0)</f>
        <v>0</v>
      </c>
    </row>
    <row r="843" spans="1:34">
      <c r="A843" s="27"/>
      <c r="B843" s="27"/>
      <c r="C843" s="27"/>
      <c r="D843" s="27"/>
      <c r="E843" s="27"/>
      <c r="F843" s="27"/>
      <c r="G843" s="27"/>
      <c r="H843" s="27"/>
      <c r="I843" s="27"/>
      <c r="J843" s="27"/>
      <c r="K843" s="27"/>
      <c r="L843" s="27"/>
      <c r="M843" s="27"/>
      <c r="N843" s="27"/>
      <c r="O843" s="27"/>
      <c r="P843" s="27"/>
      <c r="Q843" s="27"/>
      <c r="R843" s="27"/>
      <c r="S843" s="27"/>
      <c r="T843" s="27">
        <f>IF(LEFT(Control_Achizitii!$E843,4)="Fact",1,0)</f>
        <v>0</v>
      </c>
      <c r="U843" s="27">
        <f>IF(Control_Achizitii!$C843="",0,IF(ISNUMBER(Control_Achizitii!$B843),0,1))</f>
        <v>0</v>
      </c>
      <c r="V843" s="27">
        <f>IF(Control_Achizitii!$C843="",0,IF($Z$2&lt;&gt;"OK",0,IF(AND(ISNUMBER(Control_Achizitii!$B843),Control_Achizitii!$B843&gt;=$E$5,Control_Achizitii!$B843&lt;$J$5+1,OR($O$5="Toate proiectele",Control_Achizitii!$Q843=$O$5)),1,0)))</f>
        <v>0</v>
      </c>
      <c r="W843" s="27">
        <f>IF(AND(V843=1,OR(Control_Achizitii!$J843&lt;&gt;"DOSAR COMPLET",Control_Achizitii!$K843&lt;&gt;"")),ROW(),1000000000)</f>
        <v>1000000000</v>
      </c>
      <c r="X843" s="27">
        <f>IF(AND(V843=1,LEFT(Control_Achizitii!$E843,4)="Fact",NOT(ISNUMBER(Control_Achizitii!$P843))),1,0)</f>
        <v>0</v>
      </c>
      <c r="Y843" s="27">
        <f>IF(V843=0,0,IF(Control_Achizitii!$J843="DOSAR COMPLET",1,IF(LEFT(Control_Achizitii!$J843,9)="INCOMPLET",2,3)))</f>
        <v>0</v>
      </c>
      <c r="Z843" s="27"/>
      <c r="AA843" s="27"/>
      <c r="AB843" s="27"/>
      <c r="AC843" s="27"/>
      <c r="AD843" s="27"/>
      <c r="AE843" s="27"/>
      <c r="AF843" s="27"/>
      <c r="AG843" s="27"/>
      <c r="AH843" s="27">
        <f>IF(AND(V843=1,Control_Achizitii!$J843="DOSAR COMPLET",Control_Achizitii!$K843&lt;&gt;""),1,0)</f>
        <v>0</v>
      </c>
    </row>
    <row r="844" spans="1:34">
      <c r="A844" s="27"/>
      <c r="B844" s="27"/>
      <c r="C844" s="27"/>
      <c r="D844" s="27"/>
      <c r="E844" s="27"/>
      <c r="F844" s="27"/>
      <c r="G844" s="27"/>
      <c r="H844" s="27"/>
      <c r="I844" s="27"/>
      <c r="J844" s="27"/>
      <c r="K844" s="27"/>
      <c r="L844" s="27"/>
      <c r="M844" s="27"/>
      <c r="N844" s="27"/>
      <c r="O844" s="27"/>
      <c r="P844" s="27"/>
      <c r="Q844" s="27"/>
      <c r="R844" s="27"/>
      <c r="S844" s="27"/>
      <c r="T844" s="27">
        <f>IF(LEFT(Control_Achizitii!$E844,4)="Fact",1,0)</f>
        <v>0</v>
      </c>
      <c r="U844" s="27">
        <f>IF(Control_Achizitii!$C844="",0,IF(ISNUMBER(Control_Achizitii!$B844),0,1))</f>
        <v>0</v>
      </c>
      <c r="V844" s="27">
        <f>IF(Control_Achizitii!$C844="",0,IF($Z$2&lt;&gt;"OK",0,IF(AND(ISNUMBER(Control_Achizitii!$B844),Control_Achizitii!$B844&gt;=$E$5,Control_Achizitii!$B844&lt;$J$5+1,OR($O$5="Toate proiectele",Control_Achizitii!$Q844=$O$5)),1,0)))</f>
        <v>0</v>
      </c>
      <c r="W844" s="27">
        <f>IF(AND(V844=1,OR(Control_Achizitii!$J844&lt;&gt;"DOSAR COMPLET",Control_Achizitii!$K844&lt;&gt;"")),ROW(),1000000000)</f>
        <v>1000000000</v>
      </c>
      <c r="X844" s="27">
        <f>IF(AND(V844=1,LEFT(Control_Achizitii!$E844,4)="Fact",NOT(ISNUMBER(Control_Achizitii!$P844))),1,0)</f>
        <v>0</v>
      </c>
      <c r="Y844" s="27">
        <f>IF(V844=0,0,IF(Control_Achizitii!$J844="DOSAR COMPLET",1,IF(LEFT(Control_Achizitii!$J844,9)="INCOMPLET",2,3)))</f>
        <v>0</v>
      </c>
      <c r="Z844" s="27"/>
      <c r="AA844" s="27"/>
      <c r="AB844" s="27"/>
      <c r="AC844" s="27"/>
      <c r="AD844" s="27"/>
      <c r="AE844" s="27"/>
      <c r="AF844" s="27"/>
      <c r="AG844" s="27"/>
      <c r="AH844" s="27">
        <f>IF(AND(V844=1,Control_Achizitii!$J844="DOSAR COMPLET",Control_Achizitii!$K844&lt;&gt;""),1,0)</f>
        <v>0</v>
      </c>
    </row>
    <row r="845" spans="1:34">
      <c r="A845" s="27"/>
      <c r="B845" s="27"/>
      <c r="C845" s="27"/>
      <c r="D845" s="27"/>
      <c r="E845" s="27"/>
      <c r="F845" s="27"/>
      <c r="G845" s="27"/>
      <c r="H845" s="27"/>
      <c r="I845" s="27"/>
      <c r="J845" s="27"/>
      <c r="K845" s="27"/>
      <c r="L845" s="27"/>
      <c r="M845" s="27"/>
      <c r="N845" s="27"/>
      <c r="O845" s="27"/>
      <c r="P845" s="27"/>
      <c r="Q845" s="27"/>
      <c r="R845" s="27"/>
      <c r="S845" s="27"/>
      <c r="T845" s="27">
        <f>IF(LEFT(Control_Achizitii!$E845,4)="Fact",1,0)</f>
        <v>0</v>
      </c>
      <c r="U845" s="27">
        <f>IF(Control_Achizitii!$C845="",0,IF(ISNUMBER(Control_Achizitii!$B845),0,1))</f>
        <v>0</v>
      </c>
      <c r="V845" s="27">
        <f>IF(Control_Achizitii!$C845="",0,IF($Z$2&lt;&gt;"OK",0,IF(AND(ISNUMBER(Control_Achizitii!$B845),Control_Achizitii!$B845&gt;=$E$5,Control_Achizitii!$B845&lt;$J$5+1,OR($O$5="Toate proiectele",Control_Achizitii!$Q845=$O$5)),1,0)))</f>
        <v>0</v>
      </c>
      <c r="W845" s="27">
        <f>IF(AND(V845=1,OR(Control_Achizitii!$J845&lt;&gt;"DOSAR COMPLET",Control_Achizitii!$K845&lt;&gt;"")),ROW(),1000000000)</f>
        <v>1000000000</v>
      </c>
      <c r="X845" s="27">
        <f>IF(AND(V845=1,LEFT(Control_Achizitii!$E845,4)="Fact",NOT(ISNUMBER(Control_Achizitii!$P845))),1,0)</f>
        <v>0</v>
      </c>
      <c r="Y845" s="27">
        <f>IF(V845=0,0,IF(Control_Achizitii!$J845="DOSAR COMPLET",1,IF(LEFT(Control_Achizitii!$J845,9)="INCOMPLET",2,3)))</f>
        <v>0</v>
      </c>
      <c r="Z845" s="27"/>
      <c r="AA845" s="27"/>
      <c r="AB845" s="27"/>
      <c r="AC845" s="27"/>
      <c r="AD845" s="27"/>
      <c r="AE845" s="27"/>
      <c r="AF845" s="27"/>
      <c r="AG845" s="27"/>
      <c r="AH845" s="27">
        <f>IF(AND(V845=1,Control_Achizitii!$J845="DOSAR COMPLET",Control_Achizitii!$K845&lt;&gt;""),1,0)</f>
        <v>0</v>
      </c>
    </row>
    <row r="846" spans="1:34">
      <c r="A846" s="27"/>
      <c r="B846" s="27"/>
      <c r="C846" s="27"/>
      <c r="D846" s="27"/>
      <c r="E846" s="27"/>
      <c r="F846" s="27"/>
      <c r="G846" s="27"/>
      <c r="H846" s="27"/>
      <c r="I846" s="27"/>
      <c r="J846" s="27"/>
      <c r="K846" s="27"/>
      <c r="L846" s="27"/>
      <c r="M846" s="27"/>
      <c r="N846" s="27"/>
      <c r="O846" s="27"/>
      <c r="P846" s="27"/>
      <c r="Q846" s="27"/>
      <c r="R846" s="27"/>
      <c r="S846" s="27"/>
      <c r="T846" s="27">
        <f>IF(LEFT(Control_Achizitii!$E846,4)="Fact",1,0)</f>
        <v>0</v>
      </c>
      <c r="U846" s="27">
        <f>IF(Control_Achizitii!$C846="",0,IF(ISNUMBER(Control_Achizitii!$B846),0,1))</f>
        <v>0</v>
      </c>
      <c r="V846" s="27">
        <f>IF(Control_Achizitii!$C846="",0,IF($Z$2&lt;&gt;"OK",0,IF(AND(ISNUMBER(Control_Achizitii!$B846),Control_Achizitii!$B846&gt;=$E$5,Control_Achizitii!$B846&lt;$J$5+1,OR($O$5="Toate proiectele",Control_Achizitii!$Q846=$O$5)),1,0)))</f>
        <v>0</v>
      </c>
      <c r="W846" s="27">
        <f>IF(AND(V846=1,OR(Control_Achizitii!$J846&lt;&gt;"DOSAR COMPLET",Control_Achizitii!$K846&lt;&gt;"")),ROW(),1000000000)</f>
        <v>1000000000</v>
      </c>
      <c r="X846" s="27">
        <f>IF(AND(V846=1,LEFT(Control_Achizitii!$E846,4)="Fact",NOT(ISNUMBER(Control_Achizitii!$P846))),1,0)</f>
        <v>0</v>
      </c>
      <c r="Y846" s="27">
        <f>IF(V846=0,0,IF(Control_Achizitii!$J846="DOSAR COMPLET",1,IF(LEFT(Control_Achizitii!$J846,9)="INCOMPLET",2,3)))</f>
        <v>0</v>
      </c>
      <c r="Z846" s="27"/>
      <c r="AA846" s="27"/>
      <c r="AB846" s="27"/>
      <c r="AC846" s="27"/>
      <c r="AD846" s="27"/>
      <c r="AE846" s="27"/>
      <c r="AF846" s="27"/>
      <c r="AG846" s="27"/>
      <c r="AH846" s="27">
        <f>IF(AND(V846=1,Control_Achizitii!$J846="DOSAR COMPLET",Control_Achizitii!$K846&lt;&gt;""),1,0)</f>
        <v>0</v>
      </c>
    </row>
    <row r="847" spans="1:34">
      <c r="A847" s="27"/>
      <c r="B847" s="27"/>
      <c r="C847" s="27"/>
      <c r="D847" s="27"/>
      <c r="E847" s="27"/>
      <c r="F847" s="27"/>
      <c r="G847" s="27"/>
      <c r="H847" s="27"/>
      <c r="I847" s="27"/>
      <c r="J847" s="27"/>
      <c r="K847" s="27"/>
      <c r="L847" s="27"/>
      <c r="M847" s="27"/>
      <c r="N847" s="27"/>
      <c r="O847" s="27"/>
      <c r="P847" s="27"/>
      <c r="Q847" s="27"/>
      <c r="R847" s="27"/>
      <c r="S847" s="27"/>
      <c r="T847" s="27">
        <f>IF(LEFT(Control_Achizitii!$E847,4)="Fact",1,0)</f>
        <v>0</v>
      </c>
      <c r="U847" s="27">
        <f>IF(Control_Achizitii!$C847="",0,IF(ISNUMBER(Control_Achizitii!$B847),0,1))</f>
        <v>0</v>
      </c>
      <c r="V847" s="27">
        <f>IF(Control_Achizitii!$C847="",0,IF($Z$2&lt;&gt;"OK",0,IF(AND(ISNUMBER(Control_Achizitii!$B847),Control_Achizitii!$B847&gt;=$E$5,Control_Achizitii!$B847&lt;$J$5+1,OR($O$5="Toate proiectele",Control_Achizitii!$Q847=$O$5)),1,0)))</f>
        <v>0</v>
      </c>
      <c r="W847" s="27">
        <f>IF(AND(V847=1,OR(Control_Achizitii!$J847&lt;&gt;"DOSAR COMPLET",Control_Achizitii!$K847&lt;&gt;"")),ROW(),1000000000)</f>
        <v>1000000000</v>
      </c>
      <c r="X847" s="27">
        <f>IF(AND(V847=1,LEFT(Control_Achizitii!$E847,4)="Fact",NOT(ISNUMBER(Control_Achizitii!$P847))),1,0)</f>
        <v>0</v>
      </c>
      <c r="Y847" s="27">
        <f>IF(V847=0,0,IF(Control_Achizitii!$J847="DOSAR COMPLET",1,IF(LEFT(Control_Achizitii!$J847,9)="INCOMPLET",2,3)))</f>
        <v>0</v>
      </c>
      <c r="Z847" s="27"/>
      <c r="AA847" s="27"/>
      <c r="AB847" s="27"/>
      <c r="AC847" s="27"/>
      <c r="AD847" s="27"/>
      <c r="AE847" s="27"/>
      <c r="AF847" s="27"/>
      <c r="AG847" s="27"/>
      <c r="AH847" s="27">
        <f>IF(AND(V847=1,Control_Achizitii!$J847="DOSAR COMPLET",Control_Achizitii!$K847&lt;&gt;""),1,0)</f>
        <v>0</v>
      </c>
    </row>
    <row r="848" spans="1:34">
      <c r="A848" s="27"/>
      <c r="B848" s="27"/>
      <c r="C848" s="27"/>
      <c r="D848" s="27"/>
      <c r="E848" s="27"/>
      <c r="F848" s="27"/>
      <c r="G848" s="27"/>
      <c r="H848" s="27"/>
      <c r="I848" s="27"/>
      <c r="J848" s="27"/>
      <c r="K848" s="27"/>
      <c r="L848" s="27"/>
      <c r="M848" s="27"/>
      <c r="N848" s="27"/>
      <c r="O848" s="27"/>
      <c r="P848" s="27"/>
      <c r="Q848" s="27"/>
      <c r="R848" s="27"/>
      <c r="S848" s="27"/>
      <c r="T848" s="27">
        <f>IF(LEFT(Control_Achizitii!$E848,4)="Fact",1,0)</f>
        <v>0</v>
      </c>
      <c r="U848" s="27">
        <f>IF(Control_Achizitii!$C848="",0,IF(ISNUMBER(Control_Achizitii!$B848),0,1))</f>
        <v>0</v>
      </c>
      <c r="V848" s="27">
        <f>IF(Control_Achizitii!$C848="",0,IF($Z$2&lt;&gt;"OK",0,IF(AND(ISNUMBER(Control_Achizitii!$B848),Control_Achizitii!$B848&gt;=$E$5,Control_Achizitii!$B848&lt;$J$5+1,OR($O$5="Toate proiectele",Control_Achizitii!$Q848=$O$5)),1,0)))</f>
        <v>0</v>
      </c>
      <c r="W848" s="27">
        <f>IF(AND(V848=1,OR(Control_Achizitii!$J848&lt;&gt;"DOSAR COMPLET",Control_Achizitii!$K848&lt;&gt;"")),ROW(),1000000000)</f>
        <v>1000000000</v>
      </c>
      <c r="X848" s="27">
        <f>IF(AND(V848=1,LEFT(Control_Achizitii!$E848,4)="Fact",NOT(ISNUMBER(Control_Achizitii!$P848))),1,0)</f>
        <v>0</v>
      </c>
      <c r="Y848" s="27">
        <f>IF(V848=0,0,IF(Control_Achizitii!$J848="DOSAR COMPLET",1,IF(LEFT(Control_Achizitii!$J848,9)="INCOMPLET",2,3)))</f>
        <v>0</v>
      </c>
      <c r="Z848" s="27"/>
      <c r="AA848" s="27"/>
      <c r="AB848" s="27"/>
      <c r="AC848" s="27"/>
      <c r="AD848" s="27"/>
      <c r="AE848" s="27"/>
      <c r="AF848" s="27"/>
      <c r="AG848" s="27"/>
      <c r="AH848" s="27">
        <f>IF(AND(V848=1,Control_Achizitii!$J848="DOSAR COMPLET",Control_Achizitii!$K848&lt;&gt;""),1,0)</f>
        <v>0</v>
      </c>
    </row>
    <row r="849" spans="1:34">
      <c r="A849" s="27"/>
      <c r="B849" s="27"/>
      <c r="C849" s="27"/>
      <c r="D849" s="27"/>
      <c r="E849" s="27"/>
      <c r="F849" s="27"/>
      <c r="G849" s="27"/>
      <c r="H849" s="27"/>
      <c r="I849" s="27"/>
      <c r="J849" s="27"/>
      <c r="K849" s="27"/>
      <c r="L849" s="27"/>
      <c r="M849" s="27"/>
      <c r="N849" s="27"/>
      <c r="O849" s="27"/>
      <c r="P849" s="27"/>
      <c r="Q849" s="27"/>
      <c r="R849" s="27"/>
      <c r="S849" s="27"/>
      <c r="T849" s="27">
        <f>IF(LEFT(Control_Achizitii!$E849,4)="Fact",1,0)</f>
        <v>0</v>
      </c>
      <c r="U849" s="27">
        <f>IF(Control_Achizitii!$C849="",0,IF(ISNUMBER(Control_Achizitii!$B849),0,1))</f>
        <v>0</v>
      </c>
      <c r="V849" s="27">
        <f>IF(Control_Achizitii!$C849="",0,IF($Z$2&lt;&gt;"OK",0,IF(AND(ISNUMBER(Control_Achizitii!$B849),Control_Achizitii!$B849&gt;=$E$5,Control_Achizitii!$B849&lt;$J$5+1,OR($O$5="Toate proiectele",Control_Achizitii!$Q849=$O$5)),1,0)))</f>
        <v>0</v>
      </c>
      <c r="W849" s="27">
        <f>IF(AND(V849=1,OR(Control_Achizitii!$J849&lt;&gt;"DOSAR COMPLET",Control_Achizitii!$K849&lt;&gt;"")),ROW(),1000000000)</f>
        <v>1000000000</v>
      </c>
      <c r="X849" s="27">
        <f>IF(AND(V849=1,LEFT(Control_Achizitii!$E849,4)="Fact",NOT(ISNUMBER(Control_Achizitii!$P849))),1,0)</f>
        <v>0</v>
      </c>
      <c r="Y849" s="27">
        <f>IF(V849=0,0,IF(Control_Achizitii!$J849="DOSAR COMPLET",1,IF(LEFT(Control_Achizitii!$J849,9)="INCOMPLET",2,3)))</f>
        <v>0</v>
      </c>
      <c r="Z849" s="27"/>
      <c r="AA849" s="27"/>
      <c r="AB849" s="27"/>
      <c r="AC849" s="27"/>
      <c r="AD849" s="27"/>
      <c r="AE849" s="27"/>
      <c r="AF849" s="27"/>
      <c r="AG849" s="27"/>
      <c r="AH849" s="27">
        <f>IF(AND(V849=1,Control_Achizitii!$J849="DOSAR COMPLET",Control_Achizitii!$K849&lt;&gt;""),1,0)</f>
        <v>0</v>
      </c>
    </row>
    <row r="850" spans="1:34">
      <c r="A850" s="27"/>
      <c r="B850" s="27"/>
      <c r="C850" s="27"/>
      <c r="D850" s="27"/>
      <c r="E850" s="27"/>
      <c r="F850" s="27"/>
      <c r="G850" s="27"/>
      <c r="H850" s="27"/>
      <c r="I850" s="27"/>
      <c r="J850" s="27"/>
      <c r="K850" s="27"/>
      <c r="L850" s="27"/>
      <c r="M850" s="27"/>
      <c r="N850" s="27"/>
      <c r="O850" s="27"/>
      <c r="P850" s="27"/>
      <c r="Q850" s="27"/>
      <c r="R850" s="27"/>
      <c r="S850" s="27"/>
      <c r="T850" s="27">
        <f>IF(LEFT(Control_Achizitii!$E850,4)="Fact",1,0)</f>
        <v>0</v>
      </c>
      <c r="U850" s="27">
        <f>IF(Control_Achizitii!$C850="",0,IF(ISNUMBER(Control_Achizitii!$B850),0,1))</f>
        <v>0</v>
      </c>
      <c r="V850" s="27">
        <f>IF(Control_Achizitii!$C850="",0,IF($Z$2&lt;&gt;"OK",0,IF(AND(ISNUMBER(Control_Achizitii!$B850),Control_Achizitii!$B850&gt;=$E$5,Control_Achizitii!$B850&lt;$J$5+1,OR($O$5="Toate proiectele",Control_Achizitii!$Q850=$O$5)),1,0)))</f>
        <v>0</v>
      </c>
      <c r="W850" s="27">
        <f>IF(AND(V850=1,OR(Control_Achizitii!$J850&lt;&gt;"DOSAR COMPLET",Control_Achizitii!$K850&lt;&gt;"")),ROW(),1000000000)</f>
        <v>1000000000</v>
      </c>
      <c r="X850" s="27">
        <f>IF(AND(V850=1,LEFT(Control_Achizitii!$E850,4)="Fact",NOT(ISNUMBER(Control_Achizitii!$P850))),1,0)</f>
        <v>0</v>
      </c>
      <c r="Y850" s="27">
        <f>IF(V850=0,0,IF(Control_Achizitii!$J850="DOSAR COMPLET",1,IF(LEFT(Control_Achizitii!$J850,9)="INCOMPLET",2,3)))</f>
        <v>0</v>
      </c>
      <c r="Z850" s="27"/>
      <c r="AA850" s="27"/>
      <c r="AB850" s="27"/>
      <c r="AC850" s="27"/>
      <c r="AD850" s="27"/>
      <c r="AE850" s="27"/>
      <c r="AF850" s="27"/>
      <c r="AG850" s="27"/>
      <c r="AH850" s="27">
        <f>IF(AND(V850=1,Control_Achizitii!$J850="DOSAR COMPLET",Control_Achizitii!$K850&lt;&gt;""),1,0)</f>
        <v>0</v>
      </c>
    </row>
    <row r="851" spans="1:34">
      <c r="A851" s="27"/>
      <c r="B851" s="27"/>
      <c r="C851" s="27"/>
      <c r="D851" s="27"/>
      <c r="E851" s="27"/>
      <c r="F851" s="27"/>
      <c r="G851" s="27"/>
      <c r="H851" s="27"/>
      <c r="I851" s="27"/>
      <c r="J851" s="27"/>
      <c r="K851" s="27"/>
      <c r="L851" s="27"/>
      <c r="M851" s="27"/>
      <c r="N851" s="27"/>
      <c r="O851" s="27"/>
      <c r="P851" s="27"/>
      <c r="Q851" s="27"/>
      <c r="R851" s="27"/>
      <c r="S851" s="27"/>
      <c r="T851" s="27">
        <f>IF(LEFT(Control_Achizitii!$E851,4)="Fact",1,0)</f>
        <v>0</v>
      </c>
      <c r="U851" s="27">
        <f>IF(Control_Achizitii!$C851="",0,IF(ISNUMBER(Control_Achizitii!$B851),0,1))</f>
        <v>0</v>
      </c>
      <c r="V851" s="27">
        <f>IF(Control_Achizitii!$C851="",0,IF($Z$2&lt;&gt;"OK",0,IF(AND(ISNUMBER(Control_Achizitii!$B851),Control_Achizitii!$B851&gt;=$E$5,Control_Achizitii!$B851&lt;$J$5+1,OR($O$5="Toate proiectele",Control_Achizitii!$Q851=$O$5)),1,0)))</f>
        <v>0</v>
      </c>
      <c r="W851" s="27">
        <f>IF(AND(V851=1,OR(Control_Achizitii!$J851&lt;&gt;"DOSAR COMPLET",Control_Achizitii!$K851&lt;&gt;"")),ROW(),1000000000)</f>
        <v>1000000000</v>
      </c>
      <c r="X851" s="27">
        <f>IF(AND(V851=1,LEFT(Control_Achizitii!$E851,4)="Fact",NOT(ISNUMBER(Control_Achizitii!$P851))),1,0)</f>
        <v>0</v>
      </c>
      <c r="Y851" s="27">
        <f>IF(V851=0,0,IF(Control_Achizitii!$J851="DOSAR COMPLET",1,IF(LEFT(Control_Achizitii!$J851,9)="INCOMPLET",2,3)))</f>
        <v>0</v>
      </c>
      <c r="Z851" s="27"/>
      <c r="AA851" s="27"/>
      <c r="AB851" s="27"/>
      <c r="AC851" s="27"/>
      <c r="AD851" s="27"/>
      <c r="AE851" s="27"/>
      <c r="AF851" s="27"/>
      <c r="AG851" s="27"/>
      <c r="AH851" s="27">
        <f>IF(AND(V851=1,Control_Achizitii!$J851="DOSAR COMPLET",Control_Achizitii!$K851&lt;&gt;""),1,0)</f>
        <v>0</v>
      </c>
    </row>
    <row r="852" spans="1:34">
      <c r="A852" s="27"/>
      <c r="B852" s="27"/>
      <c r="C852" s="27"/>
      <c r="D852" s="27"/>
      <c r="E852" s="27"/>
      <c r="F852" s="27"/>
      <c r="G852" s="27"/>
      <c r="H852" s="27"/>
      <c r="I852" s="27"/>
      <c r="J852" s="27"/>
      <c r="K852" s="27"/>
      <c r="L852" s="27"/>
      <c r="M852" s="27"/>
      <c r="N852" s="27"/>
      <c r="O852" s="27"/>
      <c r="P852" s="27"/>
      <c r="Q852" s="27"/>
      <c r="R852" s="27"/>
      <c r="S852" s="27"/>
      <c r="T852" s="27">
        <f>IF(LEFT(Control_Achizitii!$E852,4)="Fact",1,0)</f>
        <v>0</v>
      </c>
      <c r="U852" s="27">
        <f>IF(Control_Achizitii!$C852="",0,IF(ISNUMBER(Control_Achizitii!$B852),0,1))</f>
        <v>0</v>
      </c>
      <c r="V852" s="27">
        <f>IF(Control_Achizitii!$C852="",0,IF($Z$2&lt;&gt;"OK",0,IF(AND(ISNUMBER(Control_Achizitii!$B852),Control_Achizitii!$B852&gt;=$E$5,Control_Achizitii!$B852&lt;$J$5+1,OR($O$5="Toate proiectele",Control_Achizitii!$Q852=$O$5)),1,0)))</f>
        <v>0</v>
      </c>
      <c r="W852" s="27">
        <f>IF(AND(V852=1,OR(Control_Achizitii!$J852&lt;&gt;"DOSAR COMPLET",Control_Achizitii!$K852&lt;&gt;"")),ROW(),1000000000)</f>
        <v>1000000000</v>
      </c>
      <c r="X852" s="27">
        <f>IF(AND(V852=1,LEFT(Control_Achizitii!$E852,4)="Fact",NOT(ISNUMBER(Control_Achizitii!$P852))),1,0)</f>
        <v>0</v>
      </c>
      <c r="Y852" s="27">
        <f>IF(V852=0,0,IF(Control_Achizitii!$J852="DOSAR COMPLET",1,IF(LEFT(Control_Achizitii!$J852,9)="INCOMPLET",2,3)))</f>
        <v>0</v>
      </c>
      <c r="Z852" s="27"/>
      <c r="AA852" s="27"/>
      <c r="AB852" s="27"/>
      <c r="AC852" s="27"/>
      <c r="AD852" s="27"/>
      <c r="AE852" s="27"/>
      <c r="AF852" s="27"/>
      <c r="AG852" s="27"/>
      <c r="AH852" s="27">
        <f>IF(AND(V852=1,Control_Achizitii!$J852="DOSAR COMPLET",Control_Achizitii!$K852&lt;&gt;""),1,0)</f>
        <v>0</v>
      </c>
    </row>
    <row r="853" spans="1:34">
      <c r="A853" s="27"/>
      <c r="B853" s="27"/>
      <c r="C853" s="27"/>
      <c r="D853" s="27"/>
      <c r="E853" s="27"/>
      <c r="F853" s="27"/>
      <c r="G853" s="27"/>
      <c r="H853" s="27"/>
      <c r="I853" s="27"/>
      <c r="J853" s="27"/>
      <c r="K853" s="27"/>
      <c r="L853" s="27"/>
      <c r="M853" s="27"/>
      <c r="N853" s="27"/>
      <c r="O853" s="27"/>
      <c r="P853" s="27"/>
      <c r="Q853" s="27"/>
      <c r="R853" s="27"/>
      <c r="S853" s="27"/>
      <c r="T853" s="27">
        <f>IF(LEFT(Control_Achizitii!$E853,4)="Fact",1,0)</f>
        <v>0</v>
      </c>
      <c r="U853" s="27">
        <f>IF(Control_Achizitii!$C853="",0,IF(ISNUMBER(Control_Achizitii!$B853),0,1))</f>
        <v>0</v>
      </c>
      <c r="V853" s="27">
        <f>IF(Control_Achizitii!$C853="",0,IF($Z$2&lt;&gt;"OK",0,IF(AND(ISNUMBER(Control_Achizitii!$B853),Control_Achizitii!$B853&gt;=$E$5,Control_Achizitii!$B853&lt;$J$5+1,OR($O$5="Toate proiectele",Control_Achizitii!$Q853=$O$5)),1,0)))</f>
        <v>0</v>
      </c>
      <c r="W853" s="27">
        <f>IF(AND(V853=1,OR(Control_Achizitii!$J853&lt;&gt;"DOSAR COMPLET",Control_Achizitii!$K853&lt;&gt;"")),ROW(),1000000000)</f>
        <v>1000000000</v>
      </c>
      <c r="X853" s="27">
        <f>IF(AND(V853=1,LEFT(Control_Achizitii!$E853,4)="Fact",NOT(ISNUMBER(Control_Achizitii!$P853))),1,0)</f>
        <v>0</v>
      </c>
      <c r="Y853" s="27">
        <f>IF(V853=0,0,IF(Control_Achizitii!$J853="DOSAR COMPLET",1,IF(LEFT(Control_Achizitii!$J853,9)="INCOMPLET",2,3)))</f>
        <v>0</v>
      </c>
      <c r="Z853" s="27"/>
      <c r="AA853" s="27"/>
      <c r="AB853" s="27"/>
      <c r="AC853" s="27"/>
      <c r="AD853" s="27"/>
      <c r="AE853" s="27"/>
      <c r="AF853" s="27"/>
      <c r="AG853" s="27"/>
      <c r="AH853" s="27">
        <f>IF(AND(V853=1,Control_Achizitii!$J853="DOSAR COMPLET",Control_Achizitii!$K853&lt;&gt;""),1,0)</f>
        <v>0</v>
      </c>
    </row>
    <row r="854" spans="1:34">
      <c r="A854" s="27"/>
      <c r="B854" s="27"/>
      <c r="C854" s="27"/>
      <c r="D854" s="27"/>
      <c r="E854" s="27"/>
      <c r="F854" s="27"/>
      <c r="G854" s="27"/>
      <c r="H854" s="27"/>
      <c r="I854" s="27"/>
      <c r="J854" s="27"/>
      <c r="K854" s="27"/>
      <c r="L854" s="27"/>
      <c r="M854" s="27"/>
      <c r="N854" s="27"/>
      <c r="O854" s="27"/>
      <c r="P854" s="27"/>
      <c r="Q854" s="27"/>
      <c r="R854" s="27"/>
      <c r="S854" s="27"/>
      <c r="T854" s="27">
        <f>IF(LEFT(Control_Achizitii!$E854,4)="Fact",1,0)</f>
        <v>0</v>
      </c>
      <c r="U854" s="27">
        <f>IF(Control_Achizitii!$C854="",0,IF(ISNUMBER(Control_Achizitii!$B854),0,1))</f>
        <v>0</v>
      </c>
      <c r="V854" s="27">
        <f>IF(Control_Achizitii!$C854="",0,IF($Z$2&lt;&gt;"OK",0,IF(AND(ISNUMBER(Control_Achizitii!$B854),Control_Achizitii!$B854&gt;=$E$5,Control_Achizitii!$B854&lt;$J$5+1,OR($O$5="Toate proiectele",Control_Achizitii!$Q854=$O$5)),1,0)))</f>
        <v>0</v>
      </c>
      <c r="W854" s="27">
        <f>IF(AND(V854=1,OR(Control_Achizitii!$J854&lt;&gt;"DOSAR COMPLET",Control_Achizitii!$K854&lt;&gt;"")),ROW(),1000000000)</f>
        <v>1000000000</v>
      </c>
      <c r="X854" s="27">
        <f>IF(AND(V854=1,LEFT(Control_Achizitii!$E854,4)="Fact",NOT(ISNUMBER(Control_Achizitii!$P854))),1,0)</f>
        <v>0</v>
      </c>
      <c r="Y854" s="27">
        <f>IF(V854=0,0,IF(Control_Achizitii!$J854="DOSAR COMPLET",1,IF(LEFT(Control_Achizitii!$J854,9)="INCOMPLET",2,3)))</f>
        <v>0</v>
      </c>
      <c r="Z854" s="27"/>
      <c r="AA854" s="27"/>
      <c r="AB854" s="27"/>
      <c r="AC854" s="27"/>
      <c r="AD854" s="27"/>
      <c r="AE854" s="27"/>
      <c r="AF854" s="27"/>
      <c r="AG854" s="27"/>
      <c r="AH854" s="27">
        <f>IF(AND(V854=1,Control_Achizitii!$J854="DOSAR COMPLET",Control_Achizitii!$K854&lt;&gt;""),1,0)</f>
        <v>0</v>
      </c>
    </row>
    <row r="855" spans="1:34">
      <c r="A855" s="27"/>
      <c r="B855" s="27"/>
      <c r="C855" s="27"/>
      <c r="D855" s="27"/>
      <c r="E855" s="27"/>
      <c r="F855" s="27"/>
      <c r="G855" s="27"/>
      <c r="H855" s="27"/>
      <c r="I855" s="27"/>
      <c r="J855" s="27"/>
      <c r="K855" s="27"/>
      <c r="L855" s="27"/>
      <c r="M855" s="27"/>
      <c r="N855" s="27"/>
      <c r="O855" s="27"/>
      <c r="P855" s="27"/>
      <c r="Q855" s="27"/>
      <c r="R855" s="27"/>
      <c r="S855" s="27"/>
      <c r="T855" s="27">
        <f>IF(LEFT(Control_Achizitii!$E855,4)="Fact",1,0)</f>
        <v>0</v>
      </c>
      <c r="U855" s="27">
        <f>IF(Control_Achizitii!$C855="",0,IF(ISNUMBER(Control_Achizitii!$B855),0,1))</f>
        <v>0</v>
      </c>
      <c r="V855" s="27">
        <f>IF(Control_Achizitii!$C855="",0,IF($Z$2&lt;&gt;"OK",0,IF(AND(ISNUMBER(Control_Achizitii!$B855),Control_Achizitii!$B855&gt;=$E$5,Control_Achizitii!$B855&lt;$J$5+1,OR($O$5="Toate proiectele",Control_Achizitii!$Q855=$O$5)),1,0)))</f>
        <v>0</v>
      </c>
      <c r="W855" s="27">
        <f>IF(AND(V855=1,OR(Control_Achizitii!$J855&lt;&gt;"DOSAR COMPLET",Control_Achizitii!$K855&lt;&gt;"")),ROW(),1000000000)</f>
        <v>1000000000</v>
      </c>
      <c r="X855" s="27">
        <f>IF(AND(V855=1,LEFT(Control_Achizitii!$E855,4)="Fact",NOT(ISNUMBER(Control_Achizitii!$P855))),1,0)</f>
        <v>0</v>
      </c>
      <c r="Y855" s="27">
        <f>IF(V855=0,0,IF(Control_Achizitii!$J855="DOSAR COMPLET",1,IF(LEFT(Control_Achizitii!$J855,9)="INCOMPLET",2,3)))</f>
        <v>0</v>
      </c>
      <c r="Z855" s="27"/>
      <c r="AA855" s="27"/>
      <c r="AB855" s="27"/>
      <c r="AC855" s="27"/>
      <c r="AD855" s="27"/>
      <c r="AE855" s="27"/>
      <c r="AF855" s="27"/>
      <c r="AG855" s="27"/>
      <c r="AH855" s="27">
        <f>IF(AND(V855=1,Control_Achizitii!$J855="DOSAR COMPLET",Control_Achizitii!$K855&lt;&gt;""),1,0)</f>
        <v>0</v>
      </c>
    </row>
    <row r="856" spans="1:34">
      <c r="A856" s="27"/>
      <c r="B856" s="27"/>
      <c r="C856" s="27"/>
      <c r="D856" s="27"/>
      <c r="E856" s="27"/>
      <c r="F856" s="27"/>
      <c r="G856" s="27"/>
      <c r="H856" s="27"/>
      <c r="I856" s="27"/>
      <c r="J856" s="27"/>
      <c r="K856" s="27"/>
      <c r="L856" s="27"/>
      <c r="M856" s="27"/>
      <c r="N856" s="27"/>
      <c r="O856" s="27"/>
      <c r="P856" s="27"/>
      <c r="Q856" s="27"/>
      <c r="R856" s="27"/>
      <c r="S856" s="27"/>
      <c r="T856" s="27">
        <f>IF(LEFT(Control_Achizitii!$E856,4)="Fact",1,0)</f>
        <v>0</v>
      </c>
      <c r="U856" s="27">
        <f>IF(Control_Achizitii!$C856="",0,IF(ISNUMBER(Control_Achizitii!$B856),0,1))</f>
        <v>0</v>
      </c>
      <c r="V856" s="27">
        <f>IF(Control_Achizitii!$C856="",0,IF($Z$2&lt;&gt;"OK",0,IF(AND(ISNUMBER(Control_Achizitii!$B856),Control_Achizitii!$B856&gt;=$E$5,Control_Achizitii!$B856&lt;$J$5+1,OR($O$5="Toate proiectele",Control_Achizitii!$Q856=$O$5)),1,0)))</f>
        <v>0</v>
      </c>
      <c r="W856" s="27">
        <f>IF(AND(V856=1,OR(Control_Achizitii!$J856&lt;&gt;"DOSAR COMPLET",Control_Achizitii!$K856&lt;&gt;"")),ROW(),1000000000)</f>
        <v>1000000000</v>
      </c>
      <c r="X856" s="27">
        <f>IF(AND(V856=1,LEFT(Control_Achizitii!$E856,4)="Fact",NOT(ISNUMBER(Control_Achizitii!$P856))),1,0)</f>
        <v>0</v>
      </c>
      <c r="Y856" s="27">
        <f>IF(V856=0,0,IF(Control_Achizitii!$J856="DOSAR COMPLET",1,IF(LEFT(Control_Achizitii!$J856,9)="INCOMPLET",2,3)))</f>
        <v>0</v>
      </c>
      <c r="Z856" s="27"/>
      <c r="AA856" s="27"/>
      <c r="AB856" s="27"/>
      <c r="AC856" s="27"/>
      <c r="AD856" s="27"/>
      <c r="AE856" s="27"/>
      <c r="AF856" s="27"/>
      <c r="AG856" s="27"/>
      <c r="AH856" s="27">
        <f>IF(AND(V856=1,Control_Achizitii!$J856="DOSAR COMPLET",Control_Achizitii!$K856&lt;&gt;""),1,0)</f>
        <v>0</v>
      </c>
    </row>
    <row r="857" spans="1:34">
      <c r="A857" s="27"/>
      <c r="B857" s="27"/>
      <c r="C857" s="27"/>
      <c r="D857" s="27"/>
      <c r="E857" s="27"/>
      <c r="F857" s="27"/>
      <c r="G857" s="27"/>
      <c r="H857" s="27"/>
      <c r="I857" s="27"/>
      <c r="J857" s="27"/>
      <c r="K857" s="27"/>
      <c r="L857" s="27"/>
      <c r="M857" s="27"/>
      <c r="N857" s="27"/>
      <c r="O857" s="27"/>
      <c r="P857" s="27"/>
      <c r="Q857" s="27"/>
      <c r="R857" s="27"/>
      <c r="S857" s="27"/>
      <c r="T857" s="27">
        <f>IF(LEFT(Control_Achizitii!$E857,4)="Fact",1,0)</f>
        <v>0</v>
      </c>
      <c r="U857" s="27">
        <f>IF(Control_Achizitii!$C857="",0,IF(ISNUMBER(Control_Achizitii!$B857),0,1))</f>
        <v>0</v>
      </c>
      <c r="V857" s="27">
        <f>IF(Control_Achizitii!$C857="",0,IF($Z$2&lt;&gt;"OK",0,IF(AND(ISNUMBER(Control_Achizitii!$B857),Control_Achizitii!$B857&gt;=$E$5,Control_Achizitii!$B857&lt;$J$5+1,OR($O$5="Toate proiectele",Control_Achizitii!$Q857=$O$5)),1,0)))</f>
        <v>0</v>
      </c>
      <c r="W857" s="27">
        <f>IF(AND(V857=1,OR(Control_Achizitii!$J857&lt;&gt;"DOSAR COMPLET",Control_Achizitii!$K857&lt;&gt;"")),ROW(),1000000000)</f>
        <v>1000000000</v>
      </c>
      <c r="X857" s="27">
        <f>IF(AND(V857=1,LEFT(Control_Achizitii!$E857,4)="Fact",NOT(ISNUMBER(Control_Achizitii!$P857))),1,0)</f>
        <v>0</v>
      </c>
      <c r="Y857" s="27">
        <f>IF(V857=0,0,IF(Control_Achizitii!$J857="DOSAR COMPLET",1,IF(LEFT(Control_Achizitii!$J857,9)="INCOMPLET",2,3)))</f>
        <v>0</v>
      </c>
      <c r="Z857" s="27"/>
      <c r="AA857" s="27"/>
      <c r="AB857" s="27"/>
      <c r="AC857" s="27"/>
      <c r="AD857" s="27"/>
      <c r="AE857" s="27"/>
      <c r="AF857" s="27"/>
      <c r="AG857" s="27"/>
      <c r="AH857" s="27">
        <f>IF(AND(V857=1,Control_Achizitii!$J857="DOSAR COMPLET",Control_Achizitii!$K857&lt;&gt;""),1,0)</f>
        <v>0</v>
      </c>
    </row>
    <row r="858" spans="1:34">
      <c r="A858" s="27"/>
      <c r="B858" s="27"/>
      <c r="C858" s="27"/>
      <c r="D858" s="27"/>
      <c r="E858" s="27"/>
      <c r="F858" s="27"/>
      <c r="G858" s="27"/>
      <c r="H858" s="27"/>
      <c r="I858" s="27"/>
      <c r="J858" s="27"/>
      <c r="K858" s="27"/>
      <c r="L858" s="27"/>
      <c r="M858" s="27"/>
      <c r="N858" s="27"/>
      <c r="O858" s="27"/>
      <c r="P858" s="27"/>
      <c r="Q858" s="27"/>
      <c r="R858" s="27"/>
      <c r="S858" s="27"/>
      <c r="T858" s="27">
        <f>IF(LEFT(Control_Achizitii!$E858,4)="Fact",1,0)</f>
        <v>0</v>
      </c>
      <c r="U858" s="27">
        <f>IF(Control_Achizitii!$C858="",0,IF(ISNUMBER(Control_Achizitii!$B858),0,1))</f>
        <v>0</v>
      </c>
      <c r="V858" s="27">
        <f>IF(Control_Achizitii!$C858="",0,IF($Z$2&lt;&gt;"OK",0,IF(AND(ISNUMBER(Control_Achizitii!$B858),Control_Achizitii!$B858&gt;=$E$5,Control_Achizitii!$B858&lt;$J$5+1,OR($O$5="Toate proiectele",Control_Achizitii!$Q858=$O$5)),1,0)))</f>
        <v>0</v>
      </c>
      <c r="W858" s="27">
        <f>IF(AND(V858=1,OR(Control_Achizitii!$J858&lt;&gt;"DOSAR COMPLET",Control_Achizitii!$K858&lt;&gt;"")),ROW(),1000000000)</f>
        <v>1000000000</v>
      </c>
      <c r="X858" s="27">
        <f>IF(AND(V858=1,LEFT(Control_Achizitii!$E858,4)="Fact",NOT(ISNUMBER(Control_Achizitii!$P858))),1,0)</f>
        <v>0</v>
      </c>
      <c r="Y858" s="27">
        <f>IF(V858=0,0,IF(Control_Achizitii!$J858="DOSAR COMPLET",1,IF(LEFT(Control_Achizitii!$J858,9)="INCOMPLET",2,3)))</f>
        <v>0</v>
      </c>
      <c r="Z858" s="27"/>
      <c r="AA858" s="27"/>
      <c r="AB858" s="27"/>
      <c r="AC858" s="27"/>
      <c r="AD858" s="27"/>
      <c r="AE858" s="27"/>
      <c r="AF858" s="27"/>
      <c r="AG858" s="27"/>
      <c r="AH858" s="27">
        <f>IF(AND(V858=1,Control_Achizitii!$J858="DOSAR COMPLET",Control_Achizitii!$K858&lt;&gt;""),1,0)</f>
        <v>0</v>
      </c>
    </row>
    <row r="859" spans="1:34">
      <c r="A859" s="27"/>
      <c r="B859" s="27"/>
      <c r="C859" s="27"/>
      <c r="D859" s="27"/>
      <c r="E859" s="27"/>
      <c r="F859" s="27"/>
      <c r="G859" s="27"/>
      <c r="H859" s="27"/>
      <c r="I859" s="27"/>
      <c r="J859" s="27"/>
      <c r="K859" s="27"/>
      <c r="L859" s="27"/>
      <c r="M859" s="27"/>
      <c r="N859" s="27"/>
      <c r="O859" s="27"/>
      <c r="P859" s="27"/>
      <c r="Q859" s="27"/>
      <c r="R859" s="27"/>
      <c r="S859" s="27"/>
      <c r="T859" s="27">
        <f>IF(LEFT(Control_Achizitii!$E859,4)="Fact",1,0)</f>
        <v>0</v>
      </c>
      <c r="U859" s="27">
        <f>IF(Control_Achizitii!$C859="",0,IF(ISNUMBER(Control_Achizitii!$B859),0,1))</f>
        <v>0</v>
      </c>
      <c r="V859" s="27">
        <f>IF(Control_Achizitii!$C859="",0,IF($Z$2&lt;&gt;"OK",0,IF(AND(ISNUMBER(Control_Achizitii!$B859),Control_Achizitii!$B859&gt;=$E$5,Control_Achizitii!$B859&lt;$J$5+1,OR($O$5="Toate proiectele",Control_Achizitii!$Q859=$O$5)),1,0)))</f>
        <v>0</v>
      </c>
      <c r="W859" s="27">
        <f>IF(AND(V859=1,OR(Control_Achizitii!$J859&lt;&gt;"DOSAR COMPLET",Control_Achizitii!$K859&lt;&gt;"")),ROW(),1000000000)</f>
        <v>1000000000</v>
      </c>
      <c r="X859" s="27">
        <f>IF(AND(V859=1,LEFT(Control_Achizitii!$E859,4)="Fact",NOT(ISNUMBER(Control_Achizitii!$P859))),1,0)</f>
        <v>0</v>
      </c>
      <c r="Y859" s="27">
        <f>IF(V859=0,0,IF(Control_Achizitii!$J859="DOSAR COMPLET",1,IF(LEFT(Control_Achizitii!$J859,9)="INCOMPLET",2,3)))</f>
        <v>0</v>
      </c>
      <c r="Z859" s="27"/>
      <c r="AA859" s="27"/>
      <c r="AB859" s="27"/>
      <c r="AC859" s="27"/>
      <c r="AD859" s="27"/>
      <c r="AE859" s="27"/>
      <c r="AF859" s="27"/>
      <c r="AG859" s="27"/>
      <c r="AH859" s="27">
        <f>IF(AND(V859=1,Control_Achizitii!$J859="DOSAR COMPLET",Control_Achizitii!$K859&lt;&gt;""),1,0)</f>
        <v>0</v>
      </c>
    </row>
    <row r="860" spans="1:34">
      <c r="A860" s="27"/>
      <c r="B860" s="27"/>
      <c r="C860" s="27"/>
      <c r="D860" s="27"/>
      <c r="E860" s="27"/>
      <c r="F860" s="27"/>
      <c r="G860" s="27"/>
      <c r="H860" s="27"/>
      <c r="I860" s="27"/>
      <c r="J860" s="27"/>
      <c r="K860" s="27"/>
      <c r="L860" s="27"/>
      <c r="M860" s="27"/>
      <c r="N860" s="27"/>
      <c r="O860" s="27"/>
      <c r="P860" s="27"/>
      <c r="Q860" s="27"/>
      <c r="R860" s="27"/>
      <c r="S860" s="27"/>
      <c r="T860" s="27">
        <f>IF(LEFT(Control_Achizitii!$E860,4)="Fact",1,0)</f>
        <v>0</v>
      </c>
      <c r="U860" s="27">
        <f>IF(Control_Achizitii!$C860="",0,IF(ISNUMBER(Control_Achizitii!$B860),0,1))</f>
        <v>0</v>
      </c>
      <c r="V860" s="27">
        <f>IF(Control_Achizitii!$C860="",0,IF($Z$2&lt;&gt;"OK",0,IF(AND(ISNUMBER(Control_Achizitii!$B860),Control_Achizitii!$B860&gt;=$E$5,Control_Achizitii!$B860&lt;$J$5+1,OR($O$5="Toate proiectele",Control_Achizitii!$Q860=$O$5)),1,0)))</f>
        <v>0</v>
      </c>
      <c r="W860" s="27">
        <f>IF(AND(V860=1,OR(Control_Achizitii!$J860&lt;&gt;"DOSAR COMPLET",Control_Achizitii!$K860&lt;&gt;"")),ROW(),1000000000)</f>
        <v>1000000000</v>
      </c>
      <c r="X860" s="27">
        <f>IF(AND(V860=1,LEFT(Control_Achizitii!$E860,4)="Fact",NOT(ISNUMBER(Control_Achizitii!$P860))),1,0)</f>
        <v>0</v>
      </c>
      <c r="Y860" s="27">
        <f>IF(V860=0,0,IF(Control_Achizitii!$J860="DOSAR COMPLET",1,IF(LEFT(Control_Achizitii!$J860,9)="INCOMPLET",2,3)))</f>
        <v>0</v>
      </c>
      <c r="Z860" s="27"/>
      <c r="AA860" s="27"/>
      <c r="AB860" s="27"/>
      <c r="AC860" s="27"/>
      <c r="AD860" s="27"/>
      <c r="AE860" s="27"/>
      <c r="AF860" s="27"/>
      <c r="AG860" s="27"/>
      <c r="AH860" s="27">
        <f>IF(AND(V860=1,Control_Achizitii!$J860="DOSAR COMPLET",Control_Achizitii!$K860&lt;&gt;""),1,0)</f>
        <v>0</v>
      </c>
    </row>
    <row r="861" spans="1:34">
      <c r="A861" s="27"/>
      <c r="B861" s="27"/>
      <c r="C861" s="27"/>
      <c r="D861" s="27"/>
      <c r="E861" s="27"/>
      <c r="F861" s="27"/>
      <c r="G861" s="27"/>
      <c r="H861" s="27"/>
      <c r="I861" s="27"/>
      <c r="J861" s="27"/>
      <c r="K861" s="27"/>
      <c r="L861" s="27"/>
      <c r="M861" s="27"/>
      <c r="N861" s="27"/>
      <c r="O861" s="27"/>
      <c r="P861" s="27"/>
      <c r="Q861" s="27"/>
      <c r="R861" s="27"/>
      <c r="S861" s="27"/>
      <c r="T861" s="27">
        <f>IF(LEFT(Control_Achizitii!$E861,4)="Fact",1,0)</f>
        <v>0</v>
      </c>
      <c r="U861" s="27">
        <f>IF(Control_Achizitii!$C861="",0,IF(ISNUMBER(Control_Achizitii!$B861),0,1))</f>
        <v>0</v>
      </c>
      <c r="V861" s="27">
        <f>IF(Control_Achizitii!$C861="",0,IF($Z$2&lt;&gt;"OK",0,IF(AND(ISNUMBER(Control_Achizitii!$B861),Control_Achizitii!$B861&gt;=$E$5,Control_Achizitii!$B861&lt;$J$5+1,OR($O$5="Toate proiectele",Control_Achizitii!$Q861=$O$5)),1,0)))</f>
        <v>0</v>
      </c>
      <c r="W861" s="27">
        <f>IF(AND(V861=1,OR(Control_Achizitii!$J861&lt;&gt;"DOSAR COMPLET",Control_Achizitii!$K861&lt;&gt;"")),ROW(),1000000000)</f>
        <v>1000000000</v>
      </c>
      <c r="X861" s="27">
        <f>IF(AND(V861=1,LEFT(Control_Achizitii!$E861,4)="Fact",NOT(ISNUMBER(Control_Achizitii!$P861))),1,0)</f>
        <v>0</v>
      </c>
      <c r="Y861" s="27">
        <f>IF(V861=0,0,IF(Control_Achizitii!$J861="DOSAR COMPLET",1,IF(LEFT(Control_Achizitii!$J861,9)="INCOMPLET",2,3)))</f>
        <v>0</v>
      </c>
      <c r="Z861" s="27"/>
      <c r="AA861" s="27"/>
      <c r="AB861" s="27"/>
      <c r="AC861" s="27"/>
      <c r="AD861" s="27"/>
      <c r="AE861" s="27"/>
      <c r="AF861" s="27"/>
      <c r="AG861" s="27"/>
      <c r="AH861" s="27">
        <f>IF(AND(V861=1,Control_Achizitii!$J861="DOSAR COMPLET",Control_Achizitii!$K861&lt;&gt;""),1,0)</f>
        <v>0</v>
      </c>
    </row>
    <row r="862" spans="1:34">
      <c r="A862" s="27"/>
      <c r="B862" s="27"/>
      <c r="C862" s="27"/>
      <c r="D862" s="27"/>
      <c r="E862" s="27"/>
      <c r="F862" s="27"/>
      <c r="G862" s="27"/>
      <c r="H862" s="27"/>
      <c r="I862" s="27"/>
      <c r="J862" s="27"/>
      <c r="K862" s="27"/>
      <c r="L862" s="27"/>
      <c r="M862" s="27"/>
      <c r="N862" s="27"/>
      <c r="O862" s="27"/>
      <c r="P862" s="27"/>
      <c r="Q862" s="27"/>
      <c r="R862" s="27"/>
      <c r="S862" s="27"/>
      <c r="T862" s="27">
        <f>IF(LEFT(Control_Achizitii!$E862,4)="Fact",1,0)</f>
        <v>0</v>
      </c>
      <c r="U862" s="27">
        <f>IF(Control_Achizitii!$C862="",0,IF(ISNUMBER(Control_Achizitii!$B862),0,1))</f>
        <v>0</v>
      </c>
      <c r="V862" s="27">
        <f>IF(Control_Achizitii!$C862="",0,IF($Z$2&lt;&gt;"OK",0,IF(AND(ISNUMBER(Control_Achizitii!$B862),Control_Achizitii!$B862&gt;=$E$5,Control_Achizitii!$B862&lt;$J$5+1,OR($O$5="Toate proiectele",Control_Achizitii!$Q862=$O$5)),1,0)))</f>
        <v>0</v>
      </c>
      <c r="W862" s="27">
        <f>IF(AND(V862=1,OR(Control_Achizitii!$J862&lt;&gt;"DOSAR COMPLET",Control_Achizitii!$K862&lt;&gt;"")),ROW(),1000000000)</f>
        <v>1000000000</v>
      </c>
      <c r="X862" s="27">
        <f>IF(AND(V862=1,LEFT(Control_Achizitii!$E862,4)="Fact",NOT(ISNUMBER(Control_Achizitii!$P862))),1,0)</f>
        <v>0</v>
      </c>
      <c r="Y862" s="27">
        <f>IF(V862=0,0,IF(Control_Achizitii!$J862="DOSAR COMPLET",1,IF(LEFT(Control_Achizitii!$J862,9)="INCOMPLET",2,3)))</f>
        <v>0</v>
      </c>
      <c r="Z862" s="27"/>
      <c r="AA862" s="27"/>
      <c r="AB862" s="27"/>
      <c r="AC862" s="27"/>
      <c r="AD862" s="27"/>
      <c r="AE862" s="27"/>
      <c r="AF862" s="27"/>
      <c r="AG862" s="27"/>
      <c r="AH862" s="27">
        <f>IF(AND(V862=1,Control_Achizitii!$J862="DOSAR COMPLET",Control_Achizitii!$K862&lt;&gt;""),1,0)</f>
        <v>0</v>
      </c>
    </row>
    <row r="863" spans="1:34">
      <c r="A863" s="27"/>
      <c r="B863" s="27"/>
      <c r="C863" s="27"/>
      <c r="D863" s="27"/>
      <c r="E863" s="27"/>
      <c r="F863" s="27"/>
      <c r="G863" s="27"/>
      <c r="H863" s="27"/>
      <c r="I863" s="27"/>
      <c r="J863" s="27"/>
      <c r="K863" s="27"/>
      <c r="L863" s="27"/>
      <c r="M863" s="27"/>
      <c r="N863" s="27"/>
      <c r="O863" s="27"/>
      <c r="P863" s="27"/>
      <c r="Q863" s="27"/>
      <c r="R863" s="27"/>
      <c r="S863" s="27"/>
      <c r="T863" s="27">
        <f>IF(LEFT(Control_Achizitii!$E863,4)="Fact",1,0)</f>
        <v>0</v>
      </c>
      <c r="U863" s="27">
        <f>IF(Control_Achizitii!$C863="",0,IF(ISNUMBER(Control_Achizitii!$B863),0,1))</f>
        <v>0</v>
      </c>
      <c r="V863" s="27">
        <f>IF(Control_Achizitii!$C863="",0,IF($Z$2&lt;&gt;"OK",0,IF(AND(ISNUMBER(Control_Achizitii!$B863),Control_Achizitii!$B863&gt;=$E$5,Control_Achizitii!$B863&lt;$J$5+1,OR($O$5="Toate proiectele",Control_Achizitii!$Q863=$O$5)),1,0)))</f>
        <v>0</v>
      </c>
      <c r="W863" s="27">
        <f>IF(AND(V863=1,OR(Control_Achizitii!$J863&lt;&gt;"DOSAR COMPLET",Control_Achizitii!$K863&lt;&gt;"")),ROW(),1000000000)</f>
        <v>1000000000</v>
      </c>
      <c r="X863" s="27">
        <f>IF(AND(V863=1,LEFT(Control_Achizitii!$E863,4)="Fact",NOT(ISNUMBER(Control_Achizitii!$P863))),1,0)</f>
        <v>0</v>
      </c>
      <c r="Y863" s="27">
        <f>IF(V863=0,0,IF(Control_Achizitii!$J863="DOSAR COMPLET",1,IF(LEFT(Control_Achizitii!$J863,9)="INCOMPLET",2,3)))</f>
        <v>0</v>
      </c>
      <c r="Z863" s="27"/>
      <c r="AA863" s="27"/>
      <c r="AB863" s="27"/>
      <c r="AC863" s="27"/>
      <c r="AD863" s="27"/>
      <c r="AE863" s="27"/>
      <c r="AF863" s="27"/>
      <c r="AG863" s="27"/>
      <c r="AH863" s="27">
        <f>IF(AND(V863=1,Control_Achizitii!$J863="DOSAR COMPLET",Control_Achizitii!$K863&lt;&gt;""),1,0)</f>
        <v>0</v>
      </c>
    </row>
    <row r="864" spans="1:34">
      <c r="A864" s="27"/>
      <c r="B864" s="27"/>
      <c r="C864" s="27"/>
      <c r="D864" s="27"/>
      <c r="E864" s="27"/>
      <c r="F864" s="27"/>
      <c r="G864" s="27"/>
      <c r="H864" s="27"/>
      <c r="I864" s="27"/>
      <c r="J864" s="27"/>
      <c r="K864" s="27"/>
      <c r="L864" s="27"/>
      <c r="M864" s="27"/>
      <c r="N864" s="27"/>
      <c r="O864" s="27"/>
      <c r="P864" s="27"/>
      <c r="Q864" s="27"/>
      <c r="R864" s="27"/>
      <c r="S864" s="27"/>
      <c r="T864" s="27">
        <f>IF(LEFT(Control_Achizitii!$E864,4)="Fact",1,0)</f>
        <v>0</v>
      </c>
      <c r="U864" s="27">
        <f>IF(Control_Achizitii!$C864="",0,IF(ISNUMBER(Control_Achizitii!$B864),0,1))</f>
        <v>0</v>
      </c>
      <c r="V864" s="27">
        <f>IF(Control_Achizitii!$C864="",0,IF($Z$2&lt;&gt;"OK",0,IF(AND(ISNUMBER(Control_Achizitii!$B864),Control_Achizitii!$B864&gt;=$E$5,Control_Achizitii!$B864&lt;$J$5+1,OR($O$5="Toate proiectele",Control_Achizitii!$Q864=$O$5)),1,0)))</f>
        <v>0</v>
      </c>
      <c r="W864" s="27">
        <f>IF(AND(V864=1,OR(Control_Achizitii!$J864&lt;&gt;"DOSAR COMPLET",Control_Achizitii!$K864&lt;&gt;"")),ROW(),1000000000)</f>
        <v>1000000000</v>
      </c>
      <c r="X864" s="27">
        <f>IF(AND(V864=1,LEFT(Control_Achizitii!$E864,4)="Fact",NOT(ISNUMBER(Control_Achizitii!$P864))),1,0)</f>
        <v>0</v>
      </c>
      <c r="Y864" s="27">
        <f>IF(V864=0,0,IF(Control_Achizitii!$J864="DOSAR COMPLET",1,IF(LEFT(Control_Achizitii!$J864,9)="INCOMPLET",2,3)))</f>
        <v>0</v>
      </c>
      <c r="Z864" s="27"/>
      <c r="AA864" s="27"/>
      <c r="AB864" s="27"/>
      <c r="AC864" s="27"/>
      <c r="AD864" s="27"/>
      <c r="AE864" s="27"/>
      <c r="AF864" s="27"/>
      <c r="AG864" s="27"/>
      <c r="AH864" s="27">
        <f>IF(AND(V864=1,Control_Achizitii!$J864="DOSAR COMPLET",Control_Achizitii!$K864&lt;&gt;""),1,0)</f>
        <v>0</v>
      </c>
    </row>
    <row r="865" spans="1:34">
      <c r="A865" s="27"/>
      <c r="B865" s="27"/>
      <c r="C865" s="27"/>
      <c r="D865" s="27"/>
      <c r="E865" s="27"/>
      <c r="F865" s="27"/>
      <c r="G865" s="27"/>
      <c r="H865" s="27"/>
      <c r="I865" s="27"/>
      <c r="J865" s="27"/>
      <c r="K865" s="27"/>
      <c r="L865" s="27"/>
      <c r="M865" s="27"/>
      <c r="N865" s="27"/>
      <c r="O865" s="27"/>
      <c r="P865" s="27"/>
      <c r="Q865" s="27"/>
      <c r="R865" s="27"/>
      <c r="S865" s="27"/>
      <c r="T865" s="27">
        <f>IF(LEFT(Control_Achizitii!$E865,4)="Fact",1,0)</f>
        <v>0</v>
      </c>
      <c r="U865" s="27">
        <f>IF(Control_Achizitii!$C865="",0,IF(ISNUMBER(Control_Achizitii!$B865),0,1))</f>
        <v>0</v>
      </c>
      <c r="V865" s="27">
        <f>IF(Control_Achizitii!$C865="",0,IF($Z$2&lt;&gt;"OK",0,IF(AND(ISNUMBER(Control_Achizitii!$B865),Control_Achizitii!$B865&gt;=$E$5,Control_Achizitii!$B865&lt;$J$5+1,OR($O$5="Toate proiectele",Control_Achizitii!$Q865=$O$5)),1,0)))</f>
        <v>0</v>
      </c>
      <c r="W865" s="27">
        <f>IF(AND(V865=1,OR(Control_Achizitii!$J865&lt;&gt;"DOSAR COMPLET",Control_Achizitii!$K865&lt;&gt;"")),ROW(),1000000000)</f>
        <v>1000000000</v>
      </c>
      <c r="X865" s="27">
        <f>IF(AND(V865=1,LEFT(Control_Achizitii!$E865,4)="Fact",NOT(ISNUMBER(Control_Achizitii!$P865))),1,0)</f>
        <v>0</v>
      </c>
      <c r="Y865" s="27">
        <f>IF(V865=0,0,IF(Control_Achizitii!$J865="DOSAR COMPLET",1,IF(LEFT(Control_Achizitii!$J865,9)="INCOMPLET",2,3)))</f>
        <v>0</v>
      </c>
      <c r="Z865" s="27"/>
      <c r="AA865" s="27"/>
      <c r="AB865" s="27"/>
      <c r="AC865" s="27"/>
      <c r="AD865" s="27"/>
      <c r="AE865" s="27"/>
      <c r="AF865" s="27"/>
      <c r="AG865" s="27"/>
      <c r="AH865" s="27">
        <f>IF(AND(V865=1,Control_Achizitii!$J865="DOSAR COMPLET",Control_Achizitii!$K865&lt;&gt;""),1,0)</f>
        <v>0</v>
      </c>
    </row>
    <row r="866" spans="1:34">
      <c r="A866" s="27"/>
      <c r="B866" s="27"/>
      <c r="C866" s="27"/>
      <c r="D866" s="27"/>
      <c r="E866" s="27"/>
      <c r="F866" s="27"/>
      <c r="G866" s="27"/>
      <c r="H866" s="27"/>
      <c r="I866" s="27"/>
      <c r="J866" s="27"/>
      <c r="K866" s="27"/>
      <c r="L866" s="27"/>
      <c r="M866" s="27"/>
      <c r="N866" s="27"/>
      <c r="O866" s="27"/>
      <c r="P866" s="27"/>
      <c r="Q866" s="27"/>
      <c r="R866" s="27"/>
      <c r="S866" s="27"/>
      <c r="T866" s="27">
        <f>IF(LEFT(Control_Achizitii!$E866,4)="Fact",1,0)</f>
        <v>0</v>
      </c>
      <c r="U866" s="27">
        <f>IF(Control_Achizitii!$C866="",0,IF(ISNUMBER(Control_Achizitii!$B866),0,1))</f>
        <v>0</v>
      </c>
      <c r="V866" s="27">
        <f>IF(Control_Achizitii!$C866="",0,IF($Z$2&lt;&gt;"OK",0,IF(AND(ISNUMBER(Control_Achizitii!$B866),Control_Achizitii!$B866&gt;=$E$5,Control_Achizitii!$B866&lt;$J$5+1,OR($O$5="Toate proiectele",Control_Achizitii!$Q866=$O$5)),1,0)))</f>
        <v>0</v>
      </c>
      <c r="W866" s="27">
        <f>IF(AND(V866=1,OR(Control_Achizitii!$J866&lt;&gt;"DOSAR COMPLET",Control_Achizitii!$K866&lt;&gt;"")),ROW(),1000000000)</f>
        <v>1000000000</v>
      </c>
      <c r="X866" s="27">
        <f>IF(AND(V866=1,LEFT(Control_Achizitii!$E866,4)="Fact",NOT(ISNUMBER(Control_Achizitii!$P866))),1,0)</f>
        <v>0</v>
      </c>
      <c r="Y866" s="27">
        <f>IF(V866=0,0,IF(Control_Achizitii!$J866="DOSAR COMPLET",1,IF(LEFT(Control_Achizitii!$J866,9)="INCOMPLET",2,3)))</f>
        <v>0</v>
      </c>
      <c r="Z866" s="27"/>
      <c r="AA866" s="27"/>
      <c r="AB866" s="27"/>
      <c r="AC866" s="27"/>
      <c r="AD866" s="27"/>
      <c r="AE866" s="27"/>
      <c r="AF866" s="27"/>
      <c r="AG866" s="27"/>
      <c r="AH866" s="27">
        <f>IF(AND(V866=1,Control_Achizitii!$J866="DOSAR COMPLET",Control_Achizitii!$K866&lt;&gt;""),1,0)</f>
        <v>0</v>
      </c>
    </row>
    <row r="867" spans="1:34">
      <c r="A867" s="27"/>
      <c r="B867" s="27"/>
      <c r="C867" s="27"/>
      <c r="D867" s="27"/>
      <c r="E867" s="27"/>
      <c r="F867" s="27"/>
      <c r="G867" s="27"/>
      <c r="H867" s="27"/>
      <c r="I867" s="27"/>
      <c r="J867" s="27"/>
      <c r="K867" s="27"/>
      <c r="L867" s="27"/>
      <c r="M867" s="27"/>
      <c r="N867" s="27"/>
      <c r="O867" s="27"/>
      <c r="P867" s="27"/>
      <c r="Q867" s="27"/>
      <c r="R867" s="27"/>
      <c r="S867" s="27"/>
      <c r="T867" s="27">
        <f>IF(LEFT(Control_Achizitii!$E867,4)="Fact",1,0)</f>
        <v>0</v>
      </c>
      <c r="U867" s="27">
        <f>IF(Control_Achizitii!$C867="",0,IF(ISNUMBER(Control_Achizitii!$B867),0,1))</f>
        <v>0</v>
      </c>
      <c r="V867" s="27">
        <f>IF(Control_Achizitii!$C867="",0,IF($Z$2&lt;&gt;"OK",0,IF(AND(ISNUMBER(Control_Achizitii!$B867),Control_Achizitii!$B867&gt;=$E$5,Control_Achizitii!$B867&lt;$J$5+1,OR($O$5="Toate proiectele",Control_Achizitii!$Q867=$O$5)),1,0)))</f>
        <v>0</v>
      </c>
      <c r="W867" s="27">
        <f>IF(AND(V867=1,OR(Control_Achizitii!$J867&lt;&gt;"DOSAR COMPLET",Control_Achizitii!$K867&lt;&gt;"")),ROW(),1000000000)</f>
        <v>1000000000</v>
      </c>
      <c r="X867" s="27">
        <f>IF(AND(V867=1,LEFT(Control_Achizitii!$E867,4)="Fact",NOT(ISNUMBER(Control_Achizitii!$P867))),1,0)</f>
        <v>0</v>
      </c>
      <c r="Y867" s="27">
        <f>IF(V867=0,0,IF(Control_Achizitii!$J867="DOSAR COMPLET",1,IF(LEFT(Control_Achizitii!$J867,9)="INCOMPLET",2,3)))</f>
        <v>0</v>
      </c>
      <c r="Z867" s="27"/>
      <c r="AA867" s="27"/>
      <c r="AB867" s="27"/>
      <c r="AC867" s="27"/>
      <c r="AD867" s="27"/>
      <c r="AE867" s="27"/>
      <c r="AF867" s="27"/>
      <c r="AG867" s="27"/>
      <c r="AH867" s="27">
        <f>IF(AND(V867=1,Control_Achizitii!$J867="DOSAR COMPLET",Control_Achizitii!$K867&lt;&gt;""),1,0)</f>
        <v>0</v>
      </c>
    </row>
    <row r="868" spans="1:34">
      <c r="A868" s="27"/>
      <c r="B868" s="27"/>
      <c r="C868" s="27"/>
      <c r="D868" s="27"/>
      <c r="E868" s="27"/>
      <c r="F868" s="27"/>
      <c r="G868" s="27"/>
      <c r="H868" s="27"/>
      <c r="I868" s="27"/>
      <c r="J868" s="27"/>
      <c r="K868" s="27"/>
      <c r="L868" s="27"/>
      <c r="M868" s="27"/>
      <c r="N868" s="27"/>
      <c r="O868" s="27"/>
      <c r="P868" s="27"/>
      <c r="Q868" s="27"/>
      <c r="R868" s="27"/>
      <c r="S868" s="27"/>
      <c r="T868" s="27">
        <f>IF(LEFT(Control_Achizitii!$E868,4)="Fact",1,0)</f>
        <v>0</v>
      </c>
      <c r="U868" s="27">
        <f>IF(Control_Achizitii!$C868="",0,IF(ISNUMBER(Control_Achizitii!$B868),0,1))</f>
        <v>0</v>
      </c>
      <c r="V868" s="27">
        <f>IF(Control_Achizitii!$C868="",0,IF($Z$2&lt;&gt;"OK",0,IF(AND(ISNUMBER(Control_Achizitii!$B868),Control_Achizitii!$B868&gt;=$E$5,Control_Achizitii!$B868&lt;$J$5+1,OR($O$5="Toate proiectele",Control_Achizitii!$Q868=$O$5)),1,0)))</f>
        <v>0</v>
      </c>
      <c r="W868" s="27">
        <f>IF(AND(V868=1,OR(Control_Achizitii!$J868&lt;&gt;"DOSAR COMPLET",Control_Achizitii!$K868&lt;&gt;"")),ROW(),1000000000)</f>
        <v>1000000000</v>
      </c>
      <c r="X868" s="27">
        <f>IF(AND(V868=1,LEFT(Control_Achizitii!$E868,4)="Fact",NOT(ISNUMBER(Control_Achizitii!$P868))),1,0)</f>
        <v>0</v>
      </c>
      <c r="Y868" s="27">
        <f>IF(V868=0,0,IF(Control_Achizitii!$J868="DOSAR COMPLET",1,IF(LEFT(Control_Achizitii!$J868,9)="INCOMPLET",2,3)))</f>
        <v>0</v>
      </c>
      <c r="Z868" s="27"/>
      <c r="AA868" s="27"/>
      <c r="AB868" s="27"/>
      <c r="AC868" s="27"/>
      <c r="AD868" s="27"/>
      <c r="AE868" s="27"/>
      <c r="AF868" s="27"/>
      <c r="AG868" s="27"/>
      <c r="AH868" s="27">
        <f>IF(AND(V868=1,Control_Achizitii!$J868="DOSAR COMPLET",Control_Achizitii!$K868&lt;&gt;""),1,0)</f>
        <v>0</v>
      </c>
    </row>
    <row r="869" spans="1:34">
      <c r="A869" s="27"/>
      <c r="B869" s="27"/>
      <c r="C869" s="27"/>
      <c r="D869" s="27"/>
      <c r="E869" s="27"/>
      <c r="F869" s="27"/>
      <c r="G869" s="27"/>
      <c r="H869" s="27"/>
      <c r="I869" s="27"/>
      <c r="J869" s="27"/>
      <c r="K869" s="27"/>
      <c r="L869" s="27"/>
      <c r="M869" s="27"/>
      <c r="N869" s="27"/>
      <c r="O869" s="27"/>
      <c r="P869" s="27"/>
      <c r="Q869" s="27"/>
      <c r="R869" s="27"/>
      <c r="S869" s="27"/>
      <c r="T869" s="27">
        <f>IF(LEFT(Control_Achizitii!$E869,4)="Fact",1,0)</f>
        <v>0</v>
      </c>
      <c r="U869" s="27">
        <f>IF(Control_Achizitii!$C869="",0,IF(ISNUMBER(Control_Achizitii!$B869),0,1))</f>
        <v>0</v>
      </c>
      <c r="V869" s="27">
        <f>IF(Control_Achizitii!$C869="",0,IF($Z$2&lt;&gt;"OK",0,IF(AND(ISNUMBER(Control_Achizitii!$B869),Control_Achizitii!$B869&gt;=$E$5,Control_Achizitii!$B869&lt;$J$5+1,OR($O$5="Toate proiectele",Control_Achizitii!$Q869=$O$5)),1,0)))</f>
        <v>0</v>
      </c>
      <c r="W869" s="27">
        <f>IF(AND(V869=1,OR(Control_Achizitii!$J869&lt;&gt;"DOSAR COMPLET",Control_Achizitii!$K869&lt;&gt;"")),ROW(),1000000000)</f>
        <v>1000000000</v>
      </c>
      <c r="X869" s="27">
        <f>IF(AND(V869=1,LEFT(Control_Achizitii!$E869,4)="Fact",NOT(ISNUMBER(Control_Achizitii!$P869))),1,0)</f>
        <v>0</v>
      </c>
      <c r="Y869" s="27">
        <f>IF(V869=0,0,IF(Control_Achizitii!$J869="DOSAR COMPLET",1,IF(LEFT(Control_Achizitii!$J869,9)="INCOMPLET",2,3)))</f>
        <v>0</v>
      </c>
      <c r="Z869" s="27"/>
      <c r="AA869" s="27"/>
      <c r="AB869" s="27"/>
      <c r="AC869" s="27"/>
      <c r="AD869" s="27"/>
      <c r="AE869" s="27"/>
      <c r="AF869" s="27"/>
      <c r="AG869" s="27"/>
      <c r="AH869" s="27">
        <f>IF(AND(V869=1,Control_Achizitii!$J869="DOSAR COMPLET",Control_Achizitii!$K869&lt;&gt;""),1,0)</f>
        <v>0</v>
      </c>
    </row>
    <row r="870" spans="1:34">
      <c r="A870" s="27"/>
      <c r="B870" s="27"/>
      <c r="C870" s="27"/>
      <c r="D870" s="27"/>
      <c r="E870" s="27"/>
      <c r="F870" s="27"/>
      <c r="G870" s="27"/>
      <c r="H870" s="27"/>
      <c r="I870" s="27"/>
      <c r="J870" s="27"/>
      <c r="K870" s="27"/>
      <c r="L870" s="27"/>
      <c r="M870" s="27"/>
      <c r="N870" s="27"/>
      <c r="O870" s="27"/>
      <c r="P870" s="27"/>
      <c r="Q870" s="27"/>
      <c r="R870" s="27"/>
      <c r="S870" s="27"/>
      <c r="T870" s="27">
        <f>IF(LEFT(Control_Achizitii!$E870,4)="Fact",1,0)</f>
        <v>0</v>
      </c>
      <c r="U870" s="27">
        <f>IF(Control_Achizitii!$C870="",0,IF(ISNUMBER(Control_Achizitii!$B870),0,1))</f>
        <v>0</v>
      </c>
      <c r="V870" s="27">
        <f>IF(Control_Achizitii!$C870="",0,IF($Z$2&lt;&gt;"OK",0,IF(AND(ISNUMBER(Control_Achizitii!$B870),Control_Achizitii!$B870&gt;=$E$5,Control_Achizitii!$B870&lt;$J$5+1,OR($O$5="Toate proiectele",Control_Achizitii!$Q870=$O$5)),1,0)))</f>
        <v>0</v>
      </c>
      <c r="W870" s="27">
        <f>IF(AND(V870=1,OR(Control_Achizitii!$J870&lt;&gt;"DOSAR COMPLET",Control_Achizitii!$K870&lt;&gt;"")),ROW(),1000000000)</f>
        <v>1000000000</v>
      </c>
      <c r="X870" s="27">
        <f>IF(AND(V870=1,LEFT(Control_Achizitii!$E870,4)="Fact",NOT(ISNUMBER(Control_Achizitii!$P870))),1,0)</f>
        <v>0</v>
      </c>
      <c r="Y870" s="27">
        <f>IF(V870=0,0,IF(Control_Achizitii!$J870="DOSAR COMPLET",1,IF(LEFT(Control_Achizitii!$J870,9)="INCOMPLET",2,3)))</f>
        <v>0</v>
      </c>
      <c r="Z870" s="27"/>
      <c r="AA870" s="27"/>
      <c r="AB870" s="27"/>
      <c r="AC870" s="27"/>
      <c r="AD870" s="27"/>
      <c r="AE870" s="27"/>
      <c r="AF870" s="27"/>
      <c r="AG870" s="27"/>
      <c r="AH870" s="27">
        <f>IF(AND(V870=1,Control_Achizitii!$J870="DOSAR COMPLET",Control_Achizitii!$K870&lt;&gt;""),1,0)</f>
        <v>0</v>
      </c>
    </row>
    <row r="871" spans="1:34">
      <c r="A871" s="27"/>
      <c r="B871" s="27"/>
      <c r="C871" s="27"/>
      <c r="D871" s="27"/>
      <c r="E871" s="27"/>
      <c r="F871" s="27"/>
      <c r="G871" s="27"/>
      <c r="H871" s="27"/>
      <c r="I871" s="27"/>
      <c r="J871" s="27"/>
      <c r="K871" s="27"/>
      <c r="L871" s="27"/>
      <c r="M871" s="27"/>
      <c r="N871" s="27"/>
      <c r="O871" s="27"/>
      <c r="P871" s="27"/>
      <c r="Q871" s="27"/>
      <c r="R871" s="27"/>
      <c r="S871" s="27"/>
      <c r="T871" s="27">
        <f>IF(LEFT(Control_Achizitii!$E871,4)="Fact",1,0)</f>
        <v>0</v>
      </c>
      <c r="U871" s="27">
        <f>IF(Control_Achizitii!$C871="",0,IF(ISNUMBER(Control_Achizitii!$B871),0,1))</f>
        <v>0</v>
      </c>
      <c r="V871" s="27">
        <f>IF(Control_Achizitii!$C871="",0,IF($Z$2&lt;&gt;"OK",0,IF(AND(ISNUMBER(Control_Achizitii!$B871),Control_Achizitii!$B871&gt;=$E$5,Control_Achizitii!$B871&lt;$J$5+1,OR($O$5="Toate proiectele",Control_Achizitii!$Q871=$O$5)),1,0)))</f>
        <v>0</v>
      </c>
      <c r="W871" s="27">
        <f>IF(AND(V871=1,OR(Control_Achizitii!$J871&lt;&gt;"DOSAR COMPLET",Control_Achizitii!$K871&lt;&gt;"")),ROW(),1000000000)</f>
        <v>1000000000</v>
      </c>
      <c r="X871" s="27">
        <f>IF(AND(V871=1,LEFT(Control_Achizitii!$E871,4)="Fact",NOT(ISNUMBER(Control_Achizitii!$P871))),1,0)</f>
        <v>0</v>
      </c>
      <c r="Y871" s="27">
        <f>IF(V871=0,0,IF(Control_Achizitii!$J871="DOSAR COMPLET",1,IF(LEFT(Control_Achizitii!$J871,9)="INCOMPLET",2,3)))</f>
        <v>0</v>
      </c>
      <c r="Z871" s="27"/>
      <c r="AA871" s="27"/>
      <c r="AB871" s="27"/>
      <c r="AC871" s="27"/>
      <c r="AD871" s="27"/>
      <c r="AE871" s="27"/>
      <c r="AF871" s="27"/>
      <c r="AG871" s="27"/>
      <c r="AH871" s="27">
        <f>IF(AND(V871=1,Control_Achizitii!$J871="DOSAR COMPLET",Control_Achizitii!$K871&lt;&gt;""),1,0)</f>
        <v>0</v>
      </c>
    </row>
    <row r="872" spans="1:34">
      <c r="A872" s="27"/>
      <c r="B872" s="27"/>
      <c r="C872" s="27"/>
      <c r="D872" s="27"/>
      <c r="E872" s="27"/>
      <c r="F872" s="27"/>
      <c r="G872" s="27"/>
      <c r="H872" s="27"/>
      <c r="I872" s="27"/>
      <c r="J872" s="27"/>
      <c r="K872" s="27"/>
      <c r="L872" s="27"/>
      <c r="M872" s="27"/>
      <c r="N872" s="27"/>
      <c r="O872" s="27"/>
      <c r="P872" s="27"/>
      <c r="Q872" s="27"/>
      <c r="R872" s="27"/>
      <c r="S872" s="27"/>
      <c r="T872" s="27">
        <f>IF(LEFT(Control_Achizitii!$E872,4)="Fact",1,0)</f>
        <v>0</v>
      </c>
      <c r="U872" s="27">
        <f>IF(Control_Achizitii!$C872="",0,IF(ISNUMBER(Control_Achizitii!$B872),0,1))</f>
        <v>0</v>
      </c>
      <c r="V872" s="27">
        <f>IF(Control_Achizitii!$C872="",0,IF($Z$2&lt;&gt;"OK",0,IF(AND(ISNUMBER(Control_Achizitii!$B872),Control_Achizitii!$B872&gt;=$E$5,Control_Achizitii!$B872&lt;$J$5+1,OR($O$5="Toate proiectele",Control_Achizitii!$Q872=$O$5)),1,0)))</f>
        <v>0</v>
      </c>
      <c r="W872" s="27">
        <f>IF(AND(V872=1,OR(Control_Achizitii!$J872&lt;&gt;"DOSAR COMPLET",Control_Achizitii!$K872&lt;&gt;"")),ROW(),1000000000)</f>
        <v>1000000000</v>
      </c>
      <c r="X872" s="27">
        <f>IF(AND(V872=1,LEFT(Control_Achizitii!$E872,4)="Fact",NOT(ISNUMBER(Control_Achizitii!$P872))),1,0)</f>
        <v>0</v>
      </c>
      <c r="Y872" s="27">
        <f>IF(V872=0,0,IF(Control_Achizitii!$J872="DOSAR COMPLET",1,IF(LEFT(Control_Achizitii!$J872,9)="INCOMPLET",2,3)))</f>
        <v>0</v>
      </c>
      <c r="Z872" s="27"/>
      <c r="AA872" s="27"/>
      <c r="AB872" s="27"/>
      <c r="AC872" s="27"/>
      <c r="AD872" s="27"/>
      <c r="AE872" s="27"/>
      <c r="AF872" s="27"/>
      <c r="AG872" s="27"/>
      <c r="AH872" s="27">
        <f>IF(AND(V872=1,Control_Achizitii!$J872="DOSAR COMPLET",Control_Achizitii!$K872&lt;&gt;""),1,0)</f>
        <v>0</v>
      </c>
    </row>
    <row r="873" spans="1:34">
      <c r="A873" s="27"/>
      <c r="B873" s="27"/>
      <c r="C873" s="27"/>
      <c r="D873" s="27"/>
      <c r="E873" s="27"/>
      <c r="F873" s="27"/>
      <c r="G873" s="27"/>
      <c r="H873" s="27"/>
      <c r="I873" s="27"/>
      <c r="J873" s="27"/>
      <c r="K873" s="27"/>
      <c r="L873" s="27"/>
      <c r="M873" s="27"/>
      <c r="N873" s="27"/>
      <c r="O873" s="27"/>
      <c r="P873" s="27"/>
      <c r="Q873" s="27"/>
      <c r="R873" s="27"/>
      <c r="S873" s="27"/>
      <c r="T873" s="27">
        <f>IF(LEFT(Control_Achizitii!$E873,4)="Fact",1,0)</f>
        <v>0</v>
      </c>
      <c r="U873" s="27">
        <f>IF(Control_Achizitii!$C873="",0,IF(ISNUMBER(Control_Achizitii!$B873),0,1))</f>
        <v>0</v>
      </c>
      <c r="V873" s="27">
        <f>IF(Control_Achizitii!$C873="",0,IF($Z$2&lt;&gt;"OK",0,IF(AND(ISNUMBER(Control_Achizitii!$B873),Control_Achizitii!$B873&gt;=$E$5,Control_Achizitii!$B873&lt;$J$5+1,OR($O$5="Toate proiectele",Control_Achizitii!$Q873=$O$5)),1,0)))</f>
        <v>0</v>
      </c>
      <c r="W873" s="27">
        <f>IF(AND(V873=1,OR(Control_Achizitii!$J873&lt;&gt;"DOSAR COMPLET",Control_Achizitii!$K873&lt;&gt;"")),ROW(),1000000000)</f>
        <v>1000000000</v>
      </c>
      <c r="X873" s="27">
        <f>IF(AND(V873=1,LEFT(Control_Achizitii!$E873,4)="Fact",NOT(ISNUMBER(Control_Achizitii!$P873))),1,0)</f>
        <v>0</v>
      </c>
      <c r="Y873" s="27">
        <f>IF(V873=0,0,IF(Control_Achizitii!$J873="DOSAR COMPLET",1,IF(LEFT(Control_Achizitii!$J873,9)="INCOMPLET",2,3)))</f>
        <v>0</v>
      </c>
      <c r="Z873" s="27"/>
      <c r="AA873" s="27"/>
      <c r="AB873" s="27"/>
      <c r="AC873" s="27"/>
      <c r="AD873" s="27"/>
      <c r="AE873" s="27"/>
      <c r="AF873" s="27"/>
      <c r="AG873" s="27"/>
      <c r="AH873" s="27">
        <f>IF(AND(V873=1,Control_Achizitii!$J873="DOSAR COMPLET",Control_Achizitii!$K873&lt;&gt;""),1,0)</f>
        <v>0</v>
      </c>
    </row>
    <row r="874" spans="1:34">
      <c r="A874" s="27"/>
      <c r="B874" s="27"/>
      <c r="C874" s="27"/>
      <c r="D874" s="27"/>
      <c r="E874" s="27"/>
      <c r="F874" s="27"/>
      <c r="G874" s="27"/>
      <c r="H874" s="27"/>
      <c r="I874" s="27"/>
      <c r="J874" s="27"/>
      <c r="K874" s="27"/>
      <c r="L874" s="27"/>
      <c r="M874" s="27"/>
      <c r="N874" s="27"/>
      <c r="O874" s="27"/>
      <c r="P874" s="27"/>
      <c r="Q874" s="27"/>
      <c r="R874" s="27"/>
      <c r="S874" s="27"/>
      <c r="T874" s="27">
        <f>IF(LEFT(Control_Achizitii!$E874,4)="Fact",1,0)</f>
        <v>0</v>
      </c>
      <c r="U874" s="27">
        <f>IF(Control_Achizitii!$C874="",0,IF(ISNUMBER(Control_Achizitii!$B874),0,1))</f>
        <v>0</v>
      </c>
      <c r="V874" s="27">
        <f>IF(Control_Achizitii!$C874="",0,IF($Z$2&lt;&gt;"OK",0,IF(AND(ISNUMBER(Control_Achizitii!$B874),Control_Achizitii!$B874&gt;=$E$5,Control_Achizitii!$B874&lt;$J$5+1,OR($O$5="Toate proiectele",Control_Achizitii!$Q874=$O$5)),1,0)))</f>
        <v>0</v>
      </c>
      <c r="W874" s="27">
        <f>IF(AND(V874=1,OR(Control_Achizitii!$J874&lt;&gt;"DOSAR COMPLET",Control_Achizitii!$K874&lt;&gt;"")),ROW(),1000000000)</f>
        <v>1000000000</v>
      </c>
      <c r="X874" s="27">
        <f>IF(AND(V874=1,LEFT(Control_Achizitii!$E874,4)="Fact",NOT(ISNUMBER(Control_Achizitii!$P874))),1,0)</f>
        <v>0</v>
      </c>
      <c r="Y874" s="27">
        <f>IF(V874=0,0,IF(Control_Achizitii!$J874="DOSAR COMPLET",1,IF(LEFT(Control_Achizitii!$J874,9)="INCOMPLET",2,3)))</f>
        <v>0</v>
      </c>
      <c r="Z874" s="27"/>
      <c r="AA874" s="27"/>
      <c r="AB874" s="27"/>
      <c r="AC874" s="27"/>
      <c r="AD874" s="27"/>
      <c r="AE874" s="27"/>
      <c r="AF874" s="27"/>
      <c r="AG874" s="27"/>
      <c r="AH874" s="27">
        <f>IF(AND(V874=1,Control_Achizitii!$J874="DOSAR COMPLET",Control_Achizitii!$K874&lt;&gt;""),1,0)</f>
        <v>0</v>
      </c>
    </row>
    <row r="875" spans="1:34">
      <c r="A875" s="27"/>
      <c r="B875" s="27"/>
      <c r="C875" s="27"/>
      <c r="D875" s="27"/>
      <c r="E875" s="27"/>
      <c r="F875" s="27"/>
      <c r="G875" s="27"/>
      <c r="H875" s="27"/>
      <c r="I875" s="27"/>
      <c r="J875" s="27"/>
      <c r="K875" s="27"/>
      <c r="L875" s="27"/>
      <c r="M875" s="27"/>
      <c r="N875" s="27"/>
      <c r="O875" s="27"/>
      <c r="P875" s="27"/>
      <c r="Q875" s="27"/>
      <c r="R875" s="27"/>
      <c r="S875" s="27"/>
      <c r="T875" s="27">
        <f>IF(LEFT(Control_Achizitii!$E875,4)="Fact",1,0)</f>
        <v>0</v>
      </c>
      <c r="U875" s="27">
        <f>IF(Control_Achizitii!$C875="",0,IF(ISNUMBER(Control_Achizitii!$B875),0,1))</f>
        <v>0</v>
      </c>
      <c r="V875" s="27">
        <f>IF(Control_Achizitii!$C875="",0,IF($Z$2&lt;&gt;"OK",0,IF(AND(ISNUMBER(Control_Achizitii!$B875),Control_Achizitii!$B875&gt;=$E$5,Control_Achizitii!$B875&lt;$J$5+1,OR($O$5="Toate proiectele",Control_Achizitii!$Q875=$O$5)),1,0)))</f>
        <v>0</v>
      </c>
      <c r="W875" s="27">
        <f>IF(AND(V875=1,OR(Control_Achizitii!$J875&lt;&gt;"DOSAR COMPLET",Control_Achizitii!$K875&lt;&gt;"")),ROW(),1000000000)</f>
        <v>1000000000</v>
      </c>
      <c r="X875" s="27">
        <f>IF(AND(V875=1,LEFT(Control_Achizitii!$E875,4)="Fact",NOT(ISNUMBER(Control_Achizitii!$P875))),1,0)</f>
        <v>0</v>
      </c>
      <c r="Y875" s="27">
        <f>IF(V875=0,0,IF(Control_Achizitii!$J875="DOSAR COMPLET",1,IF(LEFT(Control_Achizitii!$J875,9)="INCOMPLET",2,3)))</f>
        <v>0</v>
      </c>
      <c r="Z875" s="27"/>
      <c r="AA875" s="27"/>
      <c r="AB875" s="27"/>
      <c r="AC875" s="27"/>
      <c r="AD875" s="27"/>
      <c r="AE875" s="27"/>
      <c r="AF875" s="27"/>
      <c r="AG875" s="27"/>
      <c r="AH875" s="27">
        <f>IF(AND(V875=1,Control_Achizitii!$J875="DOSAR COMPLET",Control_Achizitii!$K875&lt;&gt;""),1,0)</f>
        <v>0</v>
      </c>
    </row>
    <row r="876" spans="1:34">
      <c r="A876" s="27"/>
      <c r="B876" s="27"/>
      <c r="C876" s="27"/>
      <c r="D876" s="27"/>
      <c r="E876" s="27"/>
      <c r="F876" s="27"/>
      <c r="G876" s="27"/>
      <c r="H876" s="27"/>
      <c r="I876" s="27"/>
      <c r="J876" s="27"/>
      <c r="K876" s="27"/>
      <c r="L876" s="27"/>
      <c r="M876" s="27"/>
      <c r="N876" s="27"/>
      <c r="O876" s="27"/>
      <c r="P876" s="27"/>
      <c r="Q876" s="27"/>
      <c r="R876" s="27"/>
      <c r="S876" s="27"/>
      <c r="T876" s="27">
        <f>IF(LEFT(Control_Achizitii!$E876,4)="Fact",1,0)</f>
        <v>0</v>
      </c>
      <c r="U876" s="27">
        <f>IF(Control_Achizitii!$C876="",0,IF(ISNUMBER(Control_Achizitii!$B876),0,1))</f>
        <v>0</v>
      </c>
      <c r="V876" s="27">
        <f>IF(Control_Achizitii!$C876="",0,IF($Z$2&lt;&gt;"OK",0,IF(AND(ISNUMBER(Control_Achizitii!$B876),Control_Achizitii!$B876&gt;=$E$5,Control_Achizitii!$B876&lt;$J$5+1,OR($O$5="Toate proiectele",Control_Achizitii!$Q876=$O$5)),1,0)))</f>
        <v>0</v>
      </c>
      <c r="W876" s="27">
        <f>IF(AND(V876=1,OR(Control_Achizitii!$J876&lt;&gt;"DOSAR COMPLET",Control_Achizitii!$K876&lt;&gt;"")),ROW(),1000000000)</f>
        <v>1000000000</v>
      </c>
      <c r="X876" s="27">
        <f>IF(AND(V876=1,LEFT(Control_Achizitii!$E876,4)="Fact",NOT(ISNUMBER(Control_Achizitii!$P876))),1,0)</f>
        <v>0</v>
      </c>
      <c r="Y876" s="27">
        <f>IF(V876=0,0,IF(Control_Achizitii!$J876="DOSAR COMPLET",1,IF(LEFT(Control_Achizitii!$J876,9)="INCOMPLET",2,3)))</f>
        <v>0</v>
      </c>
      <c r="Z876" s="27"/>
      <c r="AA876" s="27"/>
      <c r="AB876" s="27"/>
      <c r="AC876" s="27"/>
      <c r="AD876" s="27"/>
      <c r="AE876" s="27"/>
      <c r="AF876" s="27"/>
      <c r="AG876" s="27"/>
      <c r="AH876" s="27">
        <f>IF(AND(V876=1,Control_Achizitii!$J876="DOSAR COMPLET",Control_Achizitii!$K876&lt;&gt;""),1,0)</f>
        <v>0</v>
      </c>
    </row>
    <row r="877" spans="1:34">
      <c r="A877" s="27"/>
      <c r="B877" s="27"/>
      <c r="C877" s="27"/>
      <c r="D877" s="27"/>
      <c r="E877" s="27"/>
      <c r="F877" s="27"/>
      <c r="G877" s="27"/>
      <c r="H877" s="27"/>
      <c r="I877" s="27"/>
      <c r="J877" s="27"/>
      <c r="K877" s="27"/>
      <c r="L877" s="27"/>
      <c r="M877" s="27"/>
      <c r="N877" s="27"/>
      <c r="O877" s="27"/>
      <c r="P877" s="27"/>
      <c r="Q877" s="27"/>
      <c r="R877" s="27"/>
      <c r="S877" s="27"/>
      <c r="T877" s="27">
        <f>IF(LEFT(Control_Achizitii!$E877,4)="Fact",1,0)</f>
        <v>0</v>
      </c>
      <c r="U877" s="27">
        <f>IF(Control_Achizitii!$C877="",0,IF(ISNUMBER(Control_Achizitii!$B877),0,1))</f>
        <v>0</v>
      </c>
      <c r="V877" s="27">
        <f>IF(Control_Achizitii!$C877="",0,IF($Z$2&lt;&gt;"OK",0,IF(AND(ISNUMBER(Control_Achizitii!$B877),Control_Achizitii!$B877&gt;=$E$5,Control_Achizitii!$B877&lt;$J$5+1,OR($O$5="Toate proiectele",Control_Achizitii!$Q877=$O$5)),1,0)))</f>
        <v>0</v>
      </c>
      <c r="W877" s="27">
        <f>IF(AND(V877=1,OR(Control_Achizitii!$J877&lt;&gt;"DOSAR COMPLET",Control_Achizitii!$K877&lt;&gt;"")),ROW(),1000000000)</f>
        <v>1000000000</v>
      </c>
      <c r="X877" s="27">
        <f>IF(AND(V877=1,LEFT(Control_Achizitii!$E877,4)="Fact",NOT(ISNUMBER(Control_Achizitii!$P877))),1,0)</f>
        <v>0</v>
      </c>
      <c r="Y877" s="27">
        <f>IF(V877=0,0,IF(Control_Achizitii!$J877="DOSAR COMPLET",1,IF(LEFT(Control_Achizitii!$J877,9)="INCOMPLET",2,3)))</f>
        <v>0</v>
      </c>
      <c r="Z877" s="27"/>
      <c r="AA877" s="27"/>
      <c r="AB877" s="27"/>
      <c r="AC877" s="27"/>
      <c r="AD877" s="27"/>
      <c r="AE877" s="27"/>
      <c r="AF877" s="27"/>
      <c r="AG877" s="27"/>
      <c r="AH877" s="27">
        <f>IF(AND(V877=1,Control_Achizitii!$J877="DOSAR COMPLET",Control_Achizitii!$K877&lt;&gt;""),1,0)</f>
        <v>0</v>
      </c>
    </row>
    <row r="878" spans="1:34">
      <c r="A878" s="27"/>
      <c r="B878" s="27"/>
      <c r="C878" s="27"/>
      <c r="D878" s="27"/>
      <c r="E878" s="27"/>
      <c r="F878" s="27"/>
      <c r="G878" s="27"/>
      <c r="H878" s="27"/>
      <c r="I878" s="27"/>
      <c r="J878" s="27"/>
      <c r="K878" s="27"/>
      <c r="L878" s="27"/>
      <c r="M878" s="27"/>
      <c r="N878" s="27"/>
      <c r="O878" s="27"/>
      <c r="P878" s="27"/>
      <c r="Q878" s="27"/>
      <c r="R878" s="27"/>
      <c r="S878" s="27"/>
      <c r="T878" s="27">
        <f>IF(LEFT(Control_Achizitii!$E878,4)="Fact",1,0)</f>
        <v>0</v>
      </c>
      <c r="U878" s="27">
        <f>IF(Control_Achizitii!$C878="",0,IF(ISNUMBER(Control_Achizitii!$B878),0,1))</f>
        <v>0</v>
      </c>
      <c r="V878" s="27">
        <f>IF(Control_Achizitii!$C878="",0,IF($Z$2&lt;&gt;"OK",0,IF(AND(ISNUMBER(Control_Achizitii!$B878),Control_Achizitii!$B878&gt;=$E$5,Control_Achizitii!$B878&lt;$J$5+1,OR($O$5="Toate proiectele",Control_Achizitii!$Q878=$O$5)),1,0)))</f>
        <v>0</v>
      </c>
      <c r="W878" s="27">
        <f>IF(AND(V878=1,OR(Control_Achizitii!$J878&lt;&gt;"DOSAR COMPLET",Control_Achizitii!$K878&lt;&gt;"")),ROW(),1000000000)</f>
        <v>1000000000</v>
      </c>
      <c r="X878" s="27">
        <f>IF(AND(V878=1,LEFT(Control_Achizitii!$E878,4)="Fact",NOT(ISNUMBER(Control_Achizitii!$P878))),1,0)</f>
        <v>0</v>
      </c>
      <c r="Y878" s="27">
        <f>IF(V878=0,0,IF(Control_Achizitii!$J878="DOSAR COMPLET",1,IF(LEFT(Control_Achizitii!$J878,9)="INCOMPLET",2,3)))</f>
        <v>0</v>
      </c>
      <c r="Z878" s="27"/>
      <c r="AA878" s="27"/>
      <c r="AB878" s="27"/>
      <c r="AC878" s="27"/>
      <c r="AD878" s="27"/>
      <c r="AE878" s="27"/>
      <c r="AF878" s="27"/>
      <c r="AG878" s="27"/>
      <c r="AH878" s="27">
        <f>IF(AND(V878=1,Control_Achizitii!$J878="DOSAR COMPLET",Control_Achizitii!$K878&lt;&gt;""),1,0)</f>
        <v>0</v>
      </c>
    </row>
    <row r="879" spans="1:34">
      <c r="A879" s="27"/>
      <c r="B879" s="27"/>
      <c r="C879" s="27"/>
      <c r="D879" s="27"/>
      <c r="E879" s="27"/>
      <c r="F879" s="27"/>
      <c r="G879" s="27"/>
      <c r="H879" s="27"/>
      <c r="I879" s="27"/>
      <c r="J879" s="27"/>
      <c r="K879" s="27"/>
      <c r="L879" s="27"/>
      <c r="M879" s="27"/>
      <c r="N879" s="27"/>
      <c r="O879" s="27"/>
      <c r="P879" s="27"/>
      <c r="Q879" s="27"/>
      <c r="R879" s="27"/>
      <c r="S879" s="27"/>
      <c r="T879" s="27">
        <f>IF(LEFT(Control_Achizitii!$E879,4)="Fact",1,0)</f>
        <v>0</v>
      </c>
      <c r="U879" s="27">
        <f>IF(Control_Achizitii!$C879="",0,IF(ISNUMBER(Control_Achizitii!$B879),0,1))</f>
        <v>0</v>
      </c>
      <c r="V879" s="27">
        <f>IF(Control_Achizitii!$C879="",0,IF($Z$2&lt;&gt;"OK",0,IF(AND(ISNUMBER(Control_Achizitii!$B879),Control_Achizitii!$B879&gt;=$E$5,Control_Achizitii!$B879&lt;$J$5+1,OR($O$5="Toate proiectele",Control_Achizitii!$Q879=$O$5)),1,0)))</f>
        <v>0</v>
      </c>
      <c r="W879" s="27">
        <f>IF(AND(V879=1,OR(Control_Achizitii!$J879&lt;&gt;"DOSAR COMPLET",Control_Achizitii!$K879&lt;&gt;"")),ROW(),1000000000)</f>
        <v>1000000000</v>
      </c>
      <c r="X879" s="27">
        <f>IF(AND(V879=1,LEFT(Control_Achizitii!$E879,4)="Fact",NOT(ISNUMBER(Control_Achizitii!$P879))),1,0)</f>
        <v>0</v>
      </c>
      <c r="Y879" s="27">
        <f>IF(V879=0,0,IF(Control_Achizitii!$J879="DOSAR COMPLET",1,IF(LEFT(Control_Achizitii!$J879,9)="INCOMPLET",2,3)))</f>
        <v>0</v>
      </c>
      <c r="Z879" s="27"/>
      <c r="AA879" s="27"/>
      <c r="AB879" s="27"/>
      <c r="AC879" s="27"/>
      <c r="AD879" s="27"/>
      <c r="AE879" s="27"/>
      <c r="AF879" s="27"/>
      <c r="AG879" s="27"/>
      <c r="AH879" s="27">
        <f>IF(AND(V879=1,Control_Achizitii!$J879="DOSAR COMPLET",Control_Achizitii!$K879&lt;&gt;""),1,0)</f>
        <v>0</v>
      </c>
    </row>
    <row r="880" spans="1:34">
      <c r="A880" s="27"/>
      <c r="B880" s="27"/>
      <c r="C880" s="27"/>
      <c r="D880" s="27"/>
      <c r="E880" s="27"/>
      <c r="F880" s="27"/>
      <c r="G880" s="27"/>
      <c r="H880" s="27"/>
      <c r="I880" s="27"/>
      <c r="J880" s="27"/>
      <c r="K880" s="27"/>
      <c r="L880" s="27"/>
      <c r="M880" s="27"/>
      <c r="N880" s="27"/>
      <c r="O880" s="27"/>
      <c r="P880" s="27"/>
      <c r="Q880" s="27"/>
      <c r="R880" s="27"/>
      <c r="S880" s="27"/>
      <c r="T880" s="27">
        <f>IF(LEFT(Control_Achizitii!$E880,4)="Fact",1,0)</f>
        <v>0</v>
      </c>
      <c r="U880" s="27">
        <f>IF(Control_Achizitii!$C880="",0,IF(ISNUMBER(Control_Achizitii!$B880),0,1))</f>
        <v>0</v>
      </c>
      <c r="V880" s="27">
        <f>IF(Control_Achizitii!$C880="",0,IF($Z$2&lt;&gt;"OK",0,IF(AND(ISNUMBER(Control_Achizitii!$B880),Control_Achizitii!$B880&gt;=$E$5,Control_Achizitii!$B880&lt;$J$5+1,OR($O$5="Toate proiectele",Control_Achizitii!$Q880=$O$5)),1,0)))</f>
        <v>0</v>
      </c>
      <c r="W880" s="27">
        <f>IF(AND(V880=1,OR(Control_Achizitii!$J880&lt;&gt;"DOSAR COMPLET",Control_Achizitii!$K880&lt;&gt;"")),ROW(),1000000000)</f>
        <v>1000000000</v>
      </c>
      <c r="X880" s="27">
        <f>IF(AND(V880=1,LEFT(Control_Achizitii!$E880,4)="Fact",NOT(ISNUMBER(Control_Achizitii!$P880))),1,0)</f>
        <v>0</v>
      </c>
      <c r="Y880" s="27">
        <f>IF(V880=0,0,IF(Control_Achizitii!$J880="DOSAR COMPLET",1,IF(LEFT(Control_Achizitii!$J880,9)="INCOMPLET",2,3)))</f>
        <v>0</v>
      </c>
      <c r="Z880" s="27"/>
      <c r="AA880" s="27"/>
      <c r="AB880" s="27"/>
      <c r="AC880" s="27"/>
      <c r="AD880" s="27"/>
      <c r="AE880" s="27"/>
      <c r="AF880" s="27"/>
      <c r="AG880" s="27"/>
      <c r="AH880" s="27">
        <f>IF(AND(V880=1,Control_Achizitii!$J880="DOSAR COMPLET",Control_Achizitii!$K880&lt;&gt;""),1,0)</f>
        <v>0</v>
      </c>
    </row>
    <row r="881" spans="1:34">
      <c r="A881" s="27"/>
      <c r="B881" s="27"/>
      <c r="C881" s="27"/>
      <c r="D881" s="27"/>
      <c r="E881" s="27"/>
      <c r="F881" s="27"/>
      <c r="G881" s="27"/>
      <c r="H881" s="27"/>
      <c r="I881" s="27"/>
      <c r="J881" s="27"/>
      <c r="K881" s="27"/>
      <c r="L881" s="27"/>
      <c r="M881" s="27"/>
      <c r="N881" s="27"/>
      <c r="O881" s="27"/>
      <c r="P881" s="27"/>
      <c r="Q881" s="27"/>
      <c r="R881" s="27"/>
      <c r="S881" s="27"/>
      <c r="T881" s="27">
        <f>IF(LEFT(Control_Achizitii!$E881,4)="Fact",1,0)</f>
        <v>0</v>
      </c>
      <c r="U881" s="27">
        <f>IF(Control_Achizitii!$C881="",0,IF(ISNUMBER(Control_Achizitii!$B881),0,1))</f>
        <v>0</v>
      </c>
      <c r="V881" s="27">
        <f>IF(Control_Achizitii!$C881="",0,IF($Z$2&lt;&gt;"OK",0,IF(AND(ISNUMBER(Control_Achizitii!$B881),Control_Achizitii!$B881&gt;=$E$5,Control_Achizitii!$B881&lt;$J$5+1,OR($O$5="Toate proiectele",Control_Achizitii!$Q881=$O$5)),1,0)))</f>
        <v>0</v>
      </c>
      <c r="W881" s="27">
        <f>IF(AND(V881=1,OR(Control_Achizitii!$J881&lt;&gt;"DOSAR COMPLET",Control_Achizitii!$K881&lt;&gt;"")),ROW(),1000000000)</f>
        <v>1000000000</v>
      </c>
      <c r="X881" s="27">
        <f>IF(AND(V881=1,LEFT(Control_Achizitii!$E881,4)="Fact",NOT(ISNUMBER(Control_Achizitii!$P881))),1,0)</f>
        <v>0</v>
      </c>
      <c r="Y881" s="27">
        <f>IF(V881=0,0,IF(Control_Achizitii!$J881="DOSAR COMPLET",1,IF(LEFT(Control_Achizitii!$J881,9)="INCOMPLET",2,3)))</f>
        <v>0</v>
      </c>
      <c r="Z881" s="27"/>
      <c r="AA881" s="27"/>
      <c r="AB881" s="27"/>
      <c r="AC881" s="27"/>
      <c r="AD881" s="27"/>
      <c r="AE881" s="27"/>
      <c r="AF881" s="27"/>
      <c r="AG881" s="27"/>
      <c r="AH881" s="27">
        <f>IF(AND(V881=1,Control_Achizitii!$J881="DOSAR COMPLET",Control_Achizitii!$K881&lt;&gt;""),1,0)</f>
        <v>0</v>
      </c>
    </row>
    <row r="882" spans="1:34">
      <c r="A882" s="27"/>
      <c r="B882" s="27"/>
      <c r="C882" s="27"/>
      <c r="D882" s="27"/>
      <c r="E882" s="27"/>
      <c r="F882" s="27"/>
      <c r="G882" s="27"/>
      <c r="H882" s="27"/>
      <c r="I882" s="27"/>
      <c r="J882" s="27"/>
      <c r="K882" s="27"/>
      <c r="L882" s="27"/>
      <c r="M882" s="27"/>
      <c r="N882" s="27"/>
      <c r="O882" s="27"/>
      <c r="P882" s="27"/>
      <c r="Q882" s="27"/>
      <c r="R882" s="27"/>
      <c r="S882" s="27"/>
      <c r="T882" s="27">
        <f>IF(LEFT(Control_Achizitii!$E882,4)="Fact",1,0)</f>
        <v>0</v>
      </c>
      <c r="U882" s="27">
        <f>IF(Control_Achizitii!$C882="",0,IF(ISNUMBER(Control_Achizitii!$B882),0,1))</f>
        <v>0</v>
      </c>
      <c r="V882" s="27">
        <f>IF(Control_Achizitii!$C882="",0,IF($Z$2&lt;&gt;"OK",0,IF(AND(ISNUMBER(Control_Achizitii!$B882),Control_Achizitii!$B882&gt;=$E$5,Control_Achizitii!$B882&lt;$J$5+1,OR($O$5="Toate proiectele",Control_Achizitii!$Q882=$O$5)),1,0)))</f>
        <v>0</v>
      </c>
      <c r="W882" s="27">
        <f>IF(AND(V882=1,OR(Control_Achizitii!$J882&lt;&gt;"DOSAR COMPLET",Control_Achizitii!$K882&lt;&gt;"")),ROW(),1000000000)</f>
        <v>1000000000</v>
      </c>
      <c r="X882" s="27">
        <f>IF(AND(V882=1,LEFT(Control_Achizitii!$E882,4)="Fact",NOT(ISNUMBER(Control_Achizitii!$P882))),1,0)</f>
        <v>0</v>
      </c>
      <c r="Y882" s="27">
        <f>IF(V882=0,0,IF(Control_Achizitii!$J882="DOSAR COMPLET",1,IF(LEFT(Control_Achizitii!$J882,9)="INCOMPLET",2,3)))</f>
        <v>0</v>
      </c>
      <c r="Z882" s="27"/>
      <c r="AA882" s="27"/>
      <c r="AB882" s="27"/>
      <c r="AC882" s="27"/>
      <c r="AD882" s="27"/>
      <c r="AE882" s="27"/>
      <c r="AF882" s="27"/>
      <c r="AG882" s="27"/>
      <c r="AH882" s="27">
        <f>IF(AND(V882=1,Control_Achizitii!$J882="DOSAR COMPLET",Control_Achizitii!$K882&lt;&gt;""),1,0)</f>
        <v>0</v>
      </c>
    </row>
    <row r="883" spans="1:34">
      <c r="A883" s="27"/>
      <c r="B883" s="27"/>
      <c r="C883" s="27"/>
      <c r="D883" s="27"/>
      <c r="E883" s="27"/>
      <c r="F883" s="27"/>
      <c r="G883" s="27"/>
      <c r="H883" s="27"/>
      <c r="I883" s="27"/>
      <c r="J883" s="27"/>
      <c r="K883" s="27"/>
      <c r="L883" s="27"/>
      <c r="M883" s="27"/>
      <c r="N883" s="27"/>
      <c r="O883" s="27"/>
      <c r="P883" s="27"/>
      <c r="Q883" s="27"/>
      <c r="R883" s="27"/>
      <c r="S883" s="27"/>
      <c r="T883" s="27">
        <f>IF(LEFT(Control_Achizitii!$E883,4)="Fact",1,0)</f>
        <v>0</v>
      </c>
      <c r="U883" s="27">
        <f>IF(Control_Achizitii!$C883="",0,IF(ISNUMBER(Control_Achizitii!$B883),0,1))</f>
        <v>0</v>
      </c>
      <c r="V883" s="27">
        <f>IF(Control_Achizitii!$C883="",0,IF($Z$2&lt;&gt;"OK",0,IF(AND(ISNUMBER(Control_Achizitii!$B883),Control_Achizitii!$B883&gt;=$E$5,Control_Achizitii!$B883&lt;$J$5+1,OR($O$5="Toate proiectele",Control_Achizitii!$Q883=$O$5)),1,0)))</f>
        <v>0</v>
      </c>
      <c r="W883" s="27">
        <f>IF(AND(V883=1,OR(Control_Achizitii!$J883&lt;&gt;"DOSAR COMPLET",Control_Achizitii!$K883&lt;&gt;"")),ROW(),1000000000)</f>
        <v>1000000000</v>
      </c>
      <c r="X883" s="27">
        <f>IF(AND(V883=1,LEFT(Control_Achizitii!$E883,4)="Fact",NOT(ISNUMBER(Control_Achizitii!$P883))),1,0)</f>
        <v>0</v>
      </c>
      <c r="Y883" s="27">
        <f>IF(V883=0,0,IF(Control_Achizitii!$J883="DOSAR COMPLET",1,IF(LEFT(Control_Achizitii!$J883,9)="INCOMPLET",2,3)))</f>
        <v>0</v>
      </c>
      <c r="Z883" s="27"/>
      <c r="AA883" s="27"/>
      <c r="AB883" s="27"/>
      <c r="AC883" s="27"/>
      <c r="AD883" s="27"/>
      <c r="AE883" s="27"/>
      <c r="AF883" s="27"/>
      <c r="AG883" s="27"/>
      <c r="AH883" s="27">
        <f>IF(AND(V883=1,Control_Achizitii!$J883="DOSAR COMPLET",Control_Achizitii!$K883&lt;&gt;""),1,0)</f>
        <v>0</v>
      </c>
    </row>
    <row r="884" spans="1:34">
      <c r="A884" s="27"/>
      <c r="B884" s="27"/>
      <c r="C884" s="27"/>
      <c r="D884" s="27"/>
      <c r="E884" s="27"/>
      <c r="F884" s="27"/>
      <c r="G884" s="27"/>
      <c r="H884" s="27"/>
      <c r="I884" s="27"/>
      <c r="J884" s="27"/>
      <c r="K884" s="27"/>
      <c r="L884" s="27"/>
      <c r="M884" s="27"/>
      <c r="N884" s="27"/>
      <c r="O884" s="27"/>
      <c r="P884" s="27"/>
      <c r="Q884" s="27"/>
      <c r="R884" s="27"/>
      <c r="S884" s="27"/>
      <c r="T884" s="27">
        <f>IF(LEFT(Control_Achizitii!$E884,4)="Fact",1,0)</f>
        <v>0</v>
      </c>
      <c r="U884" s="27">
        <f>IF(Control_Achizitii!$C884="",0,IF(ISNUMBER(Control_Achizitii!$B884),0,1))</f>
        <v>0</v>
      </c>
      <c r="V884" s="27">
        <f>IF(Control_Achizitii!$C884="",0,IF($Z$2&lt;&gt;"OK",0,IF(AND(ISNUMBER(Control_Achizitii!$B884),Control_Achizitii!$B884&gt;=$E$5,Control_Achizitii!$B884&lt;$J$5+1,OR($O$5="Toate proiectele",Control_Achizitii!$Q884=$O$5)),1,0)))</f>
        <v>0</v>
      </c>
      <c r="W884" s="27">
        <f>IF(AND(V884=1,OR(Control_Achizitii!$J884&lt;&gt;"DOSAR COMPLET",Control_Achizitii!$K884&lt;&gt;"")),ROW(),1000000000)</f>
        <v>1000000000</v>
      </c>
      <c r="X884" s="27">
        <f>IF(AND(V884=1,LEFT(Control_Achizitii!$E884,4)="Fact",NOT(ISNUMBER(Control_Achizitii!$P884))),1,0)</f>
        <v>0</v>
      </c>
      <c r="Y884" s="27">
        <f>IF(V884=0,0,IF(Control_Achizitii!$J884="DOSAR COMPLET",1,IF(LEFT(Control_Achizitii!$J884,9)="INCOMPLET",2,3)))</f>
        <v>0</v>
      </c>
      <c r="Z884" s="27"/>
      <c r="AA884" s="27"/>
      <c r="AB884" s="27"/>
      <c r="AC884" s="27"/>
      <c r="AD884" s="27"/>
      <c r="AE884" s="27"/>
      <c r="AF884" s="27"/>
      <c r="AG884" s="27"/>
      <c r="AH884" s="27">
        <f>IF(AND(V884=1,Control_Achizitii!$J884="DOSAR COMPLET",Control_Achizitii!$K884&lt;&gt;""),1,0)</f>
        <v>0</v>
      </c>
    </row>
    <row r="885" spans="1:34">
      <c r="A885" s="27"/>
      <c r="B885" s="27"/>
      <c r="C885" s="27"/>
      <c r="D885" s="27"/>
      <c r="E885" s="27"/>
      <c r="F885" s="27"/>
      <c r="G885" s="27"/>
      <c r="H885" s="27"/>
      <c r="I885" s="27"/>
      <c r="J885" s="27"/>
      <c r="K885" s="27"/>
      <c r="L885" s="27"/>
      <c r="M885" s="27"/>
      <c r="N885" s="27"/>
      <c r="O885" s="27"/>
      <c r="P885" s="27"/>
      <c r="Q885" s="27"/>
      <c r="R885" s="27"/>
      <c r="S885" s="27"/>
      <c r="T885" s="27">
        <f>IF(LEFT(Control_Achizitii!$E885,4)="Fact",1,0)</f>
        <v>0</v>
      </c>
      <c r="U885" s="27">
        <f>IF(Control_Achizitii!$C885="",0,IF(ISNUMBER(Control_Achizitii!$B885),0,1))</f>
        <v>0</v>
      </c>
      <c r="V885" s="27">
        <f>IF(Control_Achizitii!$C885="",0,IF($Z$2&lt;&gt;"OK",0,IF(AND(ISNUMBER(Control_Achizitii!$B885),Control_Achizitii!$B885&gt;=$E$5,Control_Achizitii!$B885&lt;$J$5+1,OR($O$5="Toate proiectele",Control_Achizitii!$Q885=$O$5)),1,0)))</f>
        <v>0</v>
      </c>
      <c r="W885" s="27">
        <f>IF(AND(V885=1,OR(Control_Achizitii!$J885&lt;&gt;"DOSAR COMPLET",Control_Achizitii!$K885&lt;&gt;"")),ROW(),1000000000)</f>
        <v>1000000000</v>
      </c>
      <c r="X885" s="27">
        <f>IF(AND(V885=1,LEFT(Control_Achizitii!$E885,4)="Fact",NOT(ISNUMBER(Control_Achizitii!$P885))),1,0)</f>
        <v>0</v>
      </c>
      <c r="Y885" s="27">
        <f>IF(V885=0,0,IF(Control_Achizitii!$J885="DOSAR COMPLET",1,IF(LEFT(Control_Achizitii!$J885,9)="INCOMPLET",2,3)))</f>
        <v>0</v>
      </c>
      <c r="Z885" s="27"/>
      <c r="AA885" s="27"/>
      <c r="AB885" s="27"/>
      <c r="AC885" s="27"/>
      <c r="AD885" s="27"/>
      <c r="AE885" s="27"/>
      <c r="AF885" s="27"/>
      <c r="AG885" s="27"/>
      <c r="AH885" s="27">
        <f>IF(AND(V885=1,Control_Achizitii!$J885="DOSAR COMPLET",Control_Achizitii!$K885&lt;&gt;""),1,0)</f>
        <v>0</v>
      </c>
    </row>
    <row r="886" spans="1:34">
      <c r="A886" s="27"/>
      <c r="B886" s="27"/>
      <c r="C886" s="27"/>
      <c r="D886" s="27"/>
      <c r="E886" s="27"/>
      <c r="F886" s="27"/>
      <c r="G886" s="27"/>
      <c r="H886" s="27"/>
      <c r="I886" s="27"/>
      <c r="J886" s="27"/>
      <c r="K886" s="27"/>
      <c r="L886" s="27"/>
      <c r="M886" s="27"/>
      <c r="N886" s="27"/>
      <c r="O886" s="27"/>
      <c r="P886" s="27"/>
      <c r="Q886" s="27"/>
      <c r="R886" s="27"/>
      <c r="S886" s="27"/>
      <c r="T886" s="27">
        <f>IF(LEFT(Control_Achizitii!$E886,4)="Fact",1,0)</f>
        <v>0</v>
      </c>
      <c r="U886" s="27">
        <f>IF(Control_Achizitii!$C886="",0,IF(ISNUMBER(Control_Achizitii!$B886),0,1))</f>
        <v>0</v>
      </c>
      <c r="V886" s="27">
        <f>IF(Control_Achizitii!$C886="",0,IF($Z$2&lt;&gt;"OK",0,IF(AND(ISNUMBER(Control_Achizitii!$B886),Control_Achizitii!$B886&gt;=$E$5,Control_Achizitii!$B886&lt;$J$5+1,OR($O$5="Toate proiectele",Control_Achizitii!$Q886=$O$5)),1,0)))</f>
        <v>0</v>
      </c>
      <c r="W886" s="27">
        <f>IF(AND(V886=1,OR(Control_Achizitii!$J886&lt;&gt;"DOSAR COMPLET",Control_Achizitii!$K886&lt;&gt;"")),ROW(),1000000000)</f>
        <v>1000000000</v>
      </c>
      <c r="X886" s="27">
        <f>IF(AND(V886=1,LEFT(Control_Achizitii!$E886,4)="Fact",NOT(ISNUMBER(Control_Achizitii!$P886))),1,0)</f>
        <v>0</v>
      </c>
      <c r="Y886" s="27">
        <f>IF(V886=0,0,IF(Control_Achizitii!$J886="DOSAR COMPLET",1,IF(LEFT(Control_Achizitii!$J886,9)="INCOMPLET",2,3)))</f>
        <v>0</v>
      </c>
      <c r="Z886" s="27"/>
      <c r="AA886" s="27"/>
      <c r="AB886" s="27"/>
      <c r="AC886" s="27"/>
      <c r="AD886" s="27"/>
      <c r="AE886" s="27"/>
      <c r="AF886" s="27"/>
      <c r="AG886" s="27"/>
      <c r="AH886" s="27">
        <f>IF(AND(V886=1,Control_Achizitii!$J886="DOSAR COMPLET",Control_Achizitii!$K886&lt;&gt;""),1,0)</f>
        <v>0</v>
      </c>
    </row>
    <row r="887" spans="1:34">
      <c r="A887" s="27"/>
      <c r="B887" s="27"/>
      <c r="C887" s="27"/>
      <c r="D887" s="27"/>
      <c r="E887" s="27"/>
      <c r="F887" s="27"/>
      <c r="G887" s="27"/>
      <c r="H887" s="27"/>
      <c r="I887" s="27"/>
      <c r="J887" s="27"/>
      <c r="K887" s="27"/>
      <c r="L887" s="27"/>
      <c r="M887" s="27"/>
      <c r="N887" s="27"/>
      <c r="O887" s="27"/>
      <c r="P887" s="27"/>
      <c r="Q887" s="27"/>
      <c r="R887" s="27"/>
      <c r="S887" s="27"/>
      <c r="T887" s="27">
        <f>IF(LEFT(Control_Achizitii!$E887,4)="Fact",1,0)</f>
        <v>0</v>
      </c>
      <c r="U887" s="27">
        <f>IF(Control_Achizitii!$C887="",0,IF(ISNUMBER(Control_Achizitii!$B887),0,1))</f>
        <v>0</v>
      </c>
      <c r="V887" s="27">
        <f>IF(Control_Achizitii!$C887="",0,IF($Z$2&lt;&gt;"OK",0,IF(AND(ISNUMBER(Control_Achizitii!$B887),Control_Achizitii!$B887&gt;=$E$5,Control_Achizitii!$B887&lt;$J$5+1,OR($O$5="Toate proiectele",Control_Achizitii!$Q887=$O$5)),1,0)))</f>
        <v>0</v>
      </c>
      <c r="W887" s="27">
        <f>IF(AND(V887=1,OR(Control_Achizitii!$J887&lt;&gt;"DOSAR COMPLET",Control_Achizitii!$K887&lt;&gt;"")),ROW(),1000000000)</f>
        <v>1000000000</v>
      </c>
      <c r="X887" s="27">
        <f>IF(AND(V887=1,LEFT(Control_Achizitii!$E887,4)="Fact",NOT(ISNUMBER(Control_Achizitii!$P887))),1,0)</f>
        <v>0</v>
      </c>
      <c r="Y887" s="27">
        <f>IF(V887=0,0,IF(Control_Achizitii!$J887="DOSAR COMPLET",1,IF(LEFT(Control_Achizitii!$J887,9)="INCOMPLET",2,3)))</f>
        <v>0</v>
      </c>
      <c r="Z887" s="27"/>
      <c r="AA887" s="27"/>
      <c r="AB887" s="27"/>
      <c r="AC887" s="27"/>
      <c r="AD887" s="27"/>
      <c r="AE887" s="27"/>
      <c r="AF887" s="27"/>
      <c r="AG887" s="27"/>
      <c r="AH887" s="27">
        <f>IF(AND(V887=1,Control_Achizitii!$J887="DOSAR COMPLET",Control_Achizitii!$K887&lt;&gt;""),1,0)</f>
        <v>0</v>
      </c>
    </row>
    <row r="888" spans="1:34">
      <c r="A888" s="27"/>
      <c r="B888" s="27"/>
      <c r="C888" s="27"/>
      <c r="D888" s="27"/>
      <c r="E888" s="27"/>
      <c r="F888" s="27"/>
      <c r="G888" s="27"/>
      <c r="H888" s="27"/>
      <c r="I888" s="27"/>
      <c r="J888" s="27"/>
      <c r="K888" s="27"/>
      <c r="L888" s="27"/>
      <c r="M888" s="27"/>
      <c r="N888" s="27"/>
      <c r="O888" s="27"/>
      <c r="P888" s="27"/>
      <c r="Q888" s="27"/>
      <c r="R888" s="27"/>
      <c r="S888" s="27"/>
      <c r="T888" s="27">
        <f>IF(LEFT(Control_Achizitii!$E888,4)="Fact",1,0)</f>
        <v>0</v>
      </c>
      <c r="U888" s="27">
        <f>IF(Control_Achizitii!$C888="",0,IF(ISNUMBER(Control_Achizitii!$B888),0,1))</f>
        <v>0</v>
      </c>
      <c r="V888" s="27">
        <f>IF(Control_Achizitii!$C888="",0,IF($Z$2&lt;&gt;"OK",0,IF(AND(ISNUMBER(Control_Achizitii!$B888),Control_Achizitii!$B888&gt;=$E$5,Control_Achizitii!$B888&lt;$J$5+1,OR($O$5="Toate proiectele",Control_Achizitii!$Q888=$O$5)),1,0)))</f>
        <v>0</v>
      </c>
      <c r="W888" s="27">
        <f>IF(AND(V888=1,OR(Control_Achizitii!$J888&lt;&gt;"DOSAR COMPLET",Control_Achizitii!$K888&lt;&gt;"")),ROW(),1000000000)</f>
        <v>1000000000</v>
      </c>
      <c r="X888" s="27">
        <f>IF(AND(V888=1,LEFT(Control_Achizitii!$E888,4)="Fact",NOT(ISNUMBER(Control_Achizitii!$P888))),1,0)</f>
        <v>0</v>
      </c>
      <c r="Y888" s="27">
        <f>IF(V888=0,0,IF(Control_Achizitii!$J888="DOSAR COMPLET",1,IF(LEFT(Control_Achizitii!$J888,9)="INCOMPLET",2,3)))</f>
        <v>0</v>
      </c>
      <c r="Z888" s="27"/>
      <c r="AA888" s="27"/>
      <c r="AB888" s="27"/>
      <c r="AC888" s="27"/>
      <c r="AD888" s="27"/>
      <c r="AE888" s="27"/>
      <c r="AF888" s="27"/>
      <c r="AG888" s="27"/>
      <c r="AH888" s="27">
        <f>IF(AND(V888=1,Control_Achizitii!$J888="DOSAR COMPLET",Control_Achizitii!$K888&lt;&gt;""),1,0)</f>
        <v>0</v>
      </c>
    </row>
    <row r="889" spans="1:34">
      <c r="A889" s="27"/>
      <c r="B889" s="27"/>
      <c r="C889" s="27"/>
      <c r="D889" s="27"/>
      <c r="E889" s="27"/>
      <c r="F889" s="27"/>
      <c r="G889" s="27"/>
      <c r="H889" s="27"/>
      <c r="I889" s="27"/>
      <c r="J889" s="27"/>
      <c r="K889" s="27"/>
      <c r="L889" s="27"/>
      <c r="M889" s="27"/>
      <c r="N889" s="27"/>
      <c r="O889" s="27"/>
      <c r="P889" s="27"/>
      <c r="Q889" s="27"/>
      <c r="R889" s="27"/>
      <c r="S889" s="27"/>
      <c r="T889" s="27">
        <f>IF(LEFT(Control_Achizitii!$E889,4)="Fact",1,0)</f>
        <v>0</v>
      </c>
      <c r="U889" s="27">
        <f>IF(Control_Achizitii!$C889="",0,IF(ISNUMBER(Control_Achizitii!$B889),0,1))</f>
        <v>0</v>
      </c>
      <c r="V889" s="27">
        <f>IF(Control_Achizitii!$C889="",0,IF($Z$2&lt;&gt;"OK",0,IF(AND(ISNUMBER(Control_Achizitii!$B889),Control_Achizitii!$B889&gt;=$E$5,Control_Achizitii!$B889&lt;$J$5+1,OR($O$5="Toate proiectele",Control_Achizitii!$Q889=$O$5)),1,0)))</f>
        <v>0</v>
      </c>
      <c r="W889" s="27">
        <f>IF(AND(V889=1,OR(Control_Achizitii!$J889&lt;&gt;"DOSAR COMPLET",Control_Achizitii!$K889&lt;&gt;"")),ROW(),1000000000)</f>
        <v>1000000000</v>
      </c>
      <c r="X889" s="27">
        <f>IF(AND(V889=1,LEFT(Control_Achizitii!$E889,4)="Fact",NOT(ISNUMBER(Control_Achizitii!$P889))),1,0)</f>
        <v>0</v>
      </c>
      <c r="Y889" s="27">
        <f>IF(V889=0,0,IF(Control_Achizitii!$J889="DOSAR COMPLET",1,IF(LEFT(Control_Achizitii!$J889,9)="INCOMPLET",2,3)))</f>
        <v>0</v>
      </c>
      <c r="Z889" s="27"/>
      <c r="AA889" s="27"/>
      <c r="AB889" s="27"/>
      <c r="AC889" s="27"/>
      <c r="AD889" s="27"/>
      <c r="AE889" s="27"/>
      <c r="AF889" s="27"/>
      <c r="AG889" s="27"/>
      <c r="AH889" s="27">
        <f>IF(AND(V889=1,Control_Achizitii!$J889="DOSAR COMPLET",Control_Achizitii!$K889&lt;&gt;""),1,0)</f>
        <v>0</v>
      </c>
    </row>
    <row r="890" spans="1:34">
      <c r="A890" s="27"/>
      <c r="B890" s="27"/>
      <c r="C890" s="27"/>
      <c r="D890" s="27"/>
      <c r="E890" s="27"/>
      <c r="F890" s="27"/>
      <c r="G890" s="27"/>
      <c r="H890" s="27"/>
      <c r="I890" s="27"/>
      <c r="J890" s="27"/>
      <c r="K890" s="27"/>
      <c r="L890" s="27"/>
      <c r="M890" s="27"/>
      <c r="N890" s="27"/>
      <c r="O890" s="27"/>
      <c r="P890" s="27"/>
      <c r="Q890" s="27"/>
      <c r="R890" s="27"/>
      <c r="S890" s="27"/>
      <c r="T890" s="27">
        <f>IF(LEFT(Control_Achizitii!$E890,4)="Fact",1,0)</f>
        <v>0</v>
      </c>
      <c r="U890" s="27">
        <f>IF(Control_Achizitii!$C890="",0,IF(ISNUMBER(Control_Achizitii!$B890),0,1))</f>
        <v>0</v>
      </c>
      <c r="V890" s="27">
        <f>IF(Control_Achizitii!$C890="",0,IF($Z$2&lt;&gt;"OK",0,IF(AND(ISNUMBER(Control_Achizitii!$B890),Control_Achizitii!$B890&gt;=$E$5,Control_Achizitii!$B890&lt;$J$5+1,OR($O$5="Toate proiectele",Control_Achizitii!$Q890=$O$5)),1,0)))</f>
        <v>0</v>
      </c>
      <c r="W890" s="27">
        <f>IF(AND(V890=1,OR(Control_Achizitii!$J890&lt;&gt;"DOSAR COMPLET",Control_Achizitii!$K890&lt;&gt;"")),ROW(),1000000000)</f>
        <v>1000000000</v>
      </c>
      <c r="X890" s="27">
        <f>IF(AND(V890=1,LEFT(Control_Achizitii!$E890,4)="Fact",NOT(ISNUMBER(Control_Achizitii!$P890))),1,0)</f>
        <v>0</v>
      </c>
      <c r="Y890" s="27">
        <f>IF(V890=0,0,IF(Control_Achizitii!$J890="DOSAR COMPLET",1,IF(LEFT(Control_Achizitii!$J890,9)="INCOMPLET",2,3)))</f>
        <v>0</v>
      </c>
      <c r="Z890" s="27"/>
      <c r="AA890" s="27"/>
      <c r="AB890" s="27"/>
      <c r="AC890" s="27"/>
      <c r="AD890" s="27"/>
      <c r="AE890" s="27"/>
      <c r="AF890" s="27"/>
      <c r="AG890" s="27"/>
      <c r="AH890" s="27">
        <f>IF(AND(V890=1,Control_Achizitii!$J890="DOSAR COMPLET",Control_Achizitii!$K890&lt;&gt;""),1,0)</f>
        <v>0</v>
      </c>
    </row>
    <row r="891" spans="1:34">
      <c r="A891" s="27"/>
      <c r="B891" s="27"/>
      <c r="C891" s="27"/>
      <c r="D891" s="27"/>
      <c r="E891" s="27"/>
      <c r="F891" s="27"/>
      <c r="G891" s="27"/>
      <c r="H891" s="27"/>
      <c r="I891" s="27"/>
      <c r="J891" s="27"/>
      <c r="K891" s="27"/>
      <c r="L891" s="27"/>
      <c r="M891" s="27"/>
      <c r="N891" s="27"/>
      <c r="O891" s="27"/>
      <c r="P891" s="27"/>
      <c r="Q891" s="27"/>
      <c r="R891" s="27"/>
      <c r="S891" s="27"/>
      <c r="T891" s="27">
        <f>IF(LEFT(Control_Achizitii!$E891,4)="Fact",1,0)</f>
        <v>0</v>
      </c>
      <c r="U891" s="27">
        <f>IF(Control_Achizitii!$C891="",0,IF(ISNUMBER(Control_Achizitii!$B891),0,1))</f>
        <v>0</v>
      </c>
      <c r="V891" s="27">
        <f>IF(Control_Achizitii!$C891="",0,IF($Z$2&lt;&gt;"OK",0,IF(AND(ISNUMBER(Control_Achizitii!$B891),Control_Achizitii!$B891&gt;=$E$5,Control_Achizitii!$B891&lt;$J$5+1,OR($O$5="Toate proiectele",Control_Achizitii!$Q891=$O$5)),1,0)))</f>
        <v>0</v>
      </c>
      <c r="W891" s="27">
        <f>IF(AND(V891=1,OR(Control_Achizitii!$J891&lt;&gt;"DOSAR COMPLET",Control_Achizitii!$K891&lt;&gt;"")),ROW(),1000000000)</f>
        <v>1000000000</v>
      </c>
      <c r="X891" s="27">
        <f>IF(AND(V891=1,LEFT(Control_Achizitii!$E891,4)="Fact",NOT(ISNUMBER(Control_Achizitii!$P891))),1,0)</f>
        <v>0</v>
      </c>
      <c r="Y891" s="27">
        <f>IF(V891=0,0,IF(Control_Achizitii!$J891="DOSAR COMPLET",1,IF(LEFT(Control_Achizitii!$J891,9)="INCOMPLET",2,3)))</f>
        <v>0</v>
      </c>
      <c r="Z891" s="27"/>
      <c r="AA891" s="27"/>
      <c r="AB891" s="27"/>
      <c r="AC891" s="27"/>
      <c r="AD891" s="27"/>
      <c r="AE891" s="27"/>
      <c r="AF891" s="27"/>
      <c r="AG891" s="27"/>
      <c r="AH891" s="27">
        <f>IF(AND(V891=1,Control_Achizitii!$J891="DOSAR COMPLET",Control_Achizitii!$K891&lt;&gt;""),1,0)</f>
        <v>0</v>
      </c>
    </row>
    <row r="892" spans="1:34">
      <c r="A892" s="27"/>
      <c r="B892" s="27"/>
      <c r="C892" s="27"/>
      <c r="D892" s="27"/>
      <c r="E892" s="27"/>
      <c r="F892" s="27"/>
      <c r="G892" s="27"/>
      <c r="H892" s="27"/>
      <c r="I892" s="27"/>
      <c r="J892" s="27"/>
      <c r="K892" s="27"/>
      <c r="L892" s="27"/>
      <c r="M892" s="27"/>
      <c r="N892" s="27"/>
      <c r="O892" s="27"/>
      <c r="P892" s="27"/>
      <c r="Q892" s="27"/>
      <c r="R892" s="27"/>
      <c r="S892" s="27"/>
      <c r="T892" s="27">
        <f>IF(LEFT(Control_Achizitii!$E892,4)="Fact",1,0)</f>
        <v>0</v>
      </c>
      <c r="U892" s="27">
        <f>IF(Control_Achizitii!$C892="",0,IF(ISNUMBER(Control_Achizitii!$B892),0,1))</f>
        <v>0</v>
      </c>
      <c r="V892" s="27">
        <f>IF(Control_Achizitii!$C892="",0,IF($Z$2&lt;&gt;"OK",0,IF(AND(ISNUMBER(Control_Achizitii!$B892),Control_Achizitii!$B892&gt;=$E$5,Control_Achizitii!$B892&lt;$J$5+1,OR($O$5="Toate proiectele",Control_Achizitii!$Q892=$O$5)),1,0)))</f>
        <v>0</v>
      </c>
      <c r="W892" s="27">
        <f>IF(AND(V892=1,OR(Control_Achizitii!$J892&lt;&gt;"DOSAR COMPLET",Control_Achizitii!$K892&lt;&gt;"")),ROW(),1000000000)</f>
        <v>1000000000</v>
      </c>
      <c r="X892" s="27">
        <f>IF(AND(V892=1,LEFT(Control_Achizitii!$E892,4)="Fact",NOT(ISNUMBER(Control_Achizitii!$P892))),1,0)</f>
        <v>0</v>
      </c>
      <c r="Y892" s="27">
        <f>IF(V892=0,0,IF(Control_Achizitii!$J892="DOSAR COMPLET",1,IF(LEFT(Control_Achizitii!$J892,9)="INCOMPLET",2,3)))</f>
        <v>0</v>
      </c>
      <c r="Z892" s="27"/>
      <c r="AA892" s="27"/>
      <c r="AB892" s="27"/>
      <c r="AC892" s="27"/>
      <c r="AD892" s="27"/>
      <c r="AE892" s="27"/>
      <c r="AF892" s="27"/>
      <c r="AG892" s="27"/>
      <c r="AH892" s="27">
        <f>IF(AND(V892=1,Control_Achizitii!$J892="DOSAR COMPLET",Control_Achizitii!$K892&lt;&gt;""),1,0)</f>
        <v>0</v>
      </c>
    </row>
    <row r="893" spans="1:34">
      <c r="A893" s="27"/>
      <c r="B893" s="27"/>
      <c r="C893" s="27"/>
      <c r="D893" s="27"/>
      <c r="E893" s="27"/>
      <c r="F893" s="27"/>
      <c r="G893" s="27"/>
      <c r="H893" s="27"/>
      <c r="I893" s="27"/>
      <c r="J893" s="27"/>
      <c r="K893" s="27"/>
      <c r="L893" s="27"/>
      <c r="M893" s="27"/>
      <c r="N893" s="27"/>
      <c r="O893" s="27"/>
      <c r="P893" s="27"/>
      <c r="Q893" s="27"/>
      <c r="R893" s="27"/>
      <c r="S893" s="27"/>
      <c r="T893" s="27">
        <f>IF(LEFT(Control_Achizitii!$E893,4)="Fact",1,0)</f>
        <v>0</v>
      </c>
      <c r="U893" s="27">
        <f>IF(Control_Achizitii!$C893="",0,IF(ISNUMBER(Control_Achizitii!$B893),0,1))</f>
        <v>0</v>
      </c>
      <c r="V893" s="27">
        <f>IF(Control_Achizitii!$C893="",0,IF($Z$2&lt;&gt;"OK",0,IF(AND(ISNUMBER(Control_Achizitii!$B893),Control_Achizitii!$B893&gt;=$E$5,Control_Achizitii!$B893&lt;$J$5+1,OR($O$5="Toate proiectele",Control_Achizitii!$Q893=$O$5)),1,0)))</f>
        <v>0</v>
      </c>
      <c r="W893" s="27">
        <f>IF(AND(V893=1,OR(Control_Achizitii!$J893&lt;&gt;"DOSAR COMPLET",Control_Achizitii!$K893&lt;&gt;"")),ROW(),1000000000)</f>
        <v>1000000000</v>
      </c>
      <c r="X893" s="27">
        <f>IF(AND(V893=1,LEFT(Control_Achizitii!$E893,4)="Fact",NOT(ISNUMBER(Control_Achizitii!$P893))),1,0)</f>
        <v>0</v>
      </c>
      <c r="Y893" s="27">
        <f>IF(V893=0,0,IF(Control_Achizitii!$J893="DOSAR COMPLET",1,IF(LEFT(Control_Achizitii!$J893,9)="INCOMPLET",2,3)))</f>
        <v>0</v>
      </c>
      <c r="Z893" s="27"/>
      <c r="AA893" s="27"/>
      <c r="AB893" s="27"/>
      <c r="AC893" s="27"/>
      <c r="AD893" s="27"/>
      <c r="AE893" s="27"/>
      <c r="AF893" s="27"/>
      <c r="AG893" s="27"/>
      <c r="AH893" s="27">
        <f>IF(AND(V893=1,Control_Achizitii!$J893="DOSAR COMPLET",Control_Achizitii!$K893&lt;&gt;""),1,0)</f>
        <v>0</v>
      </c>
    </row>
    <row r="894" spans="1:34">
      <c r="A894" s="27"/>
      <c r="B894" s="27"/>
      <c r="C894" s="27"/>
      <c r="D894" s="27"/>
      <c r="E894" s="27"/>
      <c r="F894" s="27"/>
      <c r="G894" s="27"/>
      <c r="H894" s="27"/>
      <c r="I894" s="27"/>
      <c r="J894" s="27"/>
      <c r="K894" s="27"/>
      <c r="L894" s="27"/>
      <c r="M894" s="27"/>
      <c r="N894" s="27"/>
      <c r="O894" s="27"/>
      <c r="P894" s="27"/>
      <c r="Q894" s="27"/>
      <c r="R894" s="27"/>
      <c r="S894" s="27"/>
      <c r="T894" s="27">
        <f>IF(LEFT(Control_Achizitii!$E894,4)="Fact",1,0)</f>
        <v>0</v>
      </c>
      <c r="U894" s="27">
        <f>IF(Control_Achizitii!$C894="",0,IF(ISNUMBER(Control_Achizitii!$B894),0,1))</f>
        <v>0</v>
      </c>
      <c r="V894" s="27">
        <f>IF(Control_Achizitii!$C894="",0,IF($Z$2&lt;&gt;"OK",0,IF(AND(ISNUMBER(Control_Achizitii!$B894),Control_Achizitii!$B894&gt;=$E$5,Control_Achizitii!$B894&lt;$J$5+1,OR($O$5="Toate proiectele",Control_Achizitii!$Q894=$O$5)),1,0)))</f>
        <v>0</v>
      </c>
      <c r="W894" s="27">
        <f>IF(AND(V894=1,OR(Control_Achizitii!$J894&lt;&gt;"DOSAR COMPLET",Control_Achizitii!$K894&lt;&gt;"")),ROW(),1000000000)</f>
        <v>1000000000</v>
      </c>
      <c r="X894" s="27">
        <f>IF(AND(V894=1,LEFT(Control_Achizitii!$E894,4)="Fact",NOT(ISNUMBER(Control_Achizitii!$P894))),1,0)</f>
        <v>0</v>
      </c>
      <c r="Y894" s="27">
        <f>IF(V894=0,0,IF(Control_Achizitii!$J894="DOSAR COMPLET",1,IF(LEFT(Control_Achizitii!$J894,9)="INCOMPLET",2,3)))</f>
        <v>0</v>
      </c>
      <c r="Z894" s="27"/>
      <c r="AA894" s="27"/>
      <c r="AB894" s="27"/>
      <c r="AC894" s="27"/>
      <c r="AD894" s="27"/>
      <c r="AE894" s="27"/>
      <c r="AF894" s="27"/>
      <c r="AG894" s="27"/>
      <c r="AH894" s="27">
        <f>IF(AND(V894=1,Control_Achizitii!$J894="DOSAR COMPLET",Control_Achizitii!$K894&lt;&gt;""),1,0)</f>
        <v>0</v>
      </c>
    </row>
    <row r="895" spans="1:34">
      <c r="A895" s="27"/>
      <c r="B895" s="27"/>
      <c r="C895" s="27"/>
      <c r="D895" s="27"/>
      <c r="E895" s="27"/>
      <c r="F895" s="27"/>
      <c r="G895" s="27"/>
      <c r="H895" s="27"/>
      <c r="I895" s="27"/>
      <c r="J895" s="27"/>
      <c r="K895" s="27"/>
      <c r="L895" s="27"/>
      <c r="M895" s="27"/>
      <c r="N895" s="27"/>
      <c r="O895" s="27"/>
      <c r="P895" s="27"/>
      <c r="Q895" s="27"/>
      <c r="R895" s="27"/>
      <c r="S895" s="27"/>
      <c r="T895" s="27">
        <f>IF(LEFT(Control_Achizitii!$E895,4)="Fact",1,0)</f>
        <v>0</v>
      </c>
      <c r="U895" s="27">
        <f>IF(Control_Achizitii!$C895="",0,IF(ISNUMBER(Control_Achizitii!$B895),0,1))</f>
        <v>0</v>
      </c>
      <c r="V895" s="27">
        <f>IF(Control_Achizitii!$C895="",0,IF($Z$2&lt;&gt;"OK",0,IF(AND(ISNUMBER(Control_Achizitii!$B895),Control_Achizitii!$B895&gt;=$E$5,Control_Achizitii!$B895&lt;$J$5+1,OR($O$5="Toate proiectele",Control_Achizitii!$Q895=$O$5)),1,0)))</f>
        <v>0</v>
      </c>
      <c r="W895" s="27">
        <f>IF(AND(V895=1,OR(Control_Achizitii!$J895&lt;&gt;"DOSAR COMPLET",Control_Achizitii!$K895&lt;&gt;"")),ROW(),1000000000)</f>
        <v>1000000000</v>
      </c>
      <c r="X895" s="27">
        <f>IF(AND(V895=1,LEFT(Control_Achizitii!$E895,4)="Fact",NOT(ISNUMBER(Control_Achizitii!$P895))),1,0)</f>
        <v>0</v>
      </c>
      <c r="Y895" s="27">
        <f>IF(V895=0,0,IF(Control_Achizitii!$J895="DOSAR COMPLET",1,IF(LEFT(Control_Achizitii!$J895,9)="INCOMPLET",2,3)))</f>
        <v>0</v>
      </c>
      <c r="Z895" s="27"/>
      <c r="AA895" s="27"/>
      <c r="AB895" s="27"/>
      <c r="AC895" s="27"/>
      <c r="AD895" s="27"/>
      <c r="AE895" s="27"/>
      <c r="AF895" s="27"/>
      <c r="AG895" s="27"/>
      <c r="AH895" s="27">
        <f>IF(AND(V895=1,Control_Achizitii!$J895="DOSAR COMPLET",Control_Achizitii!$K895&lt;&gt;""),1,0)</f>
        <v>0</v>
      </c>
    </row>
    <row r="896" spans="1:34">
      <c r="A896" s="27"/>
      <c r="B896" s="27"/>
      <c r="C896" s="27"/>
      <c r="D896" s="27"/>
      <c r="E896" s="27"/>
      <c r="F896" s="27"/>
      <c r="G896" s="27"/>
      <c r="H896" s="27"/>
      <c r="I896" s="27"/>
      <c r="J896" s="27"/>
      <c r="K896" s="27"/>
      <c r="L896" s="27"/>
      <c r="M896" s="27"/>
      <c r="N896" s="27"/>
      <c r="O896" s="27"/>
      <c r="P896" s="27"/>
      <c r="Q896" s="27"/>
      <c r="R896" s="27"/>
      <c r="S896" s="27"/>
      <c r="T896" s="27">
        <f>IF(LEFT(Control_Achizitii!$E896,4)="Fact",1,0)</f>
        <v>0</v>
      </c>
      <c r="U896" s="27">
        <f>IF(Control_Achizitii!$C896="",0,IF(ISNUMBER(Control_Achizitii!$B896),0,1))</f>
        <v>0</v>
      </c>
      <c r="V896" s="27">
        <f>IF(Control_Achizitii!$C896="",0,IF($Z$2&lt;&gt;"OK",0,IF(AND(ISNUMBER(Control_Achizitii!$B896),Control_Achizitii!$B896&gt;=$E$5,Control_Achizitii!$B896&lt;$J$5+1,OR($O$5="Toate proiectele",Control_Achizitii!$Q896=$O$5)),1,0)))</f>
        <v>0</v>
      </c>
      <c r="W896" s="27">
        <f>IF(AND(V896=1,OR(Control_Achizitii!$J896&lt;&gt;"DOSAR COMPLET",Control_Achizitii!$K896&lt;&gt;"")),ROW(),1000000000)</f>
        <v>1000000000</v>
      </c>
      <c r="X896" s="27">
        <f>IF(AND(V896=1,LEFT(Control_Achizitii!$E896,4)="Fact",NOT(ISNUMBER(Control_Achizitii!$P896))),1,0)</f>
        <v>0</v>
      </c>
      <c r="Y896" s="27">
        <f>IF(V896=0,0,IF(Control_Achizitii!$J896="DOSAR COMPLET",1,IF(LEFT(Control_Achizitii!$J896,9)="INCOMPLET",2,3)))</f>
        <v>0</v>
      </c>
      <c r="Z896" s="27"/>
      <c r="AA896" s="27"/>
      <c r="AB896" s="27"/>
      <c r="AC896" s="27"/>
      <c r="AD896" s="27"/>
      <c r="AE896" s="27"/>
      <c r="AF896" s="27"/>
      <c r="AG896" s="27"/>
      <c r="AH896" s="27">
        <f>IF(AND(V896=1,Control_Achizitii!$J896="DOSAR COMPLET",Control_Achizitii!$K896&lt;&gt;""),1,0)</f>
        <v>0</v>
      </c>
    </row>
    <row r="897" spans="1:34">
      <c r="A897" s="27"/>
      <c r="B897" s="27"/>
      <c r="C897" s="27"/>
      <c r="D897" s="27"/>
      <c r="E897" s="27"/>
      <c r="F897" s="27"/>
      <c r="G897" s="27"/>
      <c r="H897" s="27"/>
      <c r="I897" s="27"/>
      <c r="J897" s="27"/>
      <c r="K897" s="27"/>
      <c r="L897" s="27"/>
      <c r="M897" s="27"/>
      <c r="N897" s="27"/>
      <c r="O897" s="27"/>
      <c r="P897" s="27"/>
      <c r="Q897" s="27"/>
      <c r="R897" s="27"/>
      <c r="S897" s="27"/>
      <c r="T897" s="27">
        <f>IF(LEFT(Control_Achizitii!$E897,4)="Fact",1,0)</f>
        <v>0</v>
      </c>
      <c r="U897" s="27">
        <f>IF(Control_Achizitii!$C897="",0,IF(ISNUMBER(Control_Achizitii!$B897),0,1))</f>
        <v>0</v>
      </c>
      <c r="V897" s="27">
        <f>IF(Control_Achizitii!$C897="",0,IF($Z$2&lt;&gt;"OK",0,IF(AND(ISNUMBER(Control_Achizitii!$B897),Control_Achizitii!$B897&gt;=$E$5,Control_Achizitii!$B897&lt;$J$5+1,OR($O$5="Toate proiectele",Control_Achizitii!$Q897=$O$5)),1,0)))</f>
        <v>0</v>
      </c>
      <c r="W897" s="27">
        <f>IF(AND(V897=1,OR(Control_Achizitii!$J897&lt;&gt;"DOSAR COMPLET",Control_Achizitii!$K897&lt;&gt;"")),ROW(),1000000000)</f>
        <v>1000000000</v>
      </c>
      <c r="X897" s="27">
        <f>IF(AND(V897=1,LEFT(Control_Achizitii!$E897,4)="Fact",NOT(ISNUMBER(Control_Achizitii!$P897))),1,0)</f>
        <v>0</v>
      </c>
      <c r="Y897" s="27">
        <f>IF(V897=0,0,IF(Control_Achizitii!$J897="DOSAR COMPLET",1,IF(LEFT(Control_Achizitii!$J897,9)="INCOMPLET",2,3)))</f>
        <v>0</v>
      </c>
      <c r="Z897" s="27"/>
      <c r="AA897" s="27"/>
      <c r="AB897" s="27"/>
      <c r="AC897" s="27"/>
      <c r="AD897" s="27"/>
      <c r="AE897" s="27"/>
      <c r="AF897" s="27"/>
      <c r="AG897" s="27"/>
      <c r="AH897" s="27">
        <f>IF(AND(V897=1,Control_Achizitii!$J897="DOSAR COMPLET",Control_Achizitii!$K897&lt;&gt;""),1,0)</f>
        <v>0</v>
      </c>
    </row>
    <row r="898" spans="1:34">
      <c r="A898" s="27"/>
      <c r="B898" s="27"/>
      <c r="C898" s="27"/>
      <c r="D898" s="27"/>
      <c r="E898" s="27"/>
      <c r="F898" s="27"/>
      <c r="G898" s="27"/>
      <c r="H898" s="27"/>
      <c r="I898" s="27"/>
      <c r="J898" s="27"/>
      <c r="K898" s="27"/>
      <c r="L898" s="27"/>
      <c r="M898" s="27"/>
      <c r="N898" s="27"/>
      <c r="O898" s="27"/>
      <c r="P898" s="27"/>
      <c r="Q898" s="27"/>
      <c r="R898" s="27"/>
      <c r="S898" s="27"/>
      <c r="T898" s="27">
        <f>IF(LEFT(Control_Achizitii!$E898,4)="Fact",1,0)</f>
        <v>0</v>
      </c>
      <c r="U898" s="27">
        <f>IF(Control_Achizitii!$C898="",0,IF(ISNUMBER(Control_Achizitii!$B898),0,1))</f>
        <v>0</v>
      </c>
      <c r="V898" s="27">
        <f>IF(Control_Achizitii!$C898="",0,IF($Z$2&lt;&gt;"OK",0,IF(AND(ISNUMBER(Control_Achizitii!$B898),Control_Achizitii!$B898&gt;=$E$5,Control_Achizitii!$B898&lt;$J$5+1,OR($O$5="Toate proiectele",Control_Achizitii!$Q898=$O$5)),1,0)))</f>
        <v>0</v>
      </c>
      <c r="W898" s="27">
        <f>IF(AND(V898=1,OR(Control_Achizitii!$J898&lt;&gt;"DOSAR COMPLET",Control_Achizitii!$K898&lt;&gt;"")),ROW(),1000000000)</f>
        <v>1000000000</v>
      </c>
      <c r="X898" s="27">
        <f>IF(AND(V898=1,LEFT(Control_Achizitii!$E898,4)="Fact",NOT(ISNUMBER(Control_Achizitii!$P898))),1,0)</f>
        <v>0</v>
      </c>
      <c r="Y898" s="27">
        <f>IF(V898=0,0,IF(Control_Achizitii!$J898="DOSAR COMPLET",1,IF(LEFT(Control_Achizitii!$J898,9)="INCOMPLET",2,3)))</f>
        <v>0</v>
      </c>
      <c r="Z898" s="27"/>
      <c r="AA898" s="27"/>
      <c r="AB898" s="27"/>
      <c r="AC898" s="27"/>
      <c r="AD898" s="27"/>
      <c r="AE898" s="27"/>
      <c r="AF898" s="27"/>
      <c r="AG898" s="27"/>
      <c r="AH898" s="27">
        <f>IF(AND(V898=1,Control_Achizitii!$J898="DOSAR COMPLET",Control_Achizitii!$K898&lt;&gt;""),1,0)</f>
        <v>0</v>
      </c>
    </row>
    <row r="899" spans="1:34">
      <c r="A899" s="27"/>
      <c r="B899" s="27"/>
      <c r="C899" s="27"/>
      <c r="D899" s="27"/>
      <c r="E899" s="27"/>
      <c r="F899" s="27"/>
      <c r="G899" s="27"/>
      <c r="H899" s="27"/>
      <c r="I899" s="27"/>
      <c r="J899" s="27"/>
      <c r="K899" s="27"/>
      <c r="L899" s="27"/>
      <c r="M899" s="27"/>
      <c r="N899" s="27"/>
      <c r="O899" s="27"/>
      <c r="P899" s="27"/>
      <c r="Q899" s="27"/>
      <c r="R899" s="27"/>
      <c r="S899" s="27"/>
      <c r="T899" s="27">
        <f>IF(LEFT(Control_Achizitii!$E899,4)="Fact",1,0)</f>
        <v>0</v>
      </c>
      <c r="U899" s="27">
        <f>IF(Control_Achizitii!$C899="",0,IF(ISNUMBER(Control_Achizitii!$B899),0,1))</f>
        <v>0</v>
      </c>
      <c r="V899" s="27">
        <f>IF(Control_Achizitii!$C899="",0,IF($Z$2&lt;&gt;"OK",0,IF(AND(ISNUMBER(Control_Achizitii!$B899),Control_Achizitii!$B899&gt;=$E$5,Control_Achizitii!$B899&lt;$J$5+1,OR($O$5="Toate proiectele",Control_Achizitii!$Q899=$O$5)),1,0)))</f>
        <v>0</v>
      </c>
      <c r="W899" s="27">
        <f>IF(AND(V899=1,OR(Control_Achizitii!$J899&lt;&gt;"DOSAR COMPLET",Control_Achizitii!$K899&lt;&gt;"")),ROW(),1000000000)</f>
        <v>1000000000</v>
      </c>
      <c r="X899" s="27">
        <f>IF(AND(V899=1,LEFT(Control_Achizitii!$E899,4)="Fact",NOT(ISNUMBER(Control_Achizitii!$P899))),1,0)</f>
        <v>0</v>
      </c>
      <c r="Y899" s="27">
        <f>IF(V899=0,0,IF(Control_Achizitii!$J899="DOSAR COMPLET",1,IF(LEFT(Control_Achizitii!$J899,9)="INCOMPLET",2,3)))</f>
        <v>0</v>
      </c>
      <c r="Z899" s="27"/>
      <c r="AA899" s="27"/>
      <c r="AB899" s="27"/>
      <c r="AC899" s="27"/>
      <c r="AD899" s="27"/>
      <c r="AE899" s="27"/>
      <c r="AF899" s="27"/>
      <c r="AG899" s="27"/>
      <c r="AH899" s="27">
        <f>IF(AND(V899=1,Control_Achizitii!$J899="DOSAR COMPLET",Control_Achizitii!$K899&lt;&gt;""),1,0)</f>
        <v>0</v>
      </c>
    </row>
    <row r="900" spans="1:34">
      <c r="A900" s="27"/>
      <c r="B900" s="27"/>
      <c r="C900" s="27"/>
      <c r="D900" s="27"/>
      <c r="E900" s="27"/>
      <c r="F900" s="27"/>
      <c r="G900" s="27"/>
      <c r="H900" s="27"/>
      <c r="I900" s="27"/>
      <c r="J900" s="27"/>
      <c r="K900" s="27"/>
      <c r="L900" s="27"/>
      <c r="M900" s="27"/>
      <c r="N900" s="27"/>
      <c r="O900" s="27"/>
      <c r="P900" s="27"/>
      <c r="Q900" s="27"/>
      <c r="R900" s="27"/>
      <c r="S900" s="27"/>
      <c r="T900" s="27">
        <f>IF(LEFT(Control_Achizitii!$E900,4)="Fact",1,0)</f>
        <v>0</v>
      </c>
      <c r="U900" s="27">
        <f>IF(Control_Achizitii!$C900="",0,IF(ISNUMBER(Control_Achizitii!$B900),0,1))</f>
        <v>0</v>
      </c>
      <c r="V900" s="27">
        <f>IF(Control_Achizitii!$C900="",0,IF($Z$2&lt;&gt;"OK",0,IF(AND(ISNUMBER(Control_Achizitii!$B900),Control_Achizitii!$B900&gt;=$E$5,Control_Achizitii!$B900&lt;$J$5+1,OR($O$5="Toate proiectele",Control_Achizitii!$Q900=$O$5)),1,0)))</f>
        <v>0</v>
      </c>
      <c r="W900" s="27">
        <f>IF(AND(V900=1,OR(Control_Achizitii!$J900&lt;&gt;"DOSAR COMPLET",Control_Achizitii!$K900&lt;&gt;"")),ROW(),1000000000)</f>
        <v>1000000000</v>
      </c>
      <c r="X900" s="27">
        <f>IF(AND(V900=1,LEFT(Control_Achizitii!$E900,4)="Fact",NOT(ISNUMBER(Control_Achizitii!$P900))),1,0)</f>
        <v>0</v>
      </c>
      <c r="Y900" s="27">
        <f>IF(V900=0,0,IF(Control_Achizitii!$J900="DOSAR COMPLET",1,IF(LEFT(Control_Achizitii!$J900,9)="INCOMPLET",2,3)))</f>
        <v>0</v>
      </c>
      <c r="Z900" s="27"/>
      <c r="AA900" s="27"/>
      <c r="AB900" s="27"/>
      <c r="AC900" s="27"/>
      <c r="AD900" s="27"/>
      <c r="AE900" s="27"/>
      <c r="AF900" s="27"/>
      <c r="AG900" s="27"/>
      <c r="AH900" s="27">
        <f>IF(AND(V900=1,Control_Achizitii!$J900="DOSAR COMPLET",Control_Achizitii!$K900&lt;&gt;""),1,0)</f>
        <v>0</v>
      </c>
    </row>
    <row r="901" spans="1:34">
      <c r="A901" s="27"/>
      <c r="B901" s="27"/>
      <c r="C901" s="27"/>
      <c r="D901" s="27"/>
      <c r="E901" s="27"/>
      <c r="F901" s="27"/>
      <c r="G901" s="27"/>
      <c r="H901" s="27"/>
      <c r="I901" s="27"/>
      <c r="J901" s="27"/>
      <c r="K901" s="27"/>
      <c r="L901" s="27"/>
      <c r="M901" s="27"/>
      <c r="N901" s="27"/>
      <c r="O901" s="27"/>
      <c r="P901" s="27"/>
      <c r="Q901" s="27"/>
      <c r="R901" s="27"/>
      <c r="S901" s="27"/>
      <c r="T901" s="27">
        <f>IF(LEFT(Control_Achizitii!$E901,4)="Fact",1,0)</f>
        <v>0</v>
      </c>
      <c r="U901" s="27">
        <f>IF(Control_Achizitii!$C901="",0,IF(ISNUMBER(Control_Achizitii!$B901),0,1))</f>
        <v>0</v>
      </c>
      <c r="V901" s="27">
        <f>IF(Control_Achizitii!$C901="",0,IF($Z$2&lt;&gt;"OK",0,IF(AND(ISNUMBER(Control_Achizitii!$B901),Control_Achizitii!$B901&gt;=$E$5,Control_Achizitii!$B901&lt;$J$5+1,OR($O$5="Toate proiectele",Control_Achizitii!$Q901=$O$5)),1,0)))</f>
        <v>0</v>
      </c>
      <c r="W901" s="27">
        <f>IF(AND(V901=1,OR(Control_Achizitii!$J901&lt;&gt;"DOSAR COMPLET",Control_Achizitii!$K901&lt;&gt;"")),ROW(),1000000000)</f>
        <v>1000000000</v>
      </c>
      <c r="X901" s="27">
        <f>IF(AND(V901=1,LEFT(Control_Achizitii!$E901,4)="Fact",NOT(ISNUMBER(Control_Achizitii!$P901))),1,0)</f>
        <v>0</v>
      </c>
      <c r="Y901" s="27">
        <f>IF(V901=0,0,IF(Control_Achizitii!$J901="DOSAR COMPLET",1,IF(LEFT(Control_Achizitii!$J901,9)="INCOMPLET",2,3)))</f>
        <v>0</v>
      </c>
      <c r="Z901" s="27"/>
      <c r="AA901" s="27"/>
      <c r="AB901" s="27"/>
      <c r="AC901" s="27"/>
      <c r="AD901" s="27"/>
      <c r="AE901" s="27"/>
      <c r="AF901" s="27"/>
      <c r="AG901" s="27"/>
      <c r="AH901" s="27">
        <f>IF(AND(V901=1,Control_Achizitii!$J901="DOSAR COMPLET",Control_Achizitii!$K901&lt;&gt;""),1,0)</f>
        <v>0</v>
      </c>
    </row>
    <row r="902" spans="1:34">
      <c r="A902" s="27"/>
      <c r="B902" s="27"/>
      <c r="C902" s="27"/>
      <c r="D902" s="27"/>
      <c r="E902" s="27"/>
      <c r="F902" s="27"/>
      <c r="G902" s="27"/>
      <c r="H902" s="27"/>
      <c r="I902" s="27"/>
      <c r="J902" s="27"/>
      <c r="K902" s="27"/>
      <c r="L902" s="27"/>
      <c r="M902" s="27"/>
      <c r="N902" s="27"/>
      <c r="O902" s="27"/>
      <c r="P902" s="27"/>
      <c r="Q902" s="27"/>
      <c r="R902" s="27"/>
      <c r="S902" s="27"/>
      <c r="T902" s="27">
        <f>IF(LEFT(Control_Achizitii!$E902,4)="Fact",1,0)</f>
        <v>0</v>
      </c>
      <c r="U902" s="27">
        <f>IF(Control_Achizitii!$C902="",0,IF(ISNUMBER(Control_Achizitii!$B902),0,1))</f>
        <v>0</v>
      </c>
      <c r="V902" s="27">
        <f>IF(Control_Achizitii!$C902="",0,IF($Z$2&lt;&gt;"OK",0,IF(AND(ISNUMBER(Control_Achizitii!$B902),Control_Achizitii!$B902&gt;=$E$5,Control_Achizitii!$B902&lt;$J$5+1,OR($O$5="Toate proiectele",Control_Achizitii!$Q902=$O$5)),1,0)))</f>
        <v>0</v>
      </c>
      <c r="W902" s="27">
        <f>IF(AND(V902=1,OR(Control_Achizitii!$J902&lt;&gt;"DOSAR COMPLET",Control_Achizitii!$K902&lt;&gt;"")),ROW(),1000000000)</f>
        <v>1000000000</v>
      </c>
      <c r="X902" s="27">
        <f>IF(AND(V902=1,LEFT(Control_Achizitii!$E902,4)="Fact",NOT(ISNUMBER(Control_Achizitii!$P902))),1,0)</f>
        <v>0</v>
      </c>
      <c r="Y902" s="27">
        <f>IF(V902=0,0,IF(Control_Achizitii!$J902="DOSAR COMPLET",1,IF(LEFT(Control_Achizitii!$J902,9)="INCOMPLET",2,3)))</f>
        <v>0</v>
      </c>
      <c r="Z902" s="27"/>
      <c r="AA902" s="27"/>
      <c r="AB902" s="27"/>
      <c r="AC902" s="27"/>
      <c r="AD902" s="27"/>
      <c r="AE902" s="27"/>
      <c r="AF902" s="27"/>
      <c r="AG902" s="27"/>
      <c r="AH902" s="27">
        <f>IF(AND(V902=1,Control_Achizitii!$J902="DOSAR COMPLET",Control_Achizitii!$K902&lt;&gt;""),1,0)</f>
        <v>0</v>
      </c>
    </row>
    <row r="903" spans="1:34">
      <c r="A903" s="27"/>
      <c r="B903" s="27"/>
      <c r="C903" s="27"/>
      <c r="D903" s="27"/>
      <c r="E903" s="27"/>
      <c r="F903" s="27"/>
      <c r="G903" s="27"/>
      <c r="H903" s="27"/>
      <c r="I903" s="27"/>
      <c r="J903" s="27"/>
      <c r="K903" s="27"/>
      <c r="L903" s="27"/>
      <c r="M903" s="27"/>
      <c r="N903" s="27"/>
      <c r="O903" s="27"/>
      <c r="P903" s="27"/>
      <c r="Q903" s="27"/>
      <c r="R903" s="27"/>
      <c r="S903" s="27"/>
      <c r="T903" s="27">
        <f>IF(LEFT(Control_Achizitii!$E903,4)="Fact",1,0)</f>
        <v>0</v>
      </c>
      <c r="U903" s="27">
        <f>IF(Control_Achizitii!$C903="",0,IF(ISNUMBER(Control_Achizitii!$B903),0,1))</f>
        <v>0</v>
      </c>
      <c r="V903" s="27">
        <f>IF(Control_Achizitii!$C903="",0,IF($Z$2&lt;&gt;"OK",0,IF(AND(ISNUMBER(Control_Achizitii!$B903),Control_Achizitii!$B903&gt;=$E$5,Control_Achizitii!$B903&lt;$J$5+1,OR($O$5="Toate proiectele",Control_Achizitii!$Q903=$O$5)),1,0)))</f>
        <v>0</v>
      </c>
      <c r="W903" s="27">
        <f>IF(AND(V903=1,OR(Control_Achizitii!$J903&lt;&gt;"DOSAR COMPLET",Control_Achizitii!$K903&lt;&gt;"")),ROW(),1000000000)</f>
        <v>1000000000</v>
      </c>
      <c r="X903" s="27">
        <f>IF(AND(V903=1,LEFT(Control_Achizitii!$E903,4)="Fact",NOT(ISNUMBER(Control_Achizitii!$P903))),1,0)</f>
        <v>0</v>
      </c>
      <c r="Y903" s="27">
        <f>IF(V903=0,0,IF(Control_Achizitii!$J903="DOSAR COMPLET",1,IF(LEFT(Control_Achizitii!$J903,9)="INCOMPLET",2,3)))</f>
        <v>0</v>
      </c>
      <c r="Z903" s="27"/>
      <c r="AA903" s="27"/>
      <c r="AB903" s="27"/>
      <c r="AC903" s="27"/>
      <c r="AD903" s="27"/>
      <c r="AE903" s="27"/>
      <c r="AF903" s="27"/>
      <c r="AG903" s="27"/>
      <c r="AH903" s="27">
        <f>IF(AND(V903=1,Control_Achizitii!$J903="DOSAR COMPLET",Control_Achizitii!$K903&lt;&gt;""),1,0)</f>
        <v>0</v>
      </c>
    </row>
    <row r="904" spans="1:34">
      <c r="A904" s="27"/>
      <c r="B904" s="27"/>
      <c r="C904" s="27"/>
      <c r="D904" s="27"/>
      <c r="E904" s="27"/>
      <c r="F904" s="27"/>
      <c r="G904" s="27"/>
      <c r="H904" s="27"/>
      <c r="I904" s="27"/>
      <c r="J904" s="27"/>
      <c r="K904" s="27"/>
      <c r="L904" s="27"/>
      <c r="M904" s="27"/>
      <c r="N904" s="27"/>
      <c r="O904" s="27"/>
      <c r="P904" s="27"/>
      <c r="Q904" s="27"/>
      <c r="R904" s="27"/>
      <c r="S904" s="27"/>
      <c r="T904" s="27">
        <f>IF(LEFT(Control_Achizitii!$E904,4)="Fact",1,0)</f>
        <v>0</v>
      </c>
      <c r="U904" s="27">
        <f>IF(Control_Achizitii!$C904="",0,IF(ISNUMBER(Control_Achizitii!$B904),0,1))</f>
        <v>0</v>
      </c>
      <c r="V904" s="27">
        <f>IF(Control_Achizitii!$C904="",0,IF($Z$2&lt;&gt;"OK",0,IF(AND(ISNUMBER(Control_Achizitii!$B904),Control_Achizitii!$B904&gt;=$E$5,Control_Achizitii!$B904&lt;$J$5+1,OR($O$5="Toate proiectele",Control_Achizitii!$Q904=$O$5)),1,0)))</f>
        <v>0</v>
      </c>
      <c r="W904" s="27">
        <f>IF(AND(V904=1,OR(Control_Achizitii!$J904&lt;&gt;"DOSAR COMPLET",Control_Achizitii!$K904&lt;&gt;"")),ROW(),1000000000)</f>
        <v>1000000000</v>
      </c>
      <c r="X904" s="27">
        <f>IF(AND(V904=1,LEFT(Control_Achizitii!$E904,4)="Fact",NOT(ISNUMBER(Control_Achizitii!$P904))),1,0)</f>
        <v>0</v>
      </c>
      <c r="Y904" s="27">
        <f>IF(V904=0,0,IF(Control_Achizitii!$J904="DOSAR COMPLET",1,IF(LEFT(Control_Achizitii!$J904,9)="INCOMPLET",2,3)))</f>
        <v>0</v>
      </c>
      <c r="Z904" s="27"/>
      <c r="AA904" s="27"/>
      <c r="AB904" s="27"/>
      <c r="AC904" s="27"/>
      <c r="AD904" s="27"/>
      <c r="AE904" s="27"/>
      <c r="AF904" s="27"/>
      <c r="AG904" s="27"/>
      <c r="AH904" s="27">
        <f>IF(AND(V904=1,Control_Achizitii!$J904="DOSAR COMPLET",Control_Achizitii!$K904&lt;&gt;""),1,0)</f>
        <v>0</v>
      </c>
    </row>
    <row r="905" spans="1:34">
      <c r="A905" s="27"/>
      <c r="B905" s="27"/>
      <c r="C905" s="27"/>
      <c r="D905" s="27"/>
      <c r="E905" s="27"/>
      <c r="F905" s="27"/>
      <c r="G905" s="27"/>
      <c r="H905" s="27"/>
      <c r="I905" s="27"/>
      <c r="J905" s="27"/>
      <c r="K905" s="27"/>
      <c r="L905" s="27"/>
      <c r="M905" s="27"/>
      <c r="N905" s="27"/>
      <c r="O905" s="27"/>
      <c r="P905" s="27"/>
      <c r="Q905" s="27"/>
      <c r="R905" s="27"/>
      <c r="S905" s="27"/>
      <c r="T905" s="27">
        <f>IF(LEFT(Control_Achizitii!$E905,4)="Fact",1,0)</f>
        <v>0</v>
      </c>
      <c r="U905" s="27">
        <f>IF(Control_Achizitii!$C905="",0,IF(ISNUMBER(Control_Achizitii!$B905),0,1))</f>
        <v>0</v>
      </c>
      <c r="V905" s="27">
        <f>IF(Control_Achizitii!$C905="",0,IF($Z$2&lt;&gt;"OK",0,IF(AND(ISNUMBER(Control_Achizitii!$B905),Control_Achizitii!$B905&gt;=$E$5,Control_Achizitii!$B905&lt;$J$5+1,OR($O$5="Toate proiectele",Control_Achizitii!$Q905=$O$5)),1,0)))</f>
        <v>0</v>
      </c>
      <c r="W905" s="27">
        <f>IF(AND(V905=1,OR(Control_Achizitii!$J905&lt;&gt;"DOSAR COMPLET",Control_Achizitii!$K905&lt;&gt;"")),ROW(),1000000000)</f>
        <v>1000000000</v>
      </c>
      <c r="X905" s="27">
        <f>IF(AND(V905=1,LEFT(Control_Achizitii!$E905,4)="Fact",NOT(ISNUMBER(Control_Achizitii!$P905))),1,0)</f>
        <v>0</v>
      </c>
      <c r="Y905" s="27">
        <f>IF(V905=0,0,IF(Control_Achizitii!$J905="DOSAR COMPLET",1,IF(LEFT(Control_Achizitii!$J905,9)="INCOMPLET",2,3)))</f>
        <v>0</v>
      </c>
      <c r="Z905" s="27"/>
      <c r="AA905" s="27"/>
      <c r="AB905" s="27"/>
      <c r="AC905" s="27"/>
      <c r="AD905" s="27"/>
      <c r="AE905" s="27"/>
      <c r="AF905" s="27"/>
      <c r="AG905" s="27"/>
      <c r="AH905" s="27">
        <f>IF(AND(V905=1,Control_Achizitii!$J905="DOSAR COMPLET",Control_Achizitii!$K905&lt;&gt;""),1,0)</f>
        <v>0</v>
      </c>
    </row>
    <row r="906" spans="1:34">
      <c r="A906" s="27"/>
      <c r="B906" s="27"/>
      <c r="C906" s="27"/>
      <c r="D906" s="27"/>
      <c r="E906" s="27"/>
      <c r="F906" s="27"/>
      <c r="G906" s="27"/>
      <c r="H906" s="27"/>
      <c r="I906" s="27"/>
      <c r="J906" s="27"/>
      <c r="K906" s="27"/>
      <c r="L906" s="27"/>
      <c r="M906" s="27"/>
      <c r="N906" s="27"/>
      <c r="O906" s="27"/>
      <c r="P906" s="27"/>
      <c r="Q906" s="27"/>
      <c r="R906" s="27"/>
      <c r="S906" s="27"/>
      <c r="T906" s="27">
        <f>IF(LEFT(Control_Achizitii!$E906,4)="Fact",1,0)</f>
        <v>0</v>
      </c>
      <c r="U906" s="27">
        <f>IF(Control_Achizitii!$C906="",0,IF(ISNUMBER(Control_Achizitii!$B906),0,1))</f>
        <v>0</v>
      </c>
      <c r="V906" s="27">
        <f>IF(Control_Achizitii!$C906="",0,IF($Z$2&lt;&gt;"OK",0,IF(AND(ISNUMBER(Control_Achizitii!$B906),Control_Achizitii!$B906&gt;=$E$5,Control_Achizitii!$B906&lt;$J$5+1,OR($O$5="Toate proiectele",Control_Achizitii!$Q906=$O$5)),1,0)))</f>
        <v>0</v>
      </c>
      <c r="W906" s="27">
        <f>IF(AND(V906=1,OR(Control_Achizitii!$J906&lt;&gt;"DOSAR COMPLET",Control_Achizitii!$K906&lt;&gt;"")),ROW(),1000000000)</f>
        <v>1000000000</v>
      </c>
      <c r="X906" s="27">
        <f>IF(AND(V906=1,LEFT(Control_Achizitii!$E906,4)="Fact",NOT(ISNUMBER(Control_Achizitii!$P906))),1,0)</f>
        <v>0</v>
      </c>
      <c r="Y906" s="27">
        <f>IF(V906=0,0,IF(Control_Achizitii!$J906="DOSAR COMPLET",1,IF(LEFT(Control_Achizitii!$J906,9)="INCOMPLET",2,3)))</f>
        <v>0</v>
      </c>
      <c r="Z906" s="27"/>
      <c r="AA906" s="27"/>
      <c r="AB906" s="27"/>
      <c r="AC906" s="27"/>
      <c r="AD906" s="27"/>
      <c r="AE906" s="27"/>
      <c r="AF906" s="27"/>
      <c r="AG906" s="27"/>
      <c r="AH906" s="27">
        <f>IF(AND(V906=1,Control_Achizitii!$J906="DOSAR COMPLET",Control_Achizitii!$K906&lt;&gt;""),1,0)</f>
        <v>0</v>
      </c>
    </row>
    <row r="907" spans="1:34">
      <c r="A907" s="27"/>
      <c r="B907" s="27"/>
      <c r="C907" s="27"/>
      <c r="D907" s="27"/>
      <c r="E907" s="27"/>
      <c r="F907" s="27"/>
      <c r="G907" s="27"/>
      <c r="H907" s="27"/>
      <c r="I907" s="27"/>
      <c r="J907" s="27"/>
      <c r="K907" s="27"/>
      <c r="L907" s="27"/>
      <c r="M907" s="27"/>
      <c r="N907" s="27"/>
      <c r="O907" s="27"/>
      <c r="P907" s="27"/>
      <c r="Q907" s="27"/>
      <c r="R907" s="27"/>
      <c r="S907" s="27"/>
      <c r="T907" s="27">
        <f>IF(LEFT(Control_Achizitii!$E907,4)="Fact",1,0)</f>
        <v>0</v>
      </c>
      <c r="U907" s="27">
        <f>IF(Control_Achizitii!$C907="",0,IF(ISNUMBER(Control_Achizitii!$B907),0,1))</f>
        <v>0</v>
      </c>
      <c r="V907" s="27">
        <f>IF(Control_Achizitii!$C907="",0,IF($Z$2&lt;&gt;"OK",0,IF(AND(ISNUMBER(Control_Achizitii!$B907),Control_Achizitii!$B907&gt;=$E$5,Control_Achizitii!$B907&lt;$J$5+1,OR($O$5="Toate proiectele",Control_Achizitii!$Q907=$O$5)),1,0)))</f>
        <v>0</v>
      </c>
      <c r="W907" s="27">
        <f>IF(AND(V907=1,OR(Control_Achizitii!$J907&lt;&gt;"DOSAR COMPLET",Control_Achizitii!$K907&lt;&gt;"")),ROW(),1000000000)</f>
        <v>1000000000</v>
      </c>
      <c r="X907" s="27">
        <f>IF(AND(V907=1,LEFT(Control_Achizitii!$E907,4)="Fact",NOT(ISNUMBER(Control_Achizitii!$P907))),1,0)</f>
        <v>0</v>
      </c>
      <c r="Y907" s="27">
        <f>IF(V907=0,0,IF(Control_Achizitii!$J907="DOSAR COMPLET",1,IF(LEFT(Control_Achizitii!$J907,9)="INCOMPLET",2,3)))</f>
        <v>0</v>
      </c>
      <c r="Z907" s="27"/>
      <c r="AA907" s="27"/>
      <c r="AB907" s="27"/>
      <c r="AC907" s="27"/>
      <c r="AD907" s="27"/>
      <c r="AE907" s="27"/>
      <c r="AF907" s="27"/>
      <c r="AG907" s="27"/>
      <c r="AH907" s="27">
        <f>IF(AND(V907=1,Control_Achizitii!$J907="DOSAR COMPLET",Control_Achizitii!$K907&lt;&gt;""),1,0)</f>
        <v>0</v>
      </c>
    </row>
    <row r="908" spans="1:34">
      <c r="A908" s="27"/>
      <c r="B908" s="27"/>
      <c r="C908" s="27"/>
      <c r="D908" s="27"/>
      <c r="E908" s="27"/>
      <c r="F908" s="27"/>
      <c r="G908" s="27"/>
      <c r="H908" s="27"/>
      <c r="I908" s="27"/>
      <c r="J908" s="27"/>
      <c r="K908" s="27"/>
      <c r="L908" s="27"/>
      <c r="M908" s="27"/>
      <c r="N908" s="27"/>
      <c r="O908" s="27"/>
      <c r="P908" s="27"/>
      <c r="Q908" s="27"/>
      <c r="R908" s="27"/>
      <c r="S908" s="27"/>
      <c r="T908" s="27">
        <f>IF(LEFT(Control_Achizitii!$E908,4)="Fact",1,0)</f>
        <v>0</v>
      </c>
      <c r="U908" s="27">
        <f>IF(Control_Achizitii!$C908="",0,IF(ISNUMBER(Control_Achizitii!$B908),0,1))</f>
        <v>0</v>
      </c>
      <c r="V908" s="27">
        <f>IF(Control_Achizitii!$C908="",0,IF($Z$2&lt;&gt;"OK",0,IF(AND(ISNUMBER(Control_Achizitii!$B908),Control_Achizitii!$B908&gt;=$E$5,Control_Achizitii!$B908&lt;$J$5+1,OR($O$5="Toate proiectele",Control_Achizitii!$Q908=$O$5)),1,0)))</f>
        <v>0</v>
      </c>
      <c r="W908" s="27">
        <f>IF(AND(V908=1,OR(Control_Achizitii!$J908&lt;&gt;"DOSAR COMPLET",Control_Achizitii!$K908&lt;&gt;"")),ROW(),1000000000)</f>
        <v>1000000000</v>
      </c>
      <c r="X908" s="27">
        <f>IF(AND(V908=1,LEFT(Control_Achizitii!$E908,4)="Fact",NOT(ISNUMBER(Control_Achizitii!$P908))),1,0)</f>
        <v>0</v>
      </c>
      <c r="Y908" s="27">
        <f>IF(V908=0,0,IF(Control_Achizitii!$J908="DOSAR COMPLET",1,IF(LEFT(Control_Achizitii!$J908,9)="INCOMPLET",2,3)))</f>
        <v>0</v>
      </c>
      <c r="Z908" s="27"/>
      <c r="AA908" s="27"/>
      <c r="AB908" s="27"/>
      <c r="AC908" s="27"/>
      <c r="AD908" s="27"/>
      <c r="AE908" s="27"/>
      <c r="AF908" s="27"/>
      <c r="AG908" s="27"/>
      <c r="AH908" s="27">
        <f>IF(AND(V908=1,Control_Achizitii!$J908="DOSAR COMPLET",Control_Achizitii!$K908&lt;&gt;""),1,0)</f>
        <v>0</v>
      </c>
    </row>
    <row r="909" spans="1:34">
      <c r="A909" s="27"/>
      <c r="B909" s="27"/>
      <c r="C909" s="27"/>
      <c r="D909" s="27"/>
      <c r="E909" s="27"/>
      <c r="F909" s="27"/>
      <c r="G909" s="27"/>
      <c r="H909" s="27"/>
      <c r="I909" s="27"/>
      <c r="J909" s="27"/>
      <c r="K909" s="27"/>
      <c r="L909" s="27"/>
      <c r="M909" s="27"/>
      <c r="N909" s="27"/>
      <c r="O909" s="27"/>
      <c r="P909" s="27"/>
      <c r="Q909" s="27"/>
      <c r="R909" s="27"/>
      <c r="S909" s="27"/>
      <c r="T909" s="27">
        <f>IF(LEFT(Control_Achizitii!$E909,4)="Fact",1,0)</f>
        <v>0</v>
      </c>
      <c r="U909" s="27">
        <f>IF(Control_Achizitii!$C909="",0,IF(ISNUMBER(Control_Achizitii!$B909),0,1))</f>
        <v>0</v>
      </c>
      <c r="V909" s="27">
        <f>IF(Control_Achizitii!$C909="",0,IF($Z$2&lt;&gt;"OK",0,IF(AND(ISNUMBER(Control_Achizitii!$B909),Control_Achizitii!$B909&gt;=$E$5,Control_Achizitii!$B909&lt;$J$5+1,OR($O$5="Toate proiectele",Control_Achizitii!$Q909=$O$5)),1,0)))</f>
        <v>0</v>
      </c>
      <c r="W909" s="27">
        <f>IF(AND(V909=1,OR(Control_Achizitii!$J909&lt;&gt;"DOSAR COMPLET",Control_Achizitii!$K909&lt;&gt;"")),ROW(),1000000000)</f>
        <v>1000000000</v>
      </c>
      <c r="X909" s="27">
        <f>IF(AND(V909=1,LEFT(Control_Achizitii!$E909,4)="Fact",NOT(ISNUMBER(Control_Achizitii!$P909))),1,0)</f>
        <v>0</v>
      </c>
      <c r="Y909" s="27">
        <f>IF(V909=0,0,IF(Control_Achizitii!$J909="DOSAR COMPLET",1,IF(LEFT(Control_Achizitii!$J909,9)="INCOMPLET",2,3)))</f>
        <v>0</v>
      </c>
      <c r="Z909" s="27"/>
      <c r="AA909" s="27"/>
      <c r="AB909" s="27"/>
      <c r="AC909" s="27"/>
      <c r="AD909" s="27"/>
      <c r="AE909" s="27"/>
      <c r="AF909" s="27"/>
      <c r="AG909" s="27"/>
      <c r="AH909" s="27">
        <f>IF(AND(V909=1,Control_Achizitii!$J909="DOSAR COMPLET",Control_Achizitii!$K909&lt;&gt;""),1,0)</f>
        <v>0</v>
      </c>
    </row>
    <row r="910" spans="1:34">
      <c r="A910" s="27"/>
      <c r="B910" s="27"/>
      <c r="C910" s="27"/>
      <c r="D910" s="27"/>
      <c r="E910" s="27"/>
      <c r="F910" s="27"/>
      <c r="G910" s="27"/>
      <c r="H910" s="27"/>
      <c r="I910" s="27"/>
      <c r="J910" s="27"/>
      <c r="K910" s="27"/>
      <c r="L910" s="27"/>
      <c r="M910" s="27"/>
      <c r="N910" s="27"/>
      <c r="O910" s="27"/>
      <c r="P910" s="27"/>
      <c r="Q910" s="27"/>
      <c r="R910" s="27"/>
      <c r="S910" s="27"/>
      <c r="T910" s="27">
        <f>IF(LEFT(Control_Achizitii!$E910,4)="Fact",1,0)</f>
        <v>0</v>
      </c>
      <c r="U910" s="27">
        <f>IF(Control_Achizitii!$C910="",0,IF(ISNUMBER(Control_Achizitii!$B910),0,1))</f>
        <v>0</v>
      </c>
      <c r="V910" s="27">
        <f>IF(Control_Achizitii!$C910="",0,IF($Z$2&lt;&gt;"OK",0,IF(AND(ISNUMBER(Control_Achizitii!$B910),Control_Achizitii!$B910&gt;=$E$5,Control_Achizitii!$B910&lt;$J$5+1,OR($O$5="Toate proiectele",Control_Achizitii!$Q910=$O$5)),1,0)))</f>
        <v>0</v>
      </c>
      <c r="W910" s="27">
        <f>IF(AND(V910=1,OR(Control_Achizitii!$J910&lt;&gt;"DOSAR COMPLET",Control_Achizitii!$K910&lt;&gt;"")),ROW(),1000000000)</f>
        <v>1000000000</v>
      </c>
      <c r="X910" s="27">
        <f>IF(AND(V910=1,LEFT(Control_Achizitii!$E910,4)="Fact",NOT(ISNUMBER(Control_Achizitii!$P910))),1,0)</f>
        <v>0</v>
      </c>
      <c r="Y910" s="27">
        <f>IF(V910=0,0,IF(Control_Achizitii!$J910="DOSAR COMPLET",1,IF(LEFT(Control_Achizitii!$J910,9)="INCOMPLET",2,3)))</f>
        <v>0</v>
      </c>
      <c r="Z910" s="27"/>
      <c r="AA910" s="27"/>
      <c r="AB910" s="27"/>
      <c r="AC910" s="27"/>
      <c r="AD910" s="27"/>
      <c r="AE910" s="27"/>
      <c r="AF910" s="27"/>
      <c r="AG910" s="27"/>
      <c r="AH910" s="27">
        <f>IF(AND(V910=1,Control_Achizitii!$J910="DOSAR COMPLET",Control_Achizitii!$K910&lt;&gt;""),1,0)</f>
        <v>0</v>
      </c>
    </row>
    <row r="911" spans="1:34">
      <c r="A911" s="27"/>
      <c r="B911" s="27"/>
      <c r="C911" s="27"/>
      <c r="D911" s="27"/>
      <c r="E911" s="27"/>
      <c r="F911" s="27"/>
      <c r="G911" s="27"/>
      <c r="H911" s="27"/>
      <c r="I911" s="27"/>
      <c r="J911" s="27"/>
      <c r="K911" s="27"/>
      <c r="L911" s="27"/>
      <c r="M911" s="27"/>
      <c r="N911" s="27"/>
      <c r="O911" s="27"/>
      <c r="P911" s="27"/>
      <c r="Q911" s="27"/>
      <c r="R911" s="27"/>
      <c r="S911" s="27"/>
      <c r="T911" s="27">
        <f>IF(LEFT(Control_Achizitii!$E911,4)="Fact",1,0)</f>
        <v>0</v>
      </c>
      <c r="U911" s="27">
        <f>IF(Control_Achizitii!$C911="",0,IF(ISNUMBER(Control_Achizitii!$B911),0,1))</f>
        <v>0</v>
      </c>
      <c r="V911" s="27">
        <f>IF(Control_Achizitii!$C911="",0,IF($Z$2&lt;&gt;"OK",0,IF(AND(ISNUMBER(Control_Achizitii!$B911),Control_Achizitii!$B911&gt;=$E$5,Control_Achizitii!$B911&lt;$J$5+1,OR($O$5="Toate proiectele",Control_Achizitii!$Q911=$O$5)),1,0)))</f>
        <v>0</v>
      </c>
      <c r="W911" s="27">
        <f>IF(AND(V911=1,OR(Control_Achizitii!$J911&lt;&gt;"DOSAR COMPLET",Control_Achizitii!$K911&lt;&gt;"")),ROW(),1000000000)</f>
        <v>1000000000</v>
      </c>
      <c r="X911" s="27">
        <f>IF(AND(V911=1,LEFT(Control_Achizitii!$E911,4)="Fact",NOT(ISNUMBER(Control_Achizitii!$P911))),1,0)</f>
        <v>0</v>
      </c>
      <c r="Y911" s="27">
        <f>IF(V911=0,0,IF(Control_Achizitii!$J911="DOSAR COMPLET",1,IF(LEFT(Control_Achizitii!$J911,9)="INCOMPLET",2,3)))</f>
        <v>0</v>
      </c>
      <c r="Z911" s="27"/>
      <c r="AA911" s="27"/>
      <c r="AB911" s="27"/>
      <c r="AC911" s="27"/>
      <c r="AD911" s="27"/>
      <c r="AE911" s="27"/>
      <c r="AF911" s="27"/>
      <c r="AG911" s="27"/>
      <c r="AH911" s="27">
        <f>IF(AND(V911=1,Control_Achizitii!$J911="DOSAR COMPLET",Control_Achizitii!$K911&lt;&gt;""),1,0)</f>
        <v>0</v>
      </c>
    </row>
    <row r="912" spans="1:34">
      <c r="A912" s="27"/>
      <c r="B912" s="27"/>
      <c r="C912" s="27"/>
      <c r="D912" s="27"/>
      <c r="E912" s="27"/>
      <c r="F912" s="27"/>
      <c r="G912" s="27"/>
      <c r="H912" s="27"/>
      <c r="I912" s="27"/>
      <c r="J912" s="27"/>
      <c r="K912" s="27"/>
      <c r="L912" s="27"/>
      <c r="M912" s="27"/>
      <c r="N912" s="27"/>
      <c r="O912" s="27"/>
      <c r="P912" s="27"/>
      <c r="Q912" s="27"/>
      <c r="R912" s="27"/>
      <c r="S912" s="27"/>
      <c r="T912" s="27">
        <f>IF(LEFT(Control_Achizitii!$E912,4)="Fact",1,0)</f>
        <v>0</v>
      </c>
      <c r="U912" s="27">
        <f>IF(Control_Achizitii!$C912="",0,IF(ISNUMBER(Control_Achizitii!$B912),0,1))</f>
        <v>0</v>
      </c>
      <c r="V912" s="27">
        <f>IF(Control_Achizitii!$C912="",0,IF($Z$2&lt;&gt;"OK",0,IF(AND(ISNUMBER(Control_Achizitii!$B912),Control_Achizitii!$B912&gt;=$E$5,Control_Achizitii!$B912&lt;$J$5+1,OR($O$5="Toate proiectele",Control_Achizitii!$Q912=$O$5)),1,0)))</f>
        <v>0</v>
      </c>
      <c r="W912" s="27">
        <f>IF(AND(V912=1,OR(Control_Achizitii!$J912&lt;&gt;"DOSAR COMPLET",Control_Achizitii!$K912&lt;&gt;"")),ROW(),1000000000)</f>
        <v>1000000000</v>
      </c>
      <c r="X912" s="27">
        <f>IF(AND(V912=1,LEFT(Control_Achizitii!$E912,4)="Fact",NOT(ISNUMBER(Control_Achizitii!$P912))),1,0)</f>
        <v>0</v>
      </c>
      <c r="Y912" s="27">
        <f>IF(V912=0,0,IF(Control_Achizitii!$J912="DOSAR COMPLET",1,IF(LEFT(Control_Achizitii!$J912,9)="INCOMPLET",2,3)))</f>
        <v>0</v>
      </c>
      <c r="Z912" s="27"/>
      <c r="AA912" s="27"/>
      <c r="AB912" s="27"/>
      <c r="AC912" s="27"/>
      <c r="AD912" s="27"/>
      <c r="AE912" s="27"/>
      <c r="AF912" s="27"/>
      <c r="AG912" s="27"/>
      <c r="AH912" s="27">
        <f>IF(AND(V912=1,Control_Achizitii!$J912="DOSAR COMPLET",Control_Achizitii!$K912&lt;&gt;""),1,0)</f>
        <v>0</v>
      </c>
    </row>
    <row r="913" spans="1:34">
      <c r="A913" s="27"/>
      <c r="B913" s="27"/>
      <c r="C913" s="27"/>
      <c r="D913" s="27"/>
      <c r="E913" s="27"/>
      <c r="F913" s="27"/>
      <c r="G913" s="27"/>
      <c r="H913" s="27"/>
      <c r="I913" s="27"/>
      <c r="J913" s="27"/>
      <c r="K913" s="27"/>
      <c r="L913" s="27"/>
      <c r="M913" s="27"/>
      <c r="N913" s="27"/>
      <c r="O913" s="27"/>
      <c r="P913" s="27"/>
      <c r="Q913" s="27"/>
      <c r="R913" s="27"/>
      <c r="S913" s="27"/>
      <c r="T913" s="27">
        <f>IF(LEFT(Control_Achizitii!$E913,4)="Fact",1,0)</f>
        <v>0</v>
      </c>
      <c r="U913" s="27">
        <f>IF(Control_Achizitii!$C913="",0,IF(ISNUMBER(Control_Achizitii!$B913),0,1))</f>
        <v>0</v>
      </c>
      <c r="V913" s="27">
        <f>IF(Control_Achizitii!$C913="",0,IF($Z$2&lt;&gt;"OK",0,IF(AND(ISNUMBER(Control_Achizitii!$B913),Control_Achizitii!$B913&gt;=$E$5,Control_Achizitii!$B913&lt;$J$5+1,OR($O$5="Toate proiectele",Control_Achizitii!$Q913=$O$5)),1,0)))</f>
        <v>0</v>
      </c>
      <c r="W913" s="27">
        <f>IF(AND(V913=1,OR(Control_Achizitii!$J913&lt;&gt;"DOSAR COMPLET",Control_Achizitii!$K913&lt;&gt;"")),ROW(),1000000000)</f>
        <v>1000000000</v>
      </c>
      <c r="X913" s="27">
        <f>IF(AND(V913=1,LEFT(Control_Achizitii!$E913,4)="Fact",NOT(ISNUMBER(Control_Achizitii!$P913))),1,0)</f>
        <v>0</v>
      </c>
      <c r="Y913" s="27">
        <f>IF(V913=0,0,IF(Control_Achizitii!$J913="DOSAR COMPLET",1,IF(LEFT(Control_Achizitii!$J913,9)="INCOMPLET",2,3)))</f>
        <v>0</v>
      </c>
      <c r="Z913" s="27"/>
      <c r="AA913" s="27"/>
      <c r="AB913" s="27"/>
      <c r="AC913" s="27"/>
      <c r="AD913" s="27"/>
      <c r="AE913" s="27"/>
      <c r="AF913" s="27"/>
      <c r="AG913" s="27"/>
      <c r="AH913" s="27">
        <f>IF(AND(V913=1,Control_Achizitii!$J913="DOSAR COMPLET",Control_Achizitii!$K913&lt;&gt;""),1,0)</f>
        <v>0</v>
      </c>
    </row>
    <row r="914" spans="1:34">
      <c r="A914" s="27"/>
      <c r="B914" s="27"/>
      <c r="C914" s="27"/>
      <c r="D914" s="27"/>
      <c r="E914" s="27"/>
      <c r="F914" s="27"/>
      <c r="G914" s="27"/>
      <c r="H914" s="27"/>
      <c r="I914" s="27"/>
      <c r="J914" s="27"/>
      <c r="K914" s="27"/>
      <c r="L914" s="27"/>
      <c r="M914" s="27"/>
      <c r="N914" s="27"/>
      <c r="O914" s="27"/>
      <c r="P914" s="27"/>
      <c r="Q914" s="27"/>
      <c r="R914" s="27"/>
      <c r="S914" s="27"/>
      <c r="T914" s="27">
        <f>IF(LEFT(Control_Achizitii!$E914,4)="Fact",1,0)</f>
        <v>0</v>
      </c>
      <c r="U914" s="27">
        <f>IF(Control_Achizitii!$C914="",0,IF(ISNUMBER(Control_Achizitii!$B914),0,1))</f>
        <v>0</v>
      </c>
      <c r="V914" s="27">
        <f>IF(Control_Achizitii!$C914="",0,IF($Z$2&lt;&gt;"OK",0,IF(AND(ISNUMBER(Control_Achizitii!$B914),Control_Achizitii!$B914&gt;=$E$5,Control_Achizitii!$B914&lt;$J$5+1,OR($O$5="Toate proiectele",Control_Achizitii!$Q914=$O$5)),1,0)))</f>
        <v>0</v>
      </c>
      <c r="W914" s="27">
        <f>IF(AND(V914=1,OR(Control_Achizitii!$J914&lt;&gt;"DOSAR COMPLET",Control_Achizitii!$K914&lt;&gt;"")),ROW(),1000000000)</f>
        <v>1000000000</v>
      </c>
      <c r="X914" s="27">
        <f>IF(AND(V914=1,LEFT(Control_Achizitii!$E914,4)="Fact",NOT(ISNUMBER(Control_Achizitii!$P914))),1,0)</f>
        <v>0</v>
      </c>
      <c r="Y914" s="27">
        <f>IF(V914=0,0,IF(Control_Achizitii!$J914="DOSAR COMPLET",1,IF(LEFT(Control_Achizitii!$J914,9)="INCOMPLET",2,3)))</f>
        <v>0</v>
      </c>
      <c r="Z914" s="27"/>
      <c r="AA914" s="27"/>
      <c r="AB914" s="27"/>
      <c r="AC914" s="27"/>
      <c r="AD914" s="27"/>
      <c r="AE914" s="27"/>
      <c r="AF914" s="27"/>
      <c r="AG914" s="27"/>
      <c r="AH914" s="27">
        <f>IF(AND(V914=1,Control_Achizitii!$J914="DOSAR COMPLET",Control_Achizitii!$K914&lt;&gt;""),1,0)</f>
        <v>0</v>
      </c>
    </row>
    <row r="915" spans="1:34">
      <c r="A915" s="27"/>
      <c r="B915" s="27"/>
      <c r="C915" s="27"/>
      <c r="D915" s="27"/>
      <c r="E915" s="27"/>
      <c r="F915" s="27"/>
      <c r="G915" s="27"/>
      <c r="H915" s="27"/>
      <c r="I915" s="27"/>
      <c r="J915" s="27"/>
      <c r="K915" s="27"/>
      <c r="L915" s="27"/>
      <c r="M915" s="27"/>
      <c r="N915" s="27"/>
      <c r="O915" s="27"/>
      <c r="P915" s="27"/>
      <c r="Q915" s="27"/>
      <c r="R915" s="27"/>
      <c r="S915" s="27"/>
      <c r="T915" s="27">
        <f>IF(LEFT(Control_Achizitii!$E915,4)="Fact",1,0)</f>
        <v>0</v>
      </c>
      <c r="U915" s="27">
        <f>IF(Control_Achizitii!$C915="",0,IF(ISNUMBER(Control_Achizitii!$B915),0,1))</f>
        <v>0</v>
      </c>
      <c r="V915" s="27">
        <f>IF(Control_Achizitii!$C915="",0,IF($Z$2&lt;&gt;"OK",0,IF(AND(ISNUMBER(Control_Achizitii!$B915),Control_Achizitii!$B915&gt;=$E$5,Control_Achizitii!$B915&lt;$J$5+1,OR($O$5="Toate proiectele",Control_Achizitii!$Q915=$O$5)),1,0)))</f>
        <v>0</v>
      </c>
      <c r="W915" s="27">
        <f>IF(AND(V915=1,OR(Control_Achizitii!$J915&lt;&gt;"DOSAR COMPLET",Control_Achizitii!$K915&lt;&gt;"")),ROW(),1000000000)</f>
        <v>1000000000</v>
      </c>
      <c r="X915" s="27">
        <f>IF(AND(V915=1,LEFT(Control_Achizitii!$E915,4)="Fact",NOT(ISNUMBER(Control_Achizitii!$P915))),1,0)</f>
        <v>0</v>
      </c>
      <c r="Y915" s="27">
        <f>IF(V915=0,0,IF(Control_Achizitii!$J915="DOSAR COMPLET",1,IF(LEFT(Control_Achizitii!$J915,9)="INCOMPLET",2,3)))</f>
        <v>0</v>
      </c>
      <c r="Z915" s="27"/>
      <c r="AA915" s="27"/>
      <c r="AB915" s="27"/>
      <c r="AC915" s="27"/>
      <c r="AD915" s="27"/>
      <c r="AE915" s="27"/>
      <c r="AF915" s="27"/>
      <c r="AG915" s="27"/>
      <c r="AH915" s="27">
        <f>IF(AND(V915=1,Control_Achizitii!$J915="DOSAR COMPLET",Control_Achizitii!$K915&lt;&gt;""),1,0)</f>
        <v>0</v>
      </c>
    </row>
    <row r="916" spans="1:34">
      <c r="A916" s="27"/>
      <c r="B916" s="27"/>
      <c r="C916" s="27"/>
      <c r="D916" s="27"/>
      <c r="E916" s="27"/>
      <c r="F916" s="27"/>
      <c r="G916" s="27"/>
      <c r="H916" s="27"/>
      <c r="I916" s="27"/>
      <c r="J916" s="27"/>
      <c r="K916" s="27"/>
      <c r="L916" s="27"/>
      <c r="M916" s="27"/>
      <c r="N916" s="27"/>
      <c r="O916" s="27"/>
      <c r="P916" s="27"/>
      <c r="Q916" s="27"/>
      <c r="R916" s="27"/>
      <c r="S916" s="27"/>
      <c r="T916" s="27">
        <f>IF(LEFT(Control_Achizitii!$E916,4)="Fact",1,0)</f>
        <v>0</v>
      </c>
      <c r="U916" s="27">
        <f>IF(Control_Achizitii!$C916="",0,IF(ISNUMBER(Control_Achizitii!$B916),0,1))</f>
        <v>0</v>
      </c>
      <c r="V916" s="27">
        <f>IF(Control_Achizitii!$C916="",0,IF($Z$2&lt;&gt;"OK",0,IF(AND(ISNUMBER(Control_Achizitii!$B916),Control_Achizitii!$B916&gt;=$E$5,Control_Achizitii!$B916&lt;$J$5+1,OR($O$5="Toate proiectele",Control_Achizitii!$Q916=$O$5)),1,0)))</f>
        <v>0</v>
      </c>
      <c r="W916" s="27">
        <f>IF(AND(V916=1,OR(Control_Achizitii!$J916&lt;&gt;"DOSAR COMPLET",Control_Achizitii!$K916&lt;&gt;"")),ROW(),1000000000)</f>
        <v>1000000000</v>
      </c>
      <c r="X916" s="27">
        <f>IF(AND(V916=1,LEFT(Control_Achizitii!$E916,4)="Fact",NOT(ISNUMBER(Control_Achizitii!$P916))),1,0)</f>
        <v>0</v>
      </c>
      <c r="Y916" s="27">
        <f>IF(V916=0,0,IF(Control_Achizitii!$J916="DOSAR COMPLET",1,IF(LEFT(Control_Achizitii!$J916,9)="INCOMPLET",2,3)))</f>
        <v>0</v>
      </c>
      <c r="Z916" s="27"/>
      <c r="AA916" s="27"/>
      <c r="AB916" s="27"/>
      <c r="AC916" s="27"/>
      <c r="AD916" s="27"/>
      <c r="AE916" s="27"/>
      <c r="AF916" s="27"/>
      <c r="AG916" s="27"/>
      <c r="AH916" s="27">
        <f>IF(AND(V916=1,Control_Achizitii!$J916="DOSAR COMPLET",Control_Achizitii!$K916&lt;&gt;""),1,0)</f>
        <v>0</v>
      </c>
    </row>
    <row r="917" spans="1:34">
      <c r="A917" s="27"/>
      <c r="B917" s="27"/>
      <c r="C917" s="27"/>
      <c r="D917" s="27"/>
      <c r="E917" s="27"/>
      <c r="F917" s="27"/>
      <c r="G917" s="27"/>
      <c r="H917" s="27"/>
      <c r="I917" s="27"/>
      <c r="J917" s="27"/>
      <c r="K917" s="27"/>
      <c r="L917" s="27"/>
      <c r="M917" s="27"/>
      <c r="N917" s="27"/>
      <c r="O917" s="27"/>
      <c r="P917" s="27"/>
      <c r="Q917" s="27"/>
      <c r="R917" s="27"/>
      <c r="S917" s="27"/>
      <c r="T917" s="27">
        <f>IF(LEFT(Control_Achizitii!$E917,4)="Fact",1,0)</f>
        <v>0</v>
      </c>
      <c r="U917" s="27">
        <f>IF(Control_Achizitii!$C917="",0,IF(ISNUMBER(Control_Achizitii!$B917),0,1))</f>
        <v>0</v>
      </c>
      <c r="V917" s="27">
        <f>IF(Control_Achizitii!$C917="",0,IF($Z$2&lt;&gt;"OK",0,IF(AND(ISNUMBER(Control_Achizitii!$B917),Control_Achizitii!$B917&gt;=$E$5,Control_Achizitii!$B917&lt;$J$5+1,OR($O$5="Toate proiectele",Control_Achizitii!$Q917=$O$5)),1,0)))</f>
        <v>0</v>
      </c>
      <c r="W917" s="27">
        <f>IF(AND(V917=1,OR(Control_Achizitii!$J917&lt;&gt;"DOSAR COMPLET",Control_Achizitii!$K917&lt;&gt;"")),ROW(),1000000000)</f>
        <v>1000000000</v>
      </c>
      <c r="X917" s="27">
        <f>IF(AND(V917=1,LEFT(Control_Achizitii!$E917,4)="Fact",NOT(ISNUMBER(Control_Achizitii!$P917))),1,0)</f>
        <v>0</v>
      </c>
      <c r="Y917" s="27">
        <f>IF(V917=0,0,IF(Control_Achizitii!$J917="DOSAR COMPLET",1,IF(LEFT(Control_Achizitii!$J917,9)="INCOMPLET",2,3)))</f>
        <v>0</v>
      </c>
      <c r="Z917" s="27"/>
      <c r="AA917" s="27"/>
      <c r="AB917" s="27"/>
      <c r="AC917" s="27"/>
      <c r="AD917" s="27"/>
      <c r="AE917" s="27"/>
      <c r="AF917" s="27"/>
      <c r="AG917" s="27"/>
      <c r="AH917" s="27">
        <f>IF(AND(V917=1,Control_Achizitii!$J917="DOSAR COMPLET",Control_Achizitii!$K917&lt;&gt;""),1,0)</f>
        <v>0</v>
      </c>
    </row>
    <row r="918" spans="1:34">
      <c r="A918" s="27"/>
      <c r="B918" s="27"/>
      <c r="C918" s="27"/>
      <c r="D918" s="27"/>
      <c r="E918" s="27"/>
      <c r="F918" s="27"/>
      <c r="G918" s="27"/>
      <c r="H918" s="27"/>
      <c r="I918" s="27"/>
      <c r="J918" s="27"/>
      <c r="K918" s="27"/>
      <c r="L918" s="27"/>
      <c r="M918" s="27"/>
      <c r="N918" s="27"/>
      <c r="O918" s="27"/>
      <c r="P918" s="27"/>
      <c r="Q918" s="27"/>
      <c r="R918" s="27"/>
      <c r="S918" s="27"/>
      <c r="T918" s="27">
        <f>IF(LEFT(Control_Achizitii!$E918,4)="Fact",1,0)</f>
        <v>0</v>
      </c>
      <c r="U918" s="27">
        <f>IF(Control_Achizitii!$C918="",0,IF(ISNUMBER(Control_Achizitii!$B918),0,1))</f>
        <v>0</v>
      </c>
      <c r="V918" s="27">
        <f>IF(Control_Achizitii!$C918="",0,IF($Z$2&lt;&gt;"OK",0,IF(AND(ISNUMBER(Control_Achizitii!$B918),Control_Achizitii!$B918&gt;=$E$5,Control_Achizitii!$B918&lt;$J$5+1,OR($O$5="Toate proiectele",Control_Achizitii!$Q918=$O$5)),1,0)))</f>
        <v>0</v>
      </c>
      <c r="W918" s="27">
        <f>IF(AND(V918=1,OR(Control_Achizitii!$J918&lt;&gt;"DOSAR COMPLET",Control_Achizitii!$K918&lt;&gt;"")),ROW(),1000000000)</f>
        <v>1000000000</v>
      </c>
      <c r="X918" s="27">
        <f>IF(AND(V918=1,LEFT(Control_Achizitii!$E918,4)="Fact",NOT(ISNUMBER(Control_Achizitii!$P918))),1,0)</f>
        <v>0</v>
      </c>
      <c r="Y918" s="27">
        <f>IF(V918=0,0,IF(Control_Achizitii!$J918="DOSAR COMPLET",1,IF(LEFT(Control_Achizitii!$J918,9)="INCOMPLET",2,3)))</f>
        <v>0</v>
      </c>
      <c r="Z918" s="27"/>
      <c r="AA918" s="27"/>
      <c r="AB918" s="27"/>
      <c r="AC918" s="27"/>
      <c r="AD918" s="27"/>
      <c r="AE918" s="27"/>
      <c r="AF918" s="27"/>
      <c r="AG918" s="27"/>
      <c r="AH918" s="27">
        <f>IF(AND(V918=1,Control_Achizitii!$J918="DOSAR COMPLET",Control_Achizitii!$K918&lt;&gt;""),1,0)</f>
        <v>0</v>
      </c>
    </row>
    <row r="919" spans="1:34">
      <c r="A919" s="27"/>
      <c r="B919" s="27"/>
      <c r="C919" s="27"/>
      <c r="D919" s="27"/>
      <c r="E919" s="27"/>
      <c r="F919" s="27"/>
      <c r="G919" s="27"/>
      <c r="H919" s="27"/>
      <c r="I919" s="27"/>
      <c r="J919" s="27"/>
      <c r="K919" s="27"/>
      <c r="L919" s="27"/>
      <c r="M919" s="27"/>
      <c r="N919" s="27"/>
      <c r="O919" s="27"/>
      <c r="P919" s="27"/>
      <c r="Q919" s="27"/>
      <c r="R919" s="27"/>
      <c r="S919" s="27"/>
      <c r="T919" s="27">
        <f>IF(LEFT(Control_Achizitii!$E919,4)="Fact",1,0)</f>
        <v>0</v>
      </c>
      <c r="U919" s="27">
        <f>IF(Control_Achizitii!$C919="",0,IF(ISNUMBER(Control_Achizitii!$B919),0,1))</f>
        <v>0</v>
      </c>
      <c r="V919" s="27">
        <f>IF(Control_Achizitii!$C919="",0,IF($Z$2&lt;&gt;"OK",0,IF(AND(ISNUMBER(Control_Achizitii!$B919),Control_Achizitii!$B919&gt;=$E$5,Control_Achizitii!$B919&lt;$J$5+1,OR($O$5="Toate proiectele",Control_Achizitii!$Q919=$O$5)),1,0)))</f>
        <v>0</v>
      </c>
      <c r="W919" s="27">
        <f>IF(AND(V919=1,OR(Control_Achizitii!$J919&lt;&gt;"DOSAR COMPLET",Control_Achizitii!$K919&lt;&gt;"")),ROW(),1000000000)</f>
        <v>1000000000</v>
      </c>
      <c r="X919" s="27">
        <f>IF(AND(V919=1,LEFT(Control_Achizitii!$E919,4)="Fact",NOT(ISNUMBER(Control_Achizitii!$P919))),1,0)</f>
        <v>0</v>
      </c>
      <c r="Y919" s="27">
        <f>IF(V919=0,0,IF(Control_Achizitii!$J919="DOSAR COMPLET",1,IF(LEFT(Control_Achizitii!$J919,9)="INCOMPLET",2,3)))</f>
        <v>0</v>
      </c>
      <c r="Z919" s="27"/>
      <c r="AA919" s="27"/>
      <c r="AB919" s="27"/>
      <c r="AC919" s="27"/>
      <c r="AD919" s="27"/>
      <c r="AE919" s="27"/>
      <c r="AF919" s="27"/>
      <c r="AG919" s="27"/>
      <c r="AH919" s="27">
        <f>IF(AND(V919=1,Control_Achizitii!$J919="DOSAR COMPLET",Control_Achizitii!$K919&lt;&gt;""),1,0)</f>
        <v>0</v>
      </c>
    </row>
    <row r="920" spans="1:34">
      <c r="A920" s="27"/>
      <c r="B920" s="27"/>
      <c r="C920" s="27"/>
      <c r="D920" s="27"/>
      <c r="E920" s="27"/>
      <c r="F920" s="27"/>
      <c r="G920" s="27"/>
      <c r="H920" s="27"/>
      <c r="I920" s="27"/>
      <c r="J920" s="27"/>
      <c r="K920" s="27"/>
      <c r="L920" s="27"/>
      <c r="M920" s="27"/>
      <c r="N920" s="27"/>
      <c r="O920" s="27"/>
      <c r="P920" s="27"/>
      <c r="Q920" s="27"/>
      <c r="R920" s="27"/>
      <c r="S920" s="27"/>
      <c r="T920" s="27">
        <f>IF(LEFT(Control_Achizitii!$E920,4)="Fact",1,0)</f>
        <v>0</v>
      </c>
      <c r="U920" s="27">
        <f>IF(Control_Achizitii!$C920="",0,IF(ISNUMBER(Control_Achizitii!$B920),0,1))</f>
        <v>0</v>
      </c>
      <c r="V920" s="27">
        <f>IF(Control_Achizitii!$C920="",0,IF($Z$2&lt;&gt;"OK",0,IF(AND(ISNUMBER(Control_Achizitii!$B920),Control_Achizitii!$B920&gt;=$E$5,Control_Achizitii!$B920&lt;$J$5+1,OR($O$5="Toate proiectele",Control_Achizitii!$Q920=$O$5)),1,0)))</f>
        <v>0</v>
      </c>
      <c r="W920" s="27">
        <f>IF(AND(V920=1,OR(Control_Achizitii!$J920&lt;&gt;"DOSAR COMPLET",Control_Achizitii!$K920&lt;&gt;"")),ROW(),1000000000)</f>
        <v>1000000000</v>
      </c>
      <c r="X920" s="27">
        <f>IF(AND(V920=1,LEFT(Control_Achizitii!$E920,4)="Fact",NOT(ISNUMBER(Control_Achizitii!$P920))),1,0)</f>
        <v>0</v>
      </c>
      <c r="Y920" s="27">
        <f>IF(V920=0,0,IF(Control_Achizitii!$J920="DOSAR COMPLET",1,IF(LEFT(Control_Achizitii!$J920,9)="INCOMPLET",2,3)))</f>
        <v>0</v>
      </c>
      <c r="Z920" s="27"/>
      <c r="AA920" s="27"/>
      <c r="AB920" s="27"/>
      <c r="AC920" s="27"/>
      <c r="AD920" s="27"/>
      <c r="AE920" s="27"/>
      <c r="AF920" s="27"/>
      <c r="AG920" s="27"/>
      <c r="AH920" s="27">
        <f>IF(AND(V920=1,Control_Achizitii!$J920="DOSAR COMPLET",Control_Achizitii!$K920&lt;&gt;""),1,0)</f>
        <v>0</v>
      </c>
    </row>
    <row r="921" spans="1:34">
      <c r="A921" s="27"/>
      <c r="B921" s="27"/>
      <c r="C921" s="27"/>
      <c r="D921" s="27"/>
      <c r="E921" s="27"/>
      <c r="F921" s="27"/>
      <c r="G921" s="27"/>
      <c r="H921" s="27"/>
      <c r="I921" s="27"/>
      <c r="J921" s="27"/>
      <c r="K921" s="27"/>
      <c r="L921" s="27"/>
      <c r="M921" s="27"/>
      <c r="N921" s="27"/>
      <c r="O921" s="27"/>
      <c r="P921" s="27"/>
      <c r="Q921" s="27"/>
      <c r="R921" s="27"/>
      <c r="S921" s="27"/>
      <c r="T921" s="27">
        <f>IF(LEFT(Control_Achizitii!$E921,4)="Fact",1,0)</f>
        <v>0</v>
      </c>
      <c r="U921" s="27">
        <f>IF(Control_Achizitii!$C921="",0,IF(ISNUMBER(Control_Achizitii!$B921),0,1))</f>
        <v>0</v>
      </c>
      <c r="V921" s="27">
        <f>IF(Control_Achizitii!$C921="",0,IF($Z$2&lt;&gt;"OK",0,IF(AND(ISNUMBER(Control_Achizitii!$B921),Control_Achizitii!$B921&gt;=$E$5,Control_Achizitii!$B921&lt;$J$5+1,OR($O$5="Toate proiectele",Control_Achizitii!$Q921=$O$5)),1,0)))</f>
        <v>0</v>
      </c>
      <c r="W921" s="27">
        <f>IF(AND(V921=1,OR(Control_Achizitii!$J921&lt;&gt;"DOSAR COMPLET",Control_Achizitii!$K921&lt;&gt;"")),ROW(),1000000000)</f>
        <v>1000000000</v>
      </c>
      <c r="X921" s="27">
        <f>IF(AND(V921=1,LEFT(Control_Achizitii!$E921,4)="Fact",NOT(ISNUMBER(Control_Achizitii!$P921))),1,0)</f>
        <v>0</v>
      </c>
      <c r="Y921" s="27">
        <f>IF(V921=0,0,IF(Control_Achizitii!$J921="DOSAR COMPLET",1,IF(LEFT(Control_Achizitii!$J921,9)="INCOMPLET",2,3)))</f>
        <v>0</v>
      </c>
      <c r="Z921" s="27"/>
      <c r="AA921" s="27"/>
      <c r="AB921" s="27"/>
      <c r="AC921" s="27"/>
      <c r="AD921" s="27"/>
      <c r="AE921" s="27"/>
      <c r="AF921" s="27"/>
      <c r="AG921" s="27"/>
      <c r="AH921" s="27">
        <f>IF(AND(V921=1,Control_Achizitii!$J921="DOSAR COMPLET",Control_Achizitii!$K921&lt;&gt;""),1,0)</f>
        <v>0</v>
      </c>
    </row>
    <row r="922" spans="1:34">
      <c r="A922" s="27"/>
      <c r="B922" s="27"/>
      <c r="C922" s="27"/>
      <c r="D922" s="27"/>
      <c r="E922" s="27"/>
      <c r="F922" s="27"/>
      <c r="G922" s="27"/>
      <c r="H922" s="27"/>
      <c r="I922" s="27"/>
      <c r="J922" s="27"/>
      <c r="K922" s="27"/>
      <c r="L922" s="27"/>
      <c r="M922" s="27"/>
      <c r="N922" s="27"/>
      <c r="O922" s="27"/>
      <c r="P922" s="27"/>
      <c r="Q922" s="27"/>
      <c r="R922" s="27"/>
      <c r="S922" s="27"/>
      <c r="T922" s="27">
        <f>IF(LEFT(Control_Achizitii!$E922,4)="Fact",1,0)</f>
        <v>0</v>
      </c>
      <c r="U922" s="27">
        <f>IF(Control_Achizitii!$C922="",0,IF(ISNUMBER(Control_Achizitii!$B922),0,1))</f>
        <v>0</v>
      </c>
      <c r="V922" s="27">
        <f>IF(Control_Achizitii!$C922="",0,IF($Z$2&lt;&gt;"OK",0,IF(AND(ISNUMBER(Control_Achizitii!$B922),Control_Achizitii!$B922&gt;=$E$5,Control_Achizitii!$B922&lt;$J$5+1,OR($O$5="Toate proiectele",Control_Achizitii!$Q922=$O$5)),1,0)))</f>
        <v>0</v>
      </c>
      <c r="W922" s="27">
        <f>IF(AND(V922=1,OR(Control_Achizitii!$J922&lt;&gt;"DOSAR COMPLET",Control_Achizitii!$K922&lt;&gt;"")),ROW(),1000000000)</f>
        <v>1000000000</v>
      </c>
      <c r="X922" s="27">
        <f>IF(AND(V922=1,LEFT(Control_Achizitii!$E922,4)="Fact",NOT(ISNUMBER(Control_Achizitii!$P922))),1,0)</f>
        <v>0</v>
      </c>
      <c r="Y922" s="27">
        <f>IF(V922=0,0,IF(Control_Achizitii!$J922="DOSAR COMPLET",1,IF(LEFT(Control_Achizitii!$J922,9)="INCOMPLET",2,3)))</f>
        <v>0</v>
      </c>
      <c r="Z922" s="27"/>
      <c r="AA922" s="27"/>
      <c r="AB922" s="27"/>
      <c r="AC922" s="27"/>
      <c r="AD922" s="27"/>
      <c r="AE922" s="27"/>
      <c r="AF922" s="27"/>
      <c r="AG922" s="27"/>
      <c r="AH922" s="27">
        <f>IF(AND(V922=1,Control_Achizitii!$J922="DOSAR COMPLET",Control_Achizitii!$K922&lt;&gt;""),1,0)</f>
        <v>0</v>
      </c>
    </row>
    <row r="923" spans="1:34">
      <c r="A923" s="27"/>
      <c r="B923" s="27"/>
      <c r="C923" s="27"/>
      <c r="D923" s="27"/>
      <c r="E923" s="27"/>
      <c r="F923" s="27"/>
      <c r="G923" s="27"/>
      <c r="H923" s="27"/>
      <c r="I923" s="27"/>
      <c r="J923" s="27"/>
      <c r="K923" s="27"/>
      <c r="L923" s="27"/>
      <c r="M923" s="27"/>
      <c r="N923" s="27"/>
      <c r="O923" s="27"/>
      <c r="P923" s="27"/>
      <c r="Q923" s="27"/>
      <c r="R923" s="27"/>
      <c r="S923" s="27"/>
      <c r="T923" s="27">
        <f>IF(LEFT(Control_Achizitii!$E923,4)="Fact",1,0)</f>
        <v>0</v>
      </c>
      <c r="U923" s="27">
        <f>IF(Control_Achizitii!$C923="",0,IF(ISNUMBER(Control_Achizitii!$B923),0,1))</f>
        <v>0</v>
      </c>
      <c r="V923" s="27">
        <f>IF(Control_Achizitii!$C923="",0,IF($Z$2&lt;&gt;"OK",0,IF(AND(ISNUMBER(Control_Achizitii!$B923),Control_Achizitii!$B923&gt;=$E$5,Control_Achizitii!$B923&lt;$J$5+1,OR($O$5="Toate proiectele",Control_Achizitii!$Q923=$O$5)),1,0)))</f>
        <v>0</v>
      </c>
      <c r="W923" s="27">
        <f>IF(AND(V923=1,OR(Control_Achizitii!$J923&lt;&gt;"DOSAR COMPLET",Control_Achizitii!$K923&lt;&gt;"")),ROW(),1000000000)</f>
        <v>1000000000</v>
      </c>
      <c r="X923" s="27">
        <f>IF(AND(V923=1,LEFT(Control_Achizitii!$E923,4)="Fact",NOT(ISNUMBER(Control_Achizitii!$P923))),1,0)</f>
        <v>0</v>
      </c>
      <c r="Y923" s="27">
        <f>IF(V923=0,0,IF(Control_Achizitii!$J923="DOSAR COMPLET",1,IF(LEFT(Control_Achizitii!$J923,9)="INCOMPLET",2,3)))</f>
        <v>0</v>
      </c>
      <c r="Z923" s="27"/>
      <c r="AA923" s="27"/>
      <c r="AB923" s="27"/>
      <c r="AC923" s="27"/>
      <c r="AD923" s="27"/>
      <c r="AE923" s="27"/>
      <c r="AF923" s="27"/>
      <c r="AG923" s="27"/>
      <c r="AH923" s="27">
        <f>IF(AND(V923=1,Control_Achizitii!$J923="DOSAR COMPLET",Control_Achizitii!$K923&lt;&gt;""),1,0)</f>
        <v>0</v>
      </c>
    </row>
    <row r="924" spans="1:34">
      <c r="A924" s="27"/>
      <c r="B924" s="27"/>
      <c r="C924" s="27"/>
      <c r="D924" s="27"/>
      <c r="E924" s="27"/>
      <c r="F924" s="27"/>
      <c r="G924" s="27"/>
      <c r="H924" s="27"/>
      <c r="I924" s="27"/>
      <c r="J924" s="27"/>
      <c r="K924" s="27"/>
      <c r="L924" s="27"/>
      <c r="M924" s="27"/>
      <c r="N924" s="27"/>
      <c r="O924" s="27"/>
      <c r="P924" s="27"/>
      <c r="Q924" s="27"/>
      <c r="R924" s="27"/>
      <c r="S924" s="27"/>
      <c r="T924" s="27">
        <f>IF(LEFT(Control_Achizitii!$E924,4)="Fact",1,0)</f>
        <v>0</v>
      </c>
      <c r="U924" s="27">
        <f>IF(Control_Achizitii!$C924="",0,IF(ISNUMBER(Control_Achizitii!$B924),0,1))</f>
        <v>0</v>
      </c>
      <c r="V924" s="27">
        <f>IF(Control_Achizitii!$C924="",0,IF($Z$2&lt;&gt;"OK",0,IF(AND(ISNUMBER(Control_Achizitii!$B924),Control_Achizitii!$B924&gt;=$E$5,Control_Achizitii!$B924&lt;$J$5+1,OR($O$5="Toate proiectele",Control_Achizitii!$Q924=$O$5)),1,0)))</f>
        <v>0</v>
      </c>
      <c r="W924" s="27">
        <f>IF(AND(V924=1,OR(Control_Achizitii!$J924&lt;&gt;"DOSAR COMPLET",Control_Achizitii!$K924&lt;&gt;"")),ROW(),1000000000)</f>
        <v>1000000000</v>
      </c>
      <c r="X924" s="27">
        <f>IF(AND(V924=1,LEFT(Control_Achizitii!$E924,4)="Fact",NOT(ISNUMBER(Control_Achizitii!$P924))),1,0)</f>
        <v>0</v>
      </c>
      <c r="Y924" s="27">
        <f>IF(V924=0,0,IF(Control_Achizitii!$J924="DOSAR COMPLET",1,IF(LEFT(Control_Achizitii!$J924,9)="INCOMPLET",2,3)))</f>
        <v>0</v>
      </c>
      <c r="Z924" s="27"/>
      <c r="AA924" s="27"/>
      <c r="AB924" s="27"/>
      <c r="AC924" s="27"/>
      <c r="AD924" s="27"/>
      <c r="AE924" s="27"/>
      <c r="AF924" s="27"/>
      <c r="AG924" s="27"/>
      <c r="AH924" s="27">
        <f>IF(AND(V924=1,Control_Achizitii!$J924="DOSAR COMPLET",Control_Achizitii!$K924&lt;&gt;""),1,0)</f>
        <v>0</v>
      </c>
    </row>
    <row r="925" spans="1:34">
      <c r="A925" s="27"/>
      <c r="B925" s="27"/>
      <c r="C925" s="27"/>
      <c r="D925" s="27"/>
      <c r="E925" s="27"/>
      <c r="F925" s="27"/>
      <c r="G925" s="27"/>
      <c r="H925" s="27"/>
      <c r="I925" s="27"/>
      <c r="J925" s="27"/>
      <c r="K925" s="27"/>
      <c r="L925" s="27"/>
      <c r="M925" s="27"/>
      <c r="N925" s="27"/>
      <c r="O925" s="27"/>
      <c r="P925" s="27"/>
      <c r="Q925" s="27"/>
      <c r="R925" s="27"/>
      <c r="S925" s="27"/>
      <c r="T925" s="27">
        <f>IF(LEFT(Control_Achizitii!$E925,4)="Fact",1,0)</f>
        <v>0</v>
      </c>
      <c r="U925" s="27">
        <f>IF(Control_Achizitii!$C925="",0,IF(ISNUMBER(Control_Achizitii!$B925),0,1))</f>
        <v>0</v>
      </c>
      <c r="V925" s="27">
        <f>IF(Control_Achizitii!$C925="",0,IF($Z$2&lt;&gt;"OK",0,IF(AND(ISNUMBER(Control_Achizitii!$B925),Control_Achizitii!$B925&gt;=$E$5,Control_Achizitii!$B925&lt;$J$5+1,OR($O$5="Toate proiectele",Control_Achizitii!$Q925=$O$5)),1,0)))</f>
        <v>0</v>
      </c>
      <c r="W925" s="27">
        <f>IF(AND(V925=1,OR(Control_Achizitii!$J925&lt;&gt;"DOSAR COMPLET",Control_Achizitii!$K925&lt;&gt;"")),ROW(),1000000000)</f>
        <v>1000000000</v>
      </c>
      <c r="X925" s="27">
        <f>IF(AND(V925=1,LEFT(Control_Achizitii!$E925,4)="Fact",NOT(ISNUMBER(Control_Achizitii!$P925))),1,0)</f>
        <v>0</v>
      </c>
      <c r="Y925" s="27">
        <f>IF(V925=0,0,IF(Control_Achizitii!$J925="DOSAR COMPLET",1,IF(LEFT(Control_Achizitii!$J925,9)="INCOMPLET",2,3)))</f>
        <v>0</v>
      </c>
      <c r="Z925" s="27"/>
      <c r="AA925" s="27"/>
      <c r="AB925" s="27"/>
      <c r="AC925" s="27"/>
      <c r="AD925" s="27"/>
      <c r="AE925" s="27"/>
      <c r="AF925" s="27"/>
      <c r="AG925" s="27"/>
      <c r="AH925" s="27">
        <f>IF(AND(V925=1,Control_Achizitii!$J925="DOSAR COMPLET",Control_Achizitii!$K925&lt;&gt;""),1,0)</f>
        <v>0</v>
      </c>
    </row>
    <row r="926" spans="1:34">
      <c r="A926" s="27"/>
      <c r="B926" s="27"/>
      <c r="C926" s="27"/>
      <c r="D926" s="27"/>
      <c r="E926" s="27"/>
      <c r="F926" s="27"/>
      <c r="G926" s="27"/>
      <c r="H926" s="27"/>
      <c r="I926" s="27"/>
      <c r="J926" s="27"/>
      <c r="K926" s="27"/>
      <c r="L926" s="27"/>
      <c r="M926" s="27"/>
      <c r="N926" s="27"/>
      <c r="O926" s="27"/>
      <c r="P926" s="27"/>
      <c r="Q926" s="27"/>
      <c r="R926" s="27"/>
      <c r="S926" s="27"/>
      <c r="T926" s="27">
        <f>IF(LEFT(Control_Achizitii!$E926,4)="Fact",1,0)</f>
        <v>0</v>
      </c>
      <c r="U926" s="27">
        <f>IF(Control_Achizitii!$C926="",0,IF(ISNUMBER(Control_Achizitii!$B926),0,1))</f>
        <v>0</v>
      </c>
      <c r="V926" s="27">
        <f>IF(Control_Achizitii!$C926="",0,IF($Z$2&lt;&gt;"OK",0,IF(AND(ISNUMBER(Control_Achizitii!$B926),Control_Achizitii!$B926&gt;=$E$5,Control_Achizitii!$B926&lt;$J$5+1,OR($O$5="Toate proiectele",Control_Achizitii!$Q926=$O$5)),1,0)))</f>
        <v>0</v>
      </c>
      <c r="W926" s="27">
        <f>IF(AND(V926=1,OR(Control_Achizitii!$J926&lt;&gt;"DOSAR COMPLET",Control_Achizitii!$K926&lt;&gt;"")),ROW(),1000000000)</f>
        <v>1000000000</v>
      </c>
      <c r="X926" s="27">
        <f>IF(AND(V926=1,LEFT(Control_Achizitii!$E926,4)="Fact",NOT(ISNUMBER(Control_Achizitii!$P926))),1,0)</f>
        <v>0</v>
      </c>
      <c r="Y926" s="27">
        <f>IF(V926=0,0,IF(Control_Achizitii!$J926="DOSAR COMPLET",1,IF(LEFT(Control_Achizitii!$J926,9)="INCOMPLET",2,3)))</f>
        <v>0</v>
      </c>
      <c r="Z926" s="27"/>
      <c r="AA926" s="27"/>
      <c r="AB926" s="27"/>
      <c r="AC926" s="27"/>
      <c r="AD926" s="27"/>
      <c r="AE926" s="27"/>
      <c r="AF926" s="27"/>
      <c r="AG926" s="27"/>
      <c r="AH926" s="27">
        <f>IF(AND(V926=1,Control_Achizitii!$J926="DOSAR COMPLET",Control_Achizitii!$K926&lt;&gt;""),1,0)</f>
        <v>0</v>
      </c>
    </row>
    <row r="927" spans="1:34">
      <c r="A927" s="27"/>
      <c r="B927" s="27"/>
      <c r="C927" s="27"/>
      <c r="D927" s="27"/>
      <c r="E927" s="27"/>
      <c r="F927" s="27"/>
      <c r="G927" s="27"/>
      <c r="H927" s="27"/>
      <c r="I927" s="27"/>
      <c r="J927" s="27"/>
      <c r="K927" s="27"/>
      <c r="L927" s="27"/>
      <c r="M927" s="27"/>
      <c r="N927" s="27"/>
      <c r="O927" s="27"/>
      <c r="P927" s="27"/>
      <c r="Q927" s="27"/>
      <c r="R927" s="27"/>
      <c r="S927" s="27"/>
      <c r="T927" s="27">
        <f>IF(LEFT(Control_Achizitii!$E927,4)="Fact",1,0)</f>
        <v>0</v>
      </c>
      <c r="U927" s="27">
        <f>IF(Control_Achizitii!$C927="",0,IF(ISNUMBER(Control_Achizitii!$B927),0,1))</f>
        <v>0</v>
      </c>
      <c r="V927" s="27">
        <f>IF(Control_Achizitii!$C927="",0,IF($Z$2&lt;&gt;"OK",0,IF(AND(ISNUMBER(Control_Achizitii!$B927),Control_Achizitii!$B927&gt;=$E$5,Control_Achizitii!$B927&lt;$J$5+1,OR($O$5="Toate proiectele",Control_Achizitii!$Q927=$O$5)),1,0)))</f>
        <v>0</v>
      </c>
      <c r="W927" s="27">
        <f>IF(AND(V927=1,OR(Control_Achizitii!$J927&lt;&gt;"DOSAR COMPLET",Control_Achizitii!$K927&lt;&gt;"")),ROW(),1000000000)</f>
        <v>1000000000</v>
      </c>
      <c r="X927" s="27">
        <f>IF(AND(V927=1,LEFT(Control_Achizitii!$E927,4)="Fact",NOT(ISNUMBER(Control_Achizitii!$P927))),1,0)</f>
        <v>0</v>
      </c>
      <c r="Y927" s="27">
        <f>IF(V927=0,0,IF(Control_Achizitii!$J927="DOSAR COMPLET",1,IF(LEFT(Control_Achizitii!$J927,9)="INCOMPLET",2,3)))</f>
        <v>0</v>
      </c>
      <c r="Z927" s="27"/>
      <c r="AA927" s="27"/>
      <c r="AB927" s="27"/>
      <c r="AC927" s="27"/>
      <c r="AD927" s="27"/>
      <c r="AE927" s="27"/>
      <c r="AF927" s="27"/>
      <c r="AG927" s="27"/>
      <c r="AH927" s="27">
        <f>IF(AND(V927=1,Control_Achizitii!$J927="DOSAR COMPLET",Control_Achizitii!$K927&lt;&gt;""),1,0)</f>
        <v>0</v>
      </c>
    </row>
    <row r="928" spans="1:34">
      <c r="A928" s="27"/>
      <c r="B928" s="27"/>
      <c r="C928" s="27"/>
      <c r="D928" s="27"/>
      <c r="E928" s="27"/>
      <c r="F928" s="27"/>
      <c r="G928" s="27"/>
      <c r="H928" s="27"/>
      <c r="I928" s="27"/>
      <c r="J928" s="27"/>
      <c r="K928" s="27"/>
      <c r="L928" s="27"/>
      <c r="M928" s="27"/>
      <c r="N928" s="27"/>
      <c r="O928" s="27"/>
      <c r="P928" s="27"/>
      <c r="Q928" s="27"/>
      <c r="R928" s="27"/>
      <c r="S928" s="27"/>
      <c r="T928" s="27">
        <f>IF(LEFT(Control_Achizitii!$E928,4)="Fact",1,0)</f>
        <v>0</v>
      </c>
      <c r="U928" s="27">
        <f>IF(Control_Achizitii!$C928="",0,IF(ISNUMBER(Control_Achizitii!$B928),0,1))</f>
        <v>0</v>
      </c>
      <c r="V928" s="27">
        <f>IF(Control_Achizitii!$C928="",0,IF($Z$2&lt;&gt;"OK",0,IF(AND(ISNUMBER(Control_Achizitii!$B928),Control_Achizitii!$B928&gt;=$E$5,Control_Achizitii!$B928&lt;$J$5+1,OR($O$5="Toate proiectele",Control_Achizitii!$Q928=$O$5)),1,0)))</f>
        <v>0</v>
      </c>
      <c r="W928" s="27">
        <f>IF(AND(V928=1,OR(Control_Achizitii!$J928&lt;&gt;"DOSAR COMPLET",Control_Achizitii!$K928&lt;&gt;"")),ROW(),1000000000)</f>
        <v>1000000000</v>
      </c>
      <c r="X928" s="27">
        <f>IF(AND(V928=1,LEFT(Control_Achizitii!$E928,4)="Fact",NOT(ISNUMBER(Control_Achizitii!$P928))),1,0)</f>
        <v>0</v>
      </c>
      <c r="Y928" s="27">
        <f>IF(V928=0,0,IF(Control_Achizitii!$J928="DOSAR COMPLET",1,IF(LEFT(Control_Achizitii!$J928,9)="INCOMPLET",2,3)))</f>
        <v>0</v>
      </c>
      <c r="Z928" s="27"/>
      <c r="AA928" s="27"/>
      <c r="AB928" s="27"/>
      <c r="AC928" s="27"/>
      <c r="AD928" s="27"/>
      <c r="AE928" s="27"/>
      <c r="AF928" s="27"/>
      <c r="AG928" s="27"/>
      <c r="AH928" s="27">
        <f>IF(AND(V928=1,Control_Achizitii!$J928="DOSAR COMPLET",Control_Achizitii!$K928&lt;&gt;""),1,0)</f>
        <v>0</v>
      </c>
    </row>
    <row r="929" spans="1:34">
      <c r="A929" s="27"/>
      <c r="B929" s="27"/>
      <c r="C929" s="27"/>
      <c r="D929" s="27"/>
      <c r="E929" s="27"/>
      <c r="F929" s="27"/>
      <c r="G929" s="27"/>
      <c r="H929" s="27"/>
      <c r="I929" s="27"/>
      <c r="J929" s="27"/>
      <c r="K929" s="27"/>
      <c r="L929" s="27"/>
      <c r="M929" s="27"/>
      <c r="N929" s="27"/>
      <c r="O929" s="27"/>
      <c r="P929" s="27"/>
      <c r="Q929" s="27"/>
      <c r="R929" s="27"/>
      <c r="S929" s="27"/>
      <c r="T929" s="27">
        <f>IF(LEFT(Control_Achizitii!$E929,4)="Fact",1,0)</f>
        <v>0</v>
      </c>
      <c r="U929" s="27">
        <f>IF(Control_Achizitii!$C929="",0,IF(ISNUMBER(Control_Achizitii!$B929),0,1))</f>
        <v>0</v>
      </c>
      <c r="V929" s="27">
        <f>IF(Control_Achizitii!$C929="",0,IF($Z$2&lt;&gt;"OK",0,IF(AND(ISNUMBER(Control_Achizitii!$B929),Control_Achizitii!$B929&gt;=$E$5,Control_Achizitii!$B929&lt;$J$5+1,OR($O$5="Toate proiectele",Control_Achizitii!$Q929=$O$5)),1,0)))</f>
        <v>0</v>
      </c>
      <c r="W929" s="27">
        <f>IF(AND(V929=1,OR(Control_Achizitii!$J929&lt;&gt;"DOSAR COMPLET",Control_Achizitii!$K929&lt;&gt;"")),ROW(),1000000000)</f>
        <v>1000000000</v>
      </c>
      <c r="X929" s="27">
        <f>IF(AND(V929=1,LEFT(Control_Achizitii!$E929,4)="Fact",NOT(ISNUMBER(Control_Achizitii!$P929))),1,0)</f>
        <v>0</v>
      </c>
      <c r="Y929" s="27">
        <f>IF(V929=0,0,IF(Control_Achizitii!$J929="DOSAR COMPLET",1,IF(LEFT(Control_Achizitii!$J929,9)="INCOMPLET",2,3)))</f>
        <v>0</v>
      </c>
      <c r="Z929" s="27"/>
      <c r="AA929" s="27"/>
      <c r="AB929" s="27"/>
      <c r="AC929" s="27"/>
      <c r="AD929" s="27"/>
      <c r="AE929" s="27"/>
      <c r="AF929" s="27"/>
      <c r="AG929" s="27"/>
      <c r="AH929" s="27">
        <f>IF(AND(V929=1,Control_Achizitii!$J929="DOSAR COMPLET",Control_Achizitii!$K929&lt;&gt;""),1,0)</f>
        <v>0</v>
      </c>
    </row>
    <row r="930" spans="1:34">
      <c r="A930" s="27"/>
      <c r="B930" s="27"/>
      <c r="C930" s="27"/>
      <c r="D930" s="27"/>
      <c r="E930" s="27"/>
      <c r="F930" s="27"/>
      <c r="G930" s="27"/>
      <c r="H930" s="27"/>
      <c r="I930" s="27"/>
      <c r="J930" s="27"/>
      <c r="K930" s="27"/>
      <c r="L930" s="27"/>
      <c r="M930" s="27"/>
      <c r="N930" s="27"/>
      <c r="O930" s="27"/>
      <c r="P930" s="27"/>
      <c r="Q930" s="27"/>
      <c r="R930" s="27"/>
      <c r="S930" s="27"/>
      <c r="T930" s="27">
        <f>IF(LEFT(Control_Achizitii!$E930,4)="Fact",1,0)</f>
        <v>0</v>
      </c>
      <c r="U930" s="27">
        <f>IF(Control_Achizitii!$C930="",0,IF(ISNUMBER(Control_Achizitii!$B930),0,1))</f>
        <v>0</v>
      </c>
      <c r="V930" s="27">
        <f>IF(Control_Achizitii!$C930="",0,IF($Z$2&lt;&gt;"OK",0,IF(AND(ISNUMBER(Control_Achizitii!$B930),Control_Achizitii!$B930&gt;=$E$5,Control_Achizitii!$B930&lt;$J$5+1,OR($O$5="Toate proiectele",Control_Achizitii!$Q930=$O$5)),1,0)))</f>
        <v>0</v>
      </c>
      <c r="W930" s="27">
        <f>IF(AND(V930=1,OR(Control_Achizitii!$J930&lt;&gt;"DOSAR COMPLET",Control_Achizitii!$K930&lt;&gt;"")),ROW(),1000000000)</f>
        <v>1000000000</v>
      </c>
      <c r="X930" s="27">
        <f>IF(AND(V930=1,LEFT(Control_Achizitii!$E930,4)="Fact",NOT(ISNUMBER(Control_Achizitii!$P930))),1,0)</f>
        <v>0</v>
      </c>
      <c r="Y930" s="27">
        <f>IF(V930=0,0,IF(Control_Achizitii!$J930="DOSAR COMPLET",1,IF(LEFT(Control_Achizitii!$J930,9)="INCOMPLET",2,3)))</f>
        <v>0</v>
      </c>
      <c r="Z930" s="27"/>
      <c r="AA930" s="27"/>
      <c r="AB930" s="27"/>
      <c r="AC930" s="27"/>
      <c r="AD930" s="27"/>
      <c r="AE930" s="27"/>
      <c r="AF930" s="27"/>
      <c r="AG930" s="27"/>
      <c r="AH930" s="27">
        <f>IF(AND(V930=1,Control_Achizitii!$J930="DOSAR COMPLET",Control_Achizitii!$K930&lt;&gt;""),1,0)</f>
        <v>0</v>
      </c>
    </row>
    <row r="931" spans="1:34">
      <c r="A931" s="27"/>
      <c r="B931" s="27"/>
      <c r="C931" s="27"/>
      <c r="D931" s="27"/>
      <c r="E931" s="27"/>
      <c r="F931" s="27"/>
      <c r="G931" s="27"/>
      <c r="H931" s="27"/>
      <c r="I931" s="27"/>
      <c r="J931" s="27"/>
      <c r="K931" s="27"/>
      <c r="L931" s="27"/>
      <c r="M931" s="27"/>
      <c r="N931" s="27"/>
      <c r="O931" s="27"/>
      <c r="P931" s="27"/>
      <c r="Q931" s="27"/>
      <c r="R931" s="27"/>
      <c r="S931" s="27"/>
      <c r="T931" s="27">
        <f>IF(LEFT(Control_Achizitii!$E931,4)="Fact",1,0)</f>
        <v>0</v>
      </c>
      <c r="U931" s="27">
        <f>IF(Control_Achizitii!$C931="",0,IF(ISNUMBER(Control_Achizitii!$B931),0,1))</f>
        <v>0</v>
      </c>
      <c r="V931" s="27">
        <f>IF(Control_Achizitii!$C931="",0,IF($Z$2&lt;&gt;"OK",0,IF(AND(ISNUMBER(Control_Achizitii!$B931),Control_Achizitii!$B931&gt;=$E$5,Control_Achizitii!$B931&lt;$J$5+1,OR($O$5="Toate proiectele",Control_Achizitii!$Q931=$O$5)),1,0)))</f>
        <v>0</v>
      </c>
      <c r="W931" s="27">
        <f>IF(AND(V931=1,OR(Control_Achizitii!$J931&lt;&gt;"DOSAR COMPLET",Control_Achizitii!$K931&lt;&gt;"")),ROW(),1000000000)</f>
        <v>1000000000</v>
      </c>
      <c r="X931" s="27">
        <f>IF(AND(V931=1,LEFT(Control_Achizitii!$E931,4)="Fact",NOT(ISNUMBER(Control_Achizitii!$P931))),1,0)</f>
        <v>0</v>
      </c>
      <c r="Y931" s="27">
        <f>IF(V931=0,0,IF(Control_Achizitii!$J931="DOSAR COMPLET",1,IF(LEFT(Control_Achizitii!$J931,9)="INCOMPLET",2,3)))</f>
        <v>0</v>
      </c>
      <c r="Z931" s="27"/>
      <c r="AA931" s="27"/>
      <c r="AB931" s="27"/>
      <c r="AC931" s="27"/>
      <c r="AD931" s="27"/>
      <c r="AE931" s="27"/>
      <c r="AF931" s="27"/>
      <c r="AG931" s="27"/>
      <c r="AH931" s="27">
        <f>IF(AND(V931=1,Control_Achizitii!$J931="DOSAR COMPLET",Control_Achizitii!$K931&lt;&gt;""),1,0)</f>
        <v>0</v>
      </c>
    </row>
    <row r="932" spans="1:34">
      <c r="A932" s="27"/>
      <c r="B932" s="27"/>
      <c r="C932" s="27"/>
      <c r="D932" s="27"/>
      <c r="E932" s="27"/>
      <c r="F932" s="27"/>
      <c r="G932" s="27"/>
      <c r="H932" s="27"/>
      <c r="I932" s="27"/>
      <c r="J932" s="27"/>
      <c r="K932" s="27"/>
      <c r="L932" s="27"/>
      <c r="M932" s="27"/>
      <c r="N932" s="27"/>
      <c r="O932" s="27"/>
      <c r="P932" s="27"/>
      <c r="Q932" s="27"/>
      <c r="R932" s="27"/>
      <c r="S932" s="27"/>
      <c r="T932" s="27">
        <f>IF(LEFT(Control_Achizitii!$E932,4)="Fact",1,0)</f>
        <v>0</v>
      </c>
      <c r="U932" s="27">
        <f>IF(Control_Achizitii!$C932="",0,IF(ISNUMBER(Control_Achizitii!$B932),0,1))</f>
        <v>0</v>
      </c>
      <c r="V932" s="27">
        <f>IF(Control_Achizitii!$C932="",0,IF($Z$2&lt;&gt;"OK",0,IF(AND(ISNUMBER(Control_Achizitii!$B932),Control_Achizitii!$B932&gt;=$E$5,Control_Achizitii!$B932&lt;$J$5+1,OR($O$5="Toate proiectele",Control_Achizitii!$Q932=$O$5)),1,0)))</f>
        <v>0</v>
      </c>
      <c r="W932" s="27">
        <f>IF(AND(V932=1,OR(Control_Achizitii!$J932&lt;&gt;"DOSAR COMPLET",Control_Achizitii!$K932&lt;&gt;"")),ROW(),1000000000)</f>
        <v>1000000000</v>
      </c>
      <c r="X932" s="27">
        <f>IF(AND(V932=1,LEFT(Control_Achizitii!$E932,4)="Fact",NOT(ISNUMBER(Control_Achizitii!$P932))),1,0)</f>
        <v>0</v>
      </c>
      <c r="Y932" s="27">
        <f>IF(V932=0,0,IF(Control_Achizitii!$J932="DOSAR COMPLET",1,IF(LEFT(Control_Achizitii!$J932,9)="INCOMPLET",2,3)))</f>
        <v>0</v>
      </c>
      <c r="Z932" s="27"/>
      <c r="AA932" s="27"/>
      <c r="AB932" s="27"/>
      <c r="AC932" s="27"/>
      <c r="AD932" s="27"/>
      <c r="AE932" s="27"/>
      <c r="AF932" s="27"/>
      <c r="AG932" s="27"/>
      <c r="AH932" s="27">
        <f>IF(AND(V932=1,Control_Achizitii!$J932="DOSAR COMPLET",Control_Achizitii!$K932&lt;&gt;""),1,0)</f>
        <v>0</v>
      </c>
    </row>
    <row r="933" spans="1:34">
      <c r="A933" s="27"/>
      <c r="B933" s="27"/>
      <c r="C933" s="27"/>
      <c r="D933" s="27"/>
      <c r="E933" s="27"/>
      <c r="F933" s="27"/>
      <c r="G933" s="27"/>
      <c r="H933" s="27"/>
      <c r="I933" s="27"/>
      <c r="J933" s="27"/>
      <c r="K933" s="27"/>
      <c r="L933" s="27"/>
      <c r="M933" s="27"/>
      <c r="N933" s="27"/>
      <c r="O933" s="27"/>
      <c r="P933" s="27"/>
      <c r="Q933" s="27"/>
      <c r="R933" s="27"/>
      <c r="S933" s="27"/>
      <c r="T933" s="27">
        <f>IF(LEFT(Control_Achizitii!$E933,4)="Fact",1,0)</f>
        <v>0</v>
      </c>
      <c r="U933" s="27">
        <f>IF(Control_Achizitii!$C933="",0,IF(ISNUMBER(Control_Achizitii!$B933),0,1))</f>
        <v>0</v>
      </c>
      <c r="V933" s="27">
        <f>IF(Control_Achizitii!$C933="",0,IF($Z$2&lt;&gt;"OK",0,IF(AND(ISNUMBER(Control_Achizitii!$B933),Control_Achizitii!$B933&gt;=$E$5,Control_Achizitii!$B933&lt;$J$5+1,OR($O$5="Toate proiectele",Control_Achizitii!$Q933=$O$5)),1,0)))</f>
        <v>0</v>
      </c>
      <c r="W933" s="27">
        <f>IF(AND(V933=1,OR(Control_Achizitii!$J933&lt;&gt;"DOSAR COMPLET",Control_Achizitii!$K933&lt;&gt;"")),ROW(),1000000000)</f>
        <v>1000000000</v>
      </c>
      <c r="X933" s="27">
        <f>IF(AND(V933=1,LEFT(Control_Achizitii!$E933,4)="Fact",NOT(ISNUMBER(Control_Achizitii!$P933))),1,0)</f>
        <v>0</v>
      </c>
      <c r="Y933" s="27">
        <f>IF(V933=0,0,IF(Control_Achizitii!$J933="DOSAR COMPLET",1,IF(LEFT(Control_Achizitii!$J933,9)="INCOMPLET",2,3)))</f>
        <v>0</v>
      </c>
      <c r="Z933" s="27"/>
      <c r="AA933" s="27"/>
      <c r="AB933" s="27"/>
      <c r="AC933" s="27"/>
      <c r="AD933" s="27"/>
      <c r="AE933" s="27"/>
      <c r="AF933" s="27"/>
      <c r="AG933" s="27"/>
      <c r="AH933" s="27">
        <f>IF(AND(V933=1,Control_Achizitii!$J933="DOSAR COMPLET",Control_Achizitii!$K933&lt;&gt;""),1,0)</f>
        <v>0</v>
      </c>
    </row>
    <row r="934" spans="1:34">
      <c r="A934" s="27"/>
      <c r="B934" s="27"/>
      <c r="C934" s="27"/>
      <c r="D934" s="27"/>
      <c r="E934" s="27"/>
      <c r="F934" s="27"/>
      <c r="G934" s="27"/>
      <c r="H934" s="27"/>
      <c r="I934" s="27"/>
      <c r="J934" s="27"/>
      <c r="K934" s="27"/>
      <c r="L934" s="27"/>
      <c r="M934" s="27"/>
      <c r="N934" s="27"/>
      <c r="O934" s="27"/>
      <c r="P934" s="27"/>
      <c r="Q934" s="27"/>
      <c r="R934" s="27"/>
      <c r="S934" s="27"/>
      <c r="T934" s="27">
        <f>IF(LEFT(Control_Achizitii!$E934,4)="Fact",1,0)</f>
        <v>0</v>
      </c>
      <c r="U934" s="27">
        <f>IF(Control_Achizitii!$C934="",0,IF(ISNUMBER(Control_Achizitii!$B934),0,1))</f>
        <v>0</v>
      </c>
      <c r="V934" s="27">
        <f>IF(Control_Achizitii!$C934="",0,IF($Z$2&lt;&gt;"OK",0,IF(AND(ISNUMBER(Control_Achizitii!$B934),Control_Achizitii!$B934&gt;=$E$5,Control_Achizitii!$B934&lt;$J$5+1,OR($O$5="Toate proiectele",Control_Achizitii!$Q934=$O$5)),1,0)))</f>
        <v>0</v>
      </c>
      <c r="W934" s="27">
        <f>IF(AND(V934=1,OR(Control_Achizitii!$J934&lt;&gt;"DOSAR COMPLET",Control_Achizitii!$K934&lt;&gt;"")),ROW(),1000000000)</f>
        <v>1000000000</v>
      </c>
      <c r="X934" s="27">
        <f>IF(AND(V934=1,LEFT(Control_Achizitii!$E934,4)="Fact",NOT(ISNUMBER(Control_Achizitii!$P934))),1,0)</f>
        <v>0</v>
      </c>
      <c r="Y934" s="27">
        <f>IF(V934=0,0,IF(Control_Achizitii!$J934="DOSAR COMPLET",1,IF(LEFT(Control_Achizitii!$J934,9)="INCOMPLET",2,3)))</f>
        <v>0</v>
      </c>
      <c r="Z934" s="27"/>
      <c r="AA934" s="27"/>
      <c r="AB934" s="27"/>
      <c r="AC934" s="27"/>
      <c r="AD934" s="27"/>
      <c r="AE934" s="27"/>
      <c r="AF934" s="27"/>
      <c r="AG934" s="27"/>
      <c r="AH934" s="27">
        <f>IF(AND(V934=1,Control_Achizitii!$J934="DOSAR COMPLET",Control_Achizitii!$K934&lt;&gt;""),1,0)</f>
        <v>0</v>
      </c>
    </row>
    <row r="935" spans="1:34">
      <c r="A935" s="27"/>
      <c r="B935" s="27"/>
      <c r="C935" s="27"/>
      <c r="D935" s="27"/>
      <c r="E935" s="27"/>
      <c r="F935" s="27"/>
      <c r="G935" s="27"/>
      <c r="H935" s="27"/>
      <c r="I935" s="27"/>
      <c r="J935" s="27"/>
      <c r="K935" s="27"/>
      <c r="L935" s="27"/>
      <c r="M935" s="27"/>
      <c r="N935" s="27"/>
      <c r="O935" s="27"/>
      <c r="P935" s="27"/>
      <c r="Q935" s="27"/>
      <c r="R935" s="27"/>
      <c r="S935" s="27"/>
      <c r="T935" s="27">
        <f>IF(LEFT(Control_Achizitii!$E935,4)="Fact",1,0)</f>
        <v>0</v>
      </c>
      <c r="U935" s="27">
        <f>IF(Control_Achizitii!$C935="",0,IF(ISNUMBER(Control_Achizitii!$B935),0,1))</f>
        <v>0</v>
      </c>
      <c r="V935" s="27">
        <f>IF(Control_Achizitii!$C935="",0,IF($Z$2&lt;&gt;"OK",0,IF(AND(ISNUMBER(Control_Achizitii!$B935),Control_Achizitii!$B935&gt;=$E$5,Control_Achizitii!$B935&lt;$J$5+1,OR($O$5="Toate proiectele",Control_Achizitii!$Q935=$O$5)),1,0)))</f>
        <v>0</v>
      </c>
      <c r="W935" s="27">
        <f>IF(AND(V935=1,OR(Control_Achizitii!$J935&lt;&gt;"DOSAR COMPLET",Control_Achizitii!$K935&lt;&gt;"")),ROW(),1000000000)</f>
        <v>1000000000</v>
      </c>
      <c r="X935" s="27">
        <f>IF(AND(V935=1,LEFT(Control_Achizitii!$E935,4)="Fact",NOT(ISNUMBER(Control_Achizitii!$P935))),1,0)</f>
        <v>0</v>
      </c>
      <c r="Y935" s="27">
        <f>IF(V935=0,0,IF(Control_Achizitii!$J935="DOSAR COMPLET",1,IF(LEFT(Control_Achizitii!$J935,9)="INCOMPLET",2,3)))</f>
        <v>0</v>
      </c>
      <c r="Z935" s="27"/>
      <c r="AA935" s="27"/>
      <c r="AB935" s="27"/>
      <c r="AC935" s="27"/>
      <c r="AD935" s="27"/>
      <c r="AE935" s="27"/>
      <c r="AF935" s="27"/>
      <c r="AG935" s="27"/>
      <c r="AH935" s="27">
        <f>IF(AND(V935=1,Control_Achizitii!$J935="DOSAR COMPLET",Control_Achizitii!$K935&lt;&gt;""),1,0)</f>
        <v>0</v>
      </c>
    </row>
    <row r="936" spans="1:34">
      <c r="A936" s="27"/>
      <c r="B936" s="27"/>
      <c r="C936" s="27"/>
      <c r="D936" s="27"/>
      <c r="E936" s="27"/>
      <c r="F936" s="27"/>
      <c r="G936" s="27"/>
      <c r="H936" s="27"/>
      <c r="I936" s="27"/>
      <c r="J936" s="27"/>
      <c r="K936" s="27"/>
      <c r="L936" s="27"/>
      <c r="M936" s="27"/>
      <c r="N936" s="27"/>
      <c r="O936" s="27"/>
      <c r="P936" s="27"/>
      <c r="Q936" s="27"/>
      <c r="R936" s="27"/>
      <c r="S936" s="27"/>
      <c r="T936" s="27">
        <f>IF(LEFT(Control_Achizitii!$E936,4)="Fact",1,0)</f>
        <v>0</v>
      </c>
      <c r="U936" s="27">
        <f>IF(Control_Achizitii!$C936="",0,IF(ISNUMBER(Control_Achizitii!$B936),0,1))</f>
        <v>0</v>
      </c>
      <c r="V936" s="27">
        <f>IF(Control_Achizitii!$C936="",0,IF($Z$2&lt;&gt;"OK",0,IF(AND(ISNUMBER(Control_Achizitii!$B936),Control_Achizitii!$B936&gt;=$E$5,Control_Achizitii!$B936&lt;$J$5+1,OR($O$5="Toate proiectele",Control_Achizitii!$Q936=$O$5)),1,0)))</f>
        <v>0</v>
      </c>
      <c r="W936" s="27">
        <f>IF(AND(V936=1,OR(Control_Achizitii!$J936&lt;&gt;"DOSAR COMPLET",Control_Achizitii!$K936&lt;&gt;"")),ROW(),1000000000)</f>
        <v>1000000000</v>
      </c>
      <c r="X936" s="27">
        <f>IF(AND(V936=1,LEFT(Control_Achizitii!$E936,4)="Fact",NOT(ISNUMBER(Control_Achizitii!$P936))),1,0)</f>
        <v>0</v>
      </c>
      <c r="Y936" s="27">
        <f>IF(V936=0,0,IF(Control_Achizitii!$J936="DOSAR COMPLET",1,IF(LEFT(Control_Achizitii!$J936,9)="INCOMPLET",2,3)))</f>
        <v>0</v>
      </c>
      <c r="Z936" s="27"/>
      <c r="AA936" s="27"/>
      <c r="AB936" s="27"/>
      <c r="AC936" s="27"/>
      <c r="AD936" s="27"/>
      <c r="AE936" s="27"/>
      <c r="AF936" s="27"/>
      <c r="AG936" s="27"/>
      <c r="AH936" s="27">
        <f>IF(AND(V936=1,Control_Achizitii!$J936="DOSAR COMPLET",Control_Achizitii!$K936&lt;&gt;""),1,0)</f>
        <v>0</v>
      </c>
    </row>
    <row r="937" spans="1:34">
      <c r="A937" s="27"/>
      <c r="B937" s="27"/>
      <c r="C937" s="27"/>
      <c r="D937" s="27"/>
      <c r="E937" s="27"/>
      <c r="F937" s="27"/>
      <c r="G937" s="27"/>
      <c r="H937" s="27"/>
      <c r="I937" s="27"/>
      <c r="J937" s="27"/>
      <c r="K937" s="27"/>
      <c r="L937" s="27"/>
      <c r="M937" s="27"/>
      <c r="N937" s="27"/>
      <c r="O937" s="27"/>
      <c r="P937" s="27"/>
      <c r="Q937" s="27"/>
      <c r="R937" s="27"/>
      <c r="S937" s="27"/>
      <c r="T937" s="27">
        <f>IF(LEFT(Control_Achizitii!$E937,4)="Fact",1,0)</f>
        <v>0</v>
      </c>
      <c r="U937" s="27">
        <f>IF(Control_Achizitii!$C937="",0,IF(ISNUMBER(Control_Achizitii!$B937),0,1))</f>
        <v>0</v>
      </c>
      <c r="V937" s="27">
        <f>IF(Control_Achizitii!$C937="",0,IF($Z$2&lt;&gt;"OK",0,IF(AND(ISNUMBER(Control_Achizitii!$B937),Control_Achizitii!$B937&gt;=$E$5,Control_Achizitii!$B937&lt;$J$5+1,OR($O$5="Toate proiectele",Control_Achizitii!$Q937=$O$5)),1,0)))</f>
        <v>0</v>
      </c>
      <c r="W937" s="27">
        <f>IF(AND(V937=1,OR(Control_Achizitii!$J937&lt;&gt;"DOSAR COMPLET",Control_Achizitii!$K937&lt;&gt;"")),ROW(),1000000000)</f>
        <v>1000000000</v>
      </c>
      <c r="X937" s="27">
        <f>IF(AND(V937=1,LEFT(Control_Achizitii!$E937,4)="Fact",NOT(ISNUMBER(Control_Achizitii!$P937))),1,0)</f>
        <v>0</v>
      </c>
      <c r="Y937" s="27">
        <f>IF(V937=0,0,IF(Control_Achizitii!$J937="DOSAR COMPLET",1,IF(LEFT(Control_Achizitii!$J937,9)="INCOMPLET",2,3)))</f>
        <v>0</v>
      </c>
      <c r="Z937" s="27"/>
      <c r="AA937" s="27"/>
      <c r="AB937" s="27"/>
      <c r="AC937" s="27"/>
      <c r="AD937" s="27"/>
      <c r="AE937" s="27"/>
      <c r="AF937" s="27"/>
      <c r="AG937" s="27"/>
      <c r="AH937" s="27">
        <f>IF(AND(V937=1,Control_Achizitii!$J937="DOSAR COMPLET",Control_Achizitii!$K937&lt;&gt;""),1,0)</f>
        <v>0</v>
      </c>
    </row>
    <row r="938" spans="1:34">
      <c r="A938" s="27"/>
      <c r="B938" s="27"/>
      <c r="C938" s="27"/>
      <c r="D938" s="27"/>
      <c r="E938" s="27"/>
      <c r="F938" s="27"/>
      <c r="G938" s="27"/>
      <c r="H938" s="27"/>
      <c r="I938" s="27"/>
      <c r="J938" s="27"/>
      <c r="K938" s="27"/>
      <c r="L938" s="27"/>
      <c r="M938" s="27"/>
      <c r="N938" s="27"/>
      <c r="O938" s="27"/>
      <c r="P938" s="27"/>
      <c r="Q938" s="27"/>
      <c r="R938" s="27"/>
      <c r="S938" s="27"/>
      <c r="T938" s="27">
        <f>IF(LEFT(Control_Achizitii!$E938,4)="Fact",1,0)</f>
        <v>0</v>
      </c>
      <c r="U938" s="27">
        <f>IF(Control_Achizitii!$C938="",0,IF(ISNUMBER(Control_Achizitii!$B938),0,1))</f>
        <v>0</v>
      </c>
      <c r="V938" s="27">
        <f>IF(Control_Achizitii!$C938="",0,IF($Z$2&lt;&gt;"OK",0,IF(AND(ISNUMBER(Control_Achizitii!$B938),Control_Achizitii!$B938&gt;=$E$5,Control_Achizitii!$B938&lt;$J$5+1,OR($O$5="Toate proiectele",Control_Achizitii!$Q938=$O$5)),1,0)))</f>
        <v>0</v>
      </c>
      <c r="W938" s="27">
        <f>IF(AND(V938=1,OR(Control_Achizitii!$J938&lt;&gt;"DOSAR COMPLET",Control_Achizitii!$K938&lt;&gt;"")),ROW(),1000000000)</f>
        <v>1000000000</v>
      </c>
      <c r="X938" s="27">
        <f>IF(AND(V938=1,LEFT(Control_Achizitii!$E938,4)="Fact",NOT(ISNUMBER(Control_Achizitii!$P938))),1,0)</f>
        <v>0</v>
      </c>
      <c r="Y938" s="27">
        <f>IF(V938=0,0,IF(Control_Achizitii!$J938="DOSAR COMPLET",1,IF(LEFT(Control_Achizitii!$J938,9)="INCOMPLET",2,3)))</f>
        <v>0</v>
      </c>
      <c r="Z938" s="27"/>
      <c r="AA938" s="27"/>
      <c r="AB938" s="27"/>
      <c r="AC938" s="27"/>
      <c r="AD938" s="27"/>
      <c r="AE938" s="27"/>
      <c r="AF938" s="27"/>
      <c r="AG938" s="27"/>
      <c r="AH938" s="27">
        <f>IF(AND(V938=1,Control_Achizitii!$J938="DOSAR COMPLET",Control_Achizitii!$K938&lt;&gt;""),1,0)</f>
        <v>0</v>
      </c>
    </row>
    <row r="939" spans="1:34">
      <c r="A939" s="27"/>
      <c r="B939" s="27"/>
      <c r="C939" s="27"/>
      <c r="D939" s="27"/>
      <c r="E939" s="27"/>
      <c r="F939" s="27"/>
      <c r="G939" s="27"/>
      <c r="H939" s="27"/>
      <c r="I939" s="27"/>
      <c r="J939" s="27"/>
      <c r="K939" s="27"/>
      <c r="L939" s="27"/>
      <c r="M939" s="27"/>
      <c r="N939" s="27"/>
      <c r="O939" s="27"/>
      <c r="P939" s="27"/>
      <c r="Q939" s="27"/>
      <c r="R939" s="27"/>
      <c r="S939" s="27"/>
      <c r="T939" s="27">
        <f>IF(LEFT(Control_Achizitii!$E939,4)="Fact",1,0)</f>
        <v>0</v>
      </c>
      <c r="U939" s="27">
        <f>IF(Control_Achizitii!$C939="",0,IF(ISNUMBER(Control_Achizitii!$B939),0,1))</f>
        <v>0</v>
      </c>
      <c r="V939" s="27">
        <f>IF(Control_Achizitii!$C939="",0,IF($Z$2&lt;&gt;"OK",0,IF(AND(ISNUMBER(Control_Achizitii!$B939),Control_Achizitii!$B939&gt;=$E$5,Control_Achizitii!$B939&lt;$J$5+1,OR($O$5="Toate proiectele",Control_Achizitii!$Q939=$O$5)),1,0)))</f>
        <v>0</v>
      </c>
      <c r="W939" s="27">
        <f>IF(AND(V939=1,OR(Control_Achizitii!$J939&lt;&gt;"DOSAR COMPLET",Control_Achizitii!$K939&lt;&gt;"")),ROW(),1000000000)</f>
        <v>1000000000</v>
      </c>
      <c r="X939" s="27">
        <f>IF(AND(V939=1,LEFT(Control_Achizitii!$E939,4)="Fact",NOT(ISNUMBER(Control_Achizitii!$P939))),1,0)</f>
        <v>0</v>
      </c>
      <c r="Y939" s="27">
        <f>IF(V939=0,0,IF(Control_Achizitii!$J939="DOSAR COMPLET",1,IF(LEFT(Control_Achizitii!$J939,9)="INCOMPLET",2,3)))</f>
        <v>0</v>
      </c>
      <c r="Z939" s="27"/>
      <c r="AA939" s="27"/>
      <c r="AB939" s="27"/>
      <c r="AC939" s="27"/>
      <c r="AD939" s="27"/>
      <c r="AE939" s="27"/>
      <c r="AF939" s="27"/>
      <c r="AG939" s="27"/>
      <c r="AH939" s="27">
        <f>IF(AND(V939=1,Control_Achizitii!$J939="DOSAR COMPLET",Control_Achizitii!$K939&lt;&gt;""),1,0)</f>
        <v>0</v>
      </c>
    </row>
    <row r="940" spans="1:34">
      <c r="A940" s="27"/>
      <c r="B940" s="27"/>
      <c r="C940" s="27"/>
      <c r="D940" s="27"/>
      <c r="E940" s="27"/>
      <c r="F940" s="27"/>
      <c r="G940" s="27"/>
      <c r="H940" s="27"/>
      <c r="I940" s="27"/>
      <c r="J940" s="27"/>
      <c r="K940" s="27"/>
      <c r="L940" s="27"/>
      <c r="M940" s="27"/>
      <c r="N940" s="27"/>
      <c r="O940" s="27"/>
      <c r="P940" s="27"/>
      <c r="Q940" s="27"/>
      <c r="R940" s="27"/>
      <c r="S940" s="27"/>
      <c r="T940" s="27">
        <f>IF(LEFT(Control_Achizitii!$E940,4)="Fact",1,0)</f>
        <v>0</v>
      </c>
      <c r="U940" s="27">
        <f>IF(Control_Achizitii!$C940="",0,IF(ISNUMBER(Control_Achizitii!$B940),0,1))</f>
        <v>0</v>
      </c>
      <c r="V940" s="27">
        <f>IF(Control_Achizitii!$C940="",0,IF($Z$2&lt;&gt;"OK",0,IF(AND(ISNUMBER(Control_Achizitii!$B940),Control_Achizitii!$B940&gt;=$E$5,Control_Achizitii!$B940&lt;$J$5+1,OR($O$5="Toate proiectele",Control_Achizitii!$Q940=$O$5)),1,0)))</f>
        <v>0</v>
      </c>
      <c r="W940" s="27">
        <f>IF(AND(V940=1,OR(Control_Achizitii!$J940&lt;&gt;"DOSAR COMPLET",Control_Achizitii!$K940&lt;&gt;"")),ROW(),1000000000)</f>
        <v>1000000000</v>
      </c>
      <c r="X940" s="27">
        <f>IF(AND(V940=1,LEFT(Control_Achizitii!$E940,4)="Fact",NOT(ISNUMBER(Control_Achizitii!$P940))),1,0)</f>
        <v>0</v>
      </c>
      <c r="Y940" s="27">
        <f>IF(V940=0,0,IF(Control_Achizitii!$J940="DOSAR COMPLET",1,IF(LEFT(Control_Achizitii!$J940,9)="INCOMPLET",2,3)))</f>
        <v>0</v>
      </c>
      <c r="Z940" s="27"/>
      <c r="AA940" s="27"/>
      <c r="AB940" s="27"/>
      <c r="AC940" s="27"/>
      <c r="AD940" s="27"/>
      <c r="AE940" s="27"/>
      <c r="AF940" s="27"/>
      <c r="AG940" s="27"/>
      <c r="AH940" s="27">
        <f>IF(AND(V940=1,Control_Achizitii!$J940="DOSAR COMPLET",Control_Achizitii!$K940&lt;&gt;""),1,0)</f>
        <v>0</v>
      </c>
    </row>
    <row r="941" spans="1:34">
      <c r="A941" s="27"/>
      <c r="B941" s="27"/>
      <c r="C941" s="27"/>
      <c r="D941" s="27"/>
      <c r="E941" s="27"/>
      <c r="F941" s="27"/>
      <c r="G941" s="27"/>
      <c r="H941" s="27"/>
      <c r="I941" s="27"/>
      <c r="J941" s="27"/>
      <c r="K941" s="27"/>
      <c r="L941" s="27"/>
      <c r="M941" s="27"/>
      <c r="N941" s="27"/>
      <c r="O941" s="27"/>
      <c r="P941" s="27"/>
      <c r="Q941" s="27"/>
      <c r="R941" s="27"/>
      <c r="S941" s="27"/>
      <c r="T941" s="27">
        <f>IF(LEFT(Control_Achizitii!$E941,4)="Fact",1,0)</f>
        <v>0</v>
      </c>
      <c r="U941" s="27">
        <f>IF(Control_Achizitii!$C941="",0,IF(ISNUMBER(Control_Achizitii!$B941),0,1))</f>
        <v>0</v>
      </c>
      <c r="V941" s="27">
        <f>IF(Control_Achizitii!$C941="",0,IF($Z$2&lt;&gt;"OK",0,IF(AND(ISNUMBER(Control_Achizitii!$B941),Control_Achizitii!$B941&gt;=$E$5,Control_Achizitii!$B941&lt;$J$5+1,OR($O$5="Toate proiectele",Control_Achizitii!$Q941=$O$5)),1,0)))</f>
        <v>0</v>
      </c>
      <c r="W941" s="27">
        <f>IF(AND(V941=1,OR(Control_Achizitii!$J941&lt;&gt;"DOSAR COMPLET",Control_Achizitii!$K941&lt;&gt;"")),ROW(),1000000000)</f>
        <v>1000000000</v>
      </c>
      <c r="X941" s="27">
        <f>IF(AND(V941=1,LEFT(Control_Achizitii!$E941,4)="Fact",NOT(ISNUMBER(Control_Achizitii!$P941))),1,0)</f>
        <v>0</v>
      </c>
      <c r="Y941" s="27">
        <f>IF(V941=0,0,IF(Control_Achizitii!$J941="DOSAR COMPLET",1,IF(LEFT(Control_Achizitii!$J941,9)="INCOMPLET",2,3)))</f>
        <v>0</v>
      </c>
      <c r="Z941" s="27"/>
      <c r="AA941" s="27"/>
      <c r="AB941" s="27"/>
      <c r="AC941" s="27"/>
      <c r="AD941" s="27"/>
      <c r="AE941" s="27"/>
      <c r="AF941" s="27"/>
      <c r="AG941" s="27"/>
      <c r="AH941" s="27">
        <f>IF(AND(V941=1,Control_Achizitii!$J941="DOSAR COMPLET",Control_Achizitii!$K941&lt;&gt;""),1,0)</f>
        <v>0</v>
      </c>
    </row>
    <row r="942" spans="1:34">
      <c r="A942" s="27"/>
      <c r="B942" s="27"/>
      <c r="C942" s="27"/>
      <c r="D942" s="27"/>
      <c r="E942" s="27"/>
      <c r="F942" s="27"/>
      <c r="G942" s="27"/>
      <c r="H942" s="27"/>
      <c r="I942" s="27"/>
      <c r="J942" s="27"/>
      <c r="K942" s="27"/>
      <c r="L942" s="27"/>
      <c r="M942" s="27"/>
      <c r="N942" s="27"/>
      <c r="O942" s="27"/>
      <c r="P942" s="27"/>
      <c r="Q942" s="27"/>
      <c r="R942" s="27"/>
      <c r="S942" s="27"/>
      <c r="T942" s="27">
        <f>IF(LEFT(Control_Achizitii!$E942,4)="Fact",1,0)</f>
        <v>0</v>
      </c>
      <c r="U942" s="27">
        <f>IF(Control_Achizitii!$C942="",0,IF(ISNUMBER(Control_Achizitii!$B942),0,1))</f>
        <v>0</v>
      </c>
      <c r="V942" s="27">
        <f>IF(Control_Achizitii!$C942="",0,IF($Z$2&lt;&gt;"OK",0,IF(AND(ISNUMBER(Control_Achizitii!$B942),Control_Achizitii!$B942&gt;=$E$5,Control_Achizitii!$B942&lt;$J$5+1,OR($O$5="Toate proiectele",Control_Achizitii!$Q942=$O$5)),1,0)))</f>
        <v>0</v>
      </c>
      <c r="W942" s="27">
        <f>IF(AND(V942=1,OR(Control_Achizitii!$J942&lt;&gt;"DOSAR COMPLET",Control_Achizitii!$K942&lt;&gt;"")),ROW(),1000000000)</f>
        <v>1000000000</v>
      </c>
      <c r="X942" s="27">
        <f>IF(AND(V942=1,LEFT(Control_Achizitii!$E942,4)="Fact",NOT(ISNUMBER(Control_Achizitii!$P942))),1,0)</f>
        <v>0</v>
      </c>
      <c r="Y942" s="27">
        <f>IF(V942=0,0,IF(Control_Achizitii!$J942="DOSAR COMPLET",1,IF(LEFT(Control_Achizitii!$J942,9)="INCOMPLET",2,3)))</f>
        <v>0</v>
      </c>
      <c r="Z942" s="27"/>
      <c r="AA942" s="27"/>
      <c r="AB942" s="27"/>
      <c r="AC942" s="27"/>
      <c r="AD942" s="27"/>
      <c r="AE942" s="27"/>
      <c r="AF942" s="27"/>
      <c r="AG942" s="27"/>
      <c r="AH942" s="27">
        <f>IF(AND(V942=1,Control_Achizitii!$J942="DOSAR COMPLET",Control_Achizitii!$K942&lt;&gt;""),1,0)</f>
        <v>0</v>
      </c>
    </row>
    <row r="943" spans="1:34">
      <c r="A943" s="27"/>
      <c r="B943" s="27"/>
      <c r="C943" s="27"/>
      <c r="D943" s="27"/>
      <c r="E943" s="27"/>
      <c r="F943" s="27"/>
      <c r="G943" s="27"/>
      <c r="H943" s="27"/>
      <c r="I943" s="27"/>
      <c r="J943" s="27"/>
      <c r="K943" s="27"/>
      <c r="L943" s="27"/>
      <c r="M943" s="27"/>
      <c r="N943" s="27"/>
      <c r="O943" s="27"/>
      <c r="P943" s="27"/>
      <c r="Q943" s="27"/>
      <c r="R943" s="27"/>
      <c r="S943" s="27"/>
      <c r="T943" s="27">
        <f>IF(LEFT(Control_Achizitii!$E943,4)="Fact",1,0)</f>
        <v>0</v>
      </c>
      <c r="U943" s="27">
        <f>IF(Control_Achizitii!$C943="",0,IF(ISNUMBER(Control_Achizitii!$B943),0,1))</f>
        <v>0</v>
      </c>
      <c r="V943" s="27">
        <f>IF(Control_Achizitii!$C943="",0,IF($Z$2&lt;&gt;"OK",0,IF(AND(ISNUMBER(Control_Achizitii!$B943),Control_Achizitii!$B943&gt;=$E$5,Control_Achizitii!$B943&lt;$J$5+1,OR($O$5="Toate proiectele",Control_Achizitii!$Q943=$O$5)),1,0)))</f>
        <v>0</v>
      </c>
      <c r="W943" s="27">
        <f>IF(AND(V943=1,OR(Control_Achizitii!$J943&lt;&gt;"DOSAR COMPLET",Control_Achizitii!$K943&lt;&gt;"")),ROW(),1000000000)</f>
        <v>1000000000</v>
      </c>
      <c r="X943" s="27">
        <f>IF(AND(V943=1,LEFT(Control_Achizitii!$E943,4)="Fact",NOT(ISNUMBER(Control_Achizitii!$P943))),1,0)</f>
        <v>0</v>
      </c>
      <c r="Y943" s="27">
        <f>IF(V943=0,0,IF(Control_Achizitii!$J943="DOSAR COMPLET",1,IF(LEFT(Control_Achizitii!$J943,9)="INCOMPLET",2,3)))</f>
        <v>0</v>
      </c>
      <c r="Z943" s="27"/>
      <c r="AA943" s="27"/>
      <c r="AB943" s="27"/>
      <c r="AC943" s="27"/>
      <c r="AD943" s="27"/>
      <c r="AE943" s="27"/>
      <c r="AF943" s="27"/>
      <c r="AG943" s="27"/>
      <c r="AH943" s="27">
        <f>IF(AND(V943=1,Control_Achizitii!$J943="DOSAR COMPLET",Control_Achizitii!$K943&lt;&gt;""),1,0)</f>
        <v>0</v>
      </c>
    </row>
    <row r="944" spans="1:34">
      <c r="A944" s="27"/>
      <c r="B944" s="27"/>
      <c r="C944" s="27"/>
      <c r="D944" s="27"/>
      <c r="E944" s="27"/>
      <c r="F944" s="27"/>
      <c r="G944" s="27"/>
      <c r="H944" s="27"/>
      <c r="I944" s="27"/>
      <c r="J944" s="27"/>
      <c r="K944" s="27"/>
      <c r="L944" s="27"/>
      <c r="M944" s="27"/>
      <c r="N944" s="27"/>
      <c r="O944" s="27"/>
      <c r="P944" s="27"/>
      <c r="Q944" s="27"/>
      <c r="R944" s="27"/>
      <c r="S944" s="27"/>
      <c r="T944" s="27">
        <f>IF(LEFT(Control_Achizitii!$E944,4)="Fact",1,0)</f>
        <v>0</v>
      </c>
      <c r="U944" s="27">
        <f>IF(Control_Achizitii!$C944="",0,IF(ISNUMBER(Control_Achizitii!$B944),0,1))</f>
        <v>0</v>
      </c>
      <c r="V944" s="27">
        <f>IF(Control_Achizitii!$C944="",0,IF($Z$2&lt;&gt;"OK",0,IF(AND(ISNUMBER(Control_Achizitii!$B944),Control_Achizitii!$B944&gt;=$E$5,Control_Achizitii!$B944&lt;$J$5+1,OR($O$5="Toate proiectele",Control_Achizitii!$Q944=$O$5)),1,0)))</f>
        <v>0</v>
      </c>
      <c r="W944" s="27">
        <f>IF(AND(V944=1,OR(Control_Achizitii!$J944&lt;&gt;"DOSAR COMPLET",Control_Achizitii!$K944&lt;&gt;"")),ROW(),1000000000)</f>
        <v>1000000000</v>
      </c>
      <c r="X944" s="27">
        <f>IF(AND(V944=1,LEFT(Control_Achizitii!$E944,4)="Fact",NOT(ISNUMBER(Control_Achizitii!$P944))),1,0)</f>
        <v>0</v>
      </c>
      <c r="Y944" s="27">
        <f>IF(V944=0,0,IF(Control_Achizitii!$J944="DOSAR COMPLET",1,IF(LEFT(Control_Achizitii!$J944,9)="INCOMPLET",2,3)))</f>
        <v>0</v>
      </c>
      <c r="Z944" s="27"/>
      <c r="AA944" s="27"/>
      <c r="AB944" s="27"/>
      <c r="AC944" s="27"/>
      <c r="AD944" s="27"/>
      <c r="AE944" s="27"/>
      <c r="AF944" s="27"/>
      <c r="AG944" s="27"/>
      <c r="AH944" s="27">
        <f>IF(AND(V944=1,Control_Achizitii!$J944="DOSAR COMPLET",Control_Achizitii!$K944&lt;&gt;""),1,0)</f>
        <v>0</v>
      </c>
    </row>
    <row r="945" spans="1:34">
      <c r="A945" s="27"/>
      <c r="B945" s="27"/>
      <c r="C945" s="27"/>
      <c r="D945" s="27"/>
      <c r="E945" s="27"/>
      <c r="F945" s="27"/>
      <c r="G945" s="27"/>
      <c r="H945" s="27"/>
      <c r="I945" s="27"/>
      <c r="J945" s="27"/>
      <c r="K945" s="27"/>
      <c r="L945" s="27"/>
      <c r="M945" s="27"/>
      <c r="N945" s="27"/>
      <c r="O945" s="27"/>
      <c r="P945" s="27"/>
      <c r="Q945" s="27"/>
      <c r="R945" s="27"/>
      <c r="S945" s="27"/>
      <c r="T945" s="27">
        <f>IF(LEFT(Control_Achizitii!$E945,4)="Fact",1,0)</f>
        <v>0</v>
      </c>
      <c r="U945" s="27">
        <f>IF(Control_Achizitii!$C945="",0,IF(ISNUMBER(Control_Achizitii!$B945),0,1))</f>
        <v>0</v>
      </c>
      <c r="V945" s="27">
        <f>IF(Control_Achizitii!$C945="",0,IF($Z$2&lt;&gt;"OK",0,IF(AND(ISNUMBER(Control_Achizitii!$B945),Control_Achizitii!$B945&gt;=$E$5,Control_Achizitii!$B945&lt;$J$5+1,OR($O$5="Toate proiectele",Control_Achizitii!$Q945=$O$5)),1,0)))</f>
        <v>0</v>
      </c>
      <c r="W945" s="27">
        <f>IF(AND(V945=1,OR(Control_Achizitii!$J945&lt;&gt;"DOSAR COMPLET",Control_Achizitii!$K945&lt;&gt;"")),ROW(),1000000000)</f>
        <v>1000000000</v>
      </c>
      <c r="X945" s="27">
        <f>IF(AND(V945=1,LEFT(Control_Achizitii!$E945,4)="Fact",NOT(ISNUMBER(Control_Achizitii!$P945))),1,0)</f>
        <v>0</v>
      </c>
      <c r="Y945" s="27">
        <f>IF(V945=0,0,IF(Control_Achizitii!$J945="DOSAR COMPLET",1,IF(LEFT(Control_Achizitii!$J945,9)="INCOMPLET",2,3)))</f>
        <v>0</v>
      </c>
      <c r="Z945" s="27"/>
      <c r="AA945" s="27"/>
      <c r="AB945" s="27"/>
      <c r="AC945" s="27"/>
      <c r="AD945" s="27"/>
      <c r="AE945" s="27"/>
      <c r="AF945" s="27"/>
      <c r="AG945" s="27"/>
      <c r="AH945" s="27">
        <f>IF(AND(V945=1,Control_Achizitii!$J945="DOSAR COMPLET",Control_Achizitii!$K945&lt;&gt;""),1,0)</f>
        <v>0</v>
      </c>
    </row>
    <row r="946" spans="1:34">
      <c r="A946" s="27"/>
      <c r="B946" s="27"/>
      <c r="C946" s="27"/>
      <c r="D946" s="27"/>
      <c r="E946" s="27"/>
      <c r="F946" s="27"/>
      <c r="G946" s="27"/>
      <c r="H946" s="27"/>
      <c r="I946" s="27"/>
      <c r="J946" s="27"/>
      <c r="K946" s="27"/>
      <c r="L946" s="27"/>
      <c r="M946" s="27"/>
      <c r="N946" s="27"/>
      <c r="O946" s="27"/>
      <c r="P946" s="27"/>
      <c r="Q946" s="27"/>
      <c r="R946" s="27"/>
      <c r="S946" s="27"/>
      <c r="T946" s="27">
        <f>IF(LEFT(Control_Achizitii!$E946,4)="Fact",1,0)</f>
        <v>0</v>
      </c>
      <c r="U946" s="27">
        <f>IF(Control_Achizitii!$C946="",0,IF(ISNUMBER(Control_Achizitii!$B946),0,1))</f>
        <v>0</v>
      </c>
      <c r="V946" s="27">
        <f>IF(Control_Achizitii!$C946="",0,IF($Z$2&lt;&gt;"OK",0,IF(AND(ISNUMBER(Control_Achizitii!$B946),Control_Achizitii!$B946&gt;=$E$5,Control_Achizitii!$B946&lt;$J$5+1,OR($O$5="Toate proiectele",Control_Achizitii!$Q946=$O$5)),1,0)))</f>
        <v>0</v>
      </c>
      <c r="W946" s="27">
        <f>IF(AND(V946=1,OR(Control_Achizitii!$J946&lt;&gt;"DOSAR COMPLET",Control_Achizitii!$K946&lt;&gt;"")),ROW(),1000000000)</f>
        <v>1000000000</v>
      </c>
      <c r="X946" s="27">
        <f>IF(AND(V946=1,LEFT(Control_Achizitii!$E946,4)="Fact",NOT(ISNUMBER(Control_Achizitii!$P946))),1,0)</f>
        <v>0</v>
      </c>
      <c r="Y946" s="27">
        <f>IF(V946=0,0,IF(Control_Achizitii!$J946="DOSAR COMPLET",1,IF(LEFT(Control_Achizitii!$J946,9)="INCOMPLET",2,3)))</f>
        <v>0</v>
      </c>
      <c r="Z946" s="27"/>
      <c r="AA946" s="27"/>
      <c r="AB946" s="27"/>
      <c r="AC946" s="27"/>
      <c r="AD946" s="27"/>
      <c r="AE946" s="27"/>
      <c r="AF946" s="27"/>
      <c r="AG946" s="27"/>
      <c r="AH946" s="27">
        <f>IF(AND(V946=1,Control_Achizitii!$J946="DOSAR COMPLET",Control_Achizitii!$K946&lt;&gt;""),1,0)</f>
        <v>0</v>
      </c>
    </row>
    <row r="947" spans="1:34">
      <c r="A947" s="27"/>
      <c r="B947" s="27"/>
      <c r="C947" s="27"/>
      <c r="D947" s="27"/>
      <c r="E947" s="27"/>
      <c r="F947" s="27"/>
      <c r="G947" s="27"/>
      <c r="H947" s="27"/>
      <c r="I947" s="27"/>
      <c r="J947" s="27"/>
      <c r="K947" s="27"/>
      <c r="L947" s="27"/>
      <c r="M947" s="27"/>
      <c r="N947" s="27"/>
      <c r="O947" s="27"/>
      <c r="P947" s="27"/>
      <c r="Q947" s="27"/>
      <c r="R947" s="27"/>
      <c r="S947" s="27"/>
      <c r="T947" s="27">
        <f>IF(LEFT(Control_Achizitii!$E947,4)="Fact",1,0)</f>
        <v>0</v>
      </c>
      <c r="U947" s="27">
        <f>IF(Control_Achizitii!$C947="",0,IF(ISNUMBER(Control_Achizitii!$B947),0,1))</f>
        <v>0</v>
      </c>
      <c r="V947" s="27">
        <f>IF(Control_Achizitii!$C947="",0,IF($Z$2&lt;&gt;"OK",0,IF(AND(ISNUMBER(Control_Achizitii!$B947),Control_Achizitii!$B947&gt;=$E$5,Control_Achizitii!$B947&lt;$J$5+1,OR($O$5="Toate proiectele",Control_Achizitii!$Q947=$O$5)),1,0)))</f>
        <v>0</v>
      </c>
      <c r="W947" s="27">
        <f>IF(AND(V947=1,OR(Control_Achizitii!$J947&lt;&gt;"DOSAR COMPLET",Control_Achizitii!$K947&lt;&gt;"")),ROW(),1000000000)</f>
        <v>1000000000</v>
      </c>
      <c r="X947" s="27">
        <f>IF(AND(V947=1,LEFT(Control_Achizitii!$E947,4)="Fact",NOT(ISNUMBER(Control_Achizitii!$P947))),1,0)</f>
        <v>0</v>
      </c>
      <c r="Y947" s="27">
        <f>IF(V947=0,0,IF(Control_Achizitii!$J947="DOSAR COMPLET",1,IF(LEFT(Control_Achizitii!$J947,9)="INCOMPLET",2,3)))</f>
        <v>0</v>
      </c>
      <c r="Z947" s="27"/>
      <c r="AA947" s="27"/>
      <c r="AB947" s="27"/>
      <c r="AC947" s="27"/>
      <c r="AD947" s="27"/>
      <c r="AE947" s="27"/>
      <c r="AF947" s="27"/>
      <c r="AG947" s="27"/>
      <c r="AH947" s="27">
        <f>IF(AND(V947=1,Control_Achizitii!$J947="DOSAR COMPLET",Control_Achizitii!$K947&lt;&gt;""),1,0)</f>
        <v>0</v>
      </c>
    </row>
    <row r="948" spans="1:34">
      <c r="A948" s="27"/>
      <c r="B948" s="27"/>
      <c r="C948" s="27"/>
      <c r="D948" s="27"/>
      <c r="E948" s="27"/>
      <c r="F948" s="27"/>
      <c r="G948" s="27"/>
      <c r="H948" s="27"/>
      <c r="I948" s="27"/>
      <c r="J948" s="27"/>
      <c r="K948" s="27"/>
      <c r="L948" s="27"/>
      <c r="M948" s="27"/>
      <c r="N948" s="27"/>
      <c r="O948" s="27"/>
      <c r="P948" s="27"/>
      <c r="Q948" s="27"/>
      <c r="R948" s="27"/>
      <c r="S948" s="27"/>
      <c r="T948" s="27">
        <f>IF(LEFT(Control_Achizitii!$E948,4)="Fact",1,0)</f>
        <v>0</v>
      </c>
      <c r="U948" s="27">
        <f>IF(Control_Achizitii!$C948="",0,IF(ISNUMBER(Control_Achizitii!$B948),0,1))</f>
        <v>0</v>
      </c>
      <c r="V948" s="27">
        <f>IF(Control_Achizitii!$C948="",0,IF($Z$2&lt;&gt;"OK",0,IF(AND(ISNUMBER(Control_Achizitii!$B948),Control_Achizitii!$B948&gt;=$E$5,Control_Achizitii!$B948&lt;$J$5+1,OR($O$5="Toate proiectele",Control_Achizitii!$Q948=$O$5)),1,0)))</f>
        <v>0</v>
      </c>
      <c r="W948" s="27">
        <f>IF(AND(V948=1,OR(Control_Achizitii!$J948&lt;&gt;"DOSAR COMPLET",Control_Achizitii!$K948&lt;&gt;"")),ROW(),1000000000)</f>
        <v>1000000000</v>
      </c>
      <c r="X948" s="27">
        <f>IF(AND(V948=1,LEFT(Control_Achizitii!$E948,4)="Fact",NOT(ISNUMBER(Control_Achizitii!$P948))),1,0)</f>
        <v>0</v>
      </c>
      <c r="Y948" s="27">
        <f>IF(V948=0,0,IF(Control_Achizitii!$J948="DOSAR COMPLET",1,IF(LEFT(Control_Achizitii!$J948,9)="INCOMPLET",2,3)))</f>
        <v>0</v>
      </c>
      <c r="Z948" s="27"/>
      <c r="AA948" s="27"/>
      <c r="AB948" s="27"/>
      <c r="AC948" s="27"/>
      <c r="AD948" s="27"/>
      <c r="AE948" s="27"/>
      <c r="AF948" s="27"/>
      <c r="AG948" s="27"/>
      <c r="AH948" s="27">
        <f>IF(AND(V948=1,Control_Achizitii!$J948="DOSAR COMPLET",Control_Achizitii!$K948&lt;&gt;""),1,0)</f>
        <v>0</v>
      </c>
    </row>
    <row r="949" spans="1:34">
      <c r="A949" s="27"/>
      <c r="B949" s="27"/>
      <c r="C949" s="27"/>
      <c r="D949" s="27"/>
      <c r="E949" s="27"/>
      <c r="F949" s="27"/>
      <c r="G949" s="27"/>
      <c r="H949" s="27"/>
      <c r="I949" s="27"/>
      <c r="J949" s="27"/>
      <c r="K949" s="27"/>
      <c r="L949" s="27"/>
      <c r="M949" s="27"/>
      <c r="N949" s="27"/>
      <c r="O949" s="27"/>
      <c r="P949" s="27"/>
      <c r="Q949" s="27"/>
      <c r="R949" s="27"/>
      <c r="S949" s="27"/>
      <c r="T949" s="27">
        <f>IF(LEFT(Control_Achizitii!$E949,4)="Fact",1,0)</f>
        <v>0</v>
      </c>
      <c r="U949" s="27">
        <f>IF(Control_Achizitii!$C949="",0,IF(ISNUMBER(Control_Achizitii!$B949),0,1))</f>
        <v>0</v>
      </c>
      <c r="V949" s="27">
        <f>IF(Control_Achizitii!$C949="",0,IF($Z$2&lt;&gt;"OK",0,IF(AND(ISNUMBER(Control_Achizitii!$B949),Control_Achizitii!$B949&gt;=$E$5,Control_Achizitii!$B949&lt;$J$5+1,OR($O$5="Toate proiectele",Control_Achizitii!$Q949=$O$5)),1,0)))</f>
        <v>0</v>
      </c>
      <c r="W949" s="27">
        <f>IF(AND(V949=1,OR(Control_Achizitii!$J949&lt;&gt;"DOSAR COMPLET",Control_Achizitii!$K949&lt;&gt;"")),ROW(),1000000000)</f>
        <v>1000000000</v>
      </c>
      <c r="X949" s="27">
        <f>IF(AND(V949=1,LEFT(Control_Achizitii!$E949,4)="Fact",NOT(ISNUMBER(Control_Achizitii!$P949))),1,0)</f>
        <v>0</v>
      </c>
      <c r="Y949" s="27">
        <f>IF(V949=0,0,IF(Control_Achizitii!$J949="DOSAR COMPLET",1,IF(LEFT(Control_Achizitii!$J949,9)="INCOMPLET",2,3)))</f>
        <v>0</v>
      </c>
      <c r="Z949" s="27"/>
      <c r="AA949" s="27"/>
      <c r="AB949" s="27"/>
      <c r="AC949" s="27"/>
      <c r="AD949" s="27"/>
      <c r="AE949" s="27"/>
      <c r="AF949" s="27"/>
      <c r="AG949" s="27"/>
      <c r="AH949" s="27">
        <f>IF(AND(V949=1,Control_Achizitii!$J949="DOSAR COMPLET",Control_Achizitii!$K949&lt;&gt;""),1,0)</f>
        <v>0</v>
      </c>
    </row>
    <row r="950" spans="1:34">
      <c r="A950" s="27"/>
      <c r="B950" s="27"/>
      <c r="C950" s="27"/>
      <c r="D950" s="27"/>
      <c r="E950" s="27"/>
      <c r="F950" s="27"/>
      <c r="G950" s="27"/>
      <c r="H950" s="27"/>
      <c r="I950" s="27"/>
      <c r="J950" s="27"/>
      <c r="K950" s="27"/>
      <c r="L950" s="27"/>
      <c r="M950" s="27"/>
      <c r="N950" s="27"/>
      <c r="O950" s="27"/>
      <c r="P950" s="27"/>
      <c r="Q950" s="27"/>
      <c r="R950" s="27"/>
      <c r="S950" s="27"/>
      <c r="T950" s="27">
        <f>IF(LEFT(Control_Achizitii!$E950,4)="Fact",1,0)</f>
        <v>0</v>
      </c>
      <c r="U950" s="27">
        <f>IF(Control_Achizitii!$C950="",0,IF(ISNUMBER(Control_Achizitii!$B950),0,1))</f>
        <v>0</v>
      </c>
      <c r="V950" s="27">
        <f>IF(Control_Achizitii!$C950="",0,IF($Z$2&lt;&gt;"OK",0,IF(AND(ISNUMBER(Control_Achizitii!$B950),Control_Achizitii!$B950&gt;=$E$5,Control_Achizitii!$B950&lt;$J$5+1,OR($O$5="Toate proiectele",Control_Achizitii!$Q950=$O$5)),1,0)))</f>
        <v>0</v>
      </c>
      <c r="W950" s="27">
        <f>IF(AND(V950=1,OR(Control_Achizitii!$J950&lt;&gt;"DOSAR COMPLET",Control_Achizitii!$K950&lt;&gt;"")),ROW(),1000000000)</f>
        <v>1000000000</v>
      </c>
      <c r="X950" s="27">
        <f>IF(AND(V950=1,LEFT(Control_Achizitii!$E950,4)="Fact",NOT(ISNUMBER(Control_Achizitii!$P950))),1,0)</f>
        <v>0</v>
      </c>
      <c r="Y950" s="27">
        <f>IF(V950=0,0,IF(Control_Achizitii!$J950="DOSAR COMPLET",1,IF(LEFT(Control_Achizitii!$J950,9)="INCOMPLET",2,3)))</f>
        <v>0</v>
      </c>
      <c r="Z950" s="27"/>
      <c r="AA950" s="27"/>
      <c r="AB950" s="27"/>
      <c r="AC950" s="27"/>
      <c r="AD950" s="27"/>
      <c r="AE950" s="27"/>
      <c r="AF950" s="27"/>
      <c r="AG950" s="27"/>
      <c r="AH950" s="27">
        <f>IF(AND(V950=1,Control_Achizitii!$J950="DOSAR COMPLET",Control_Achizitii!$K950&lt;&gt;""),1,0)</f>
        <v>0</v>
      </c>
    </row>
    <row r="951" spans="1:34">
      <c r="A951" s="27"/>
      <c r="B951" s="27"/>
      <c r="C951" s="27"/>
      <c r="D951" s="27"/>
      <c r="E951" s="27"/>
      <c r="F951" s="27"/>
      <c r="G951" s="27"/>
      <c r="H951" s="27"/>
      <c r="I951" s="27"/>
      <c r="J951" s="27"/>
      <c r="K951" s="27"/>
      <c r="L951" s="27"/>
      <c r="M951" s="27"/>
      <c r="N951" s="27"/>
      <c r="O951" s="27"/>
      <c r="P951" s="27"/>
      <c r="Q951" s="27"/>
      <c r="R951" s="27"/>
      <c r="S951" s="27"/>
      <c r="T951" s="27">
        <f>IF(LEFT(Control_Achizitii!$E951,4)="Fact",1,0)</f>
        <v>0</v>
      </c>
      <c r="U951" s="27">
        <f>IF(Control_Achizitii!$C951="",0,IF(ISNUMBER(Control_Achizitii!$B951),0,1))</f>
        <v>0</v>
      </c>
      <c r="V951" s="27">
        <f>IF(Control_Achizitii!$C951="",0,IF($Z$2&lt;&gt;"OK",0,IF(AND(ISNUMBER(Control_Achizitii!$B951),Control_Achizitii!$B951&gt;=$E$5,Control_Achizitii!$B951&lt;$J$5+1,OR($O$5="Toate proiectele",Control_Achizitii!$Q951=$O$5)),1,0)))</f>
        <v>0</v>
      </c>
      <c r="W951" s="27">
        <f>IF(AND(V951=1,OR(Control_Achizitii!$J951&lt;&gt;"DOSAR COMPLET",Control_Achizitii!$K951&lt;&gt;"")),ROW(),1000000000)</f>
        <v>1000000000</v>
      </c>
      <c r="X951" s="27">
        <f>IF(AND(V951=1,LEFT(Control_Achizitii!$E951,4)="Fact",NOT(ISNUMBER(Control_Achizitii!$P951))),1,0)</f>
        <v>0</v>
      </c>
      <c r="Y951" s="27">
        <f>IF(V951=0,0,IF(Control_Achizitii!$J951="DOSAR COMPLET",1,IF(LEFT(Control_Achizitii!$J951,9)="INCOMPLET",2,3)))</f>
        <v>0</v>
      </c>
      <c r="Z951" s="27"/>
      <c r="AA951" s="27"/>
      <c r="AB951" s="27"/>
      <c r="AC951" s="27"/>
      <c r="AD951" s="27"/>
      <c r="AE951" s="27"/>
      <c r="AF951" s="27"/>
      <c r="AG951" s="27"/>
      <c r="AH951" s="27">
        <f>IF(AND(V951=1,Control_Achizitii!$J951="DOSAR COMPLET",Control_Achizitii!$K951&lt;&gt;""),1,0)</f>
        <v>0</v>
      </c>
    </row>
    <row r="952" spans="1:34">
      <c r="A952" s="27"/>
      <c r="B952" s="27"/>
      <c r="C952" s="27"/>
      <c r="D952" s="27"/>
      <c r="E952" s="27"/>
      <c r="F952" s="27"/>
      <c r="G952" s="27"/>
      <c r="H952" s="27"/>
      <c r="I952" s="27"/>
      <c r="J952" s="27"/>
      <c r="K952" s="27"/>
      <c r="L952" s="27"/>
      <c r="M952" s="27"/>
      <c r="N952" s="27"/>
      <c r="O952" s="27"/>
      <c r="P952" s="27"/>
      <c r="Q952" s="27"/>
      <c r="R952" s="27"/>
      <c r="S952" s="27"/>
      <c r="T952" s="27">
        <f>IF(LEFT(Control_Achizitii!$E952,4)="Fact",1,0)</f>
        <v>0</v>
      </c>
      <c r="U952" s="27">
        <f>IF(Control_Achizitii!$C952="",0,IF(ISNUMBER(Control_Achizitii!$B952),0,1))</f>
        <v>0</v>
      </c>
      <c r="V952" s="27">
        <f>IF(Control_Achizitii!$C952="",0,IF($Z$2&lt;&gt;"OK",0,IF(AND(ISNUMBER(Control_Achizitii!$B952),Control_Achizitii!$B952&gt;=$E$5,Control_Achizitii!$B952&lt;$J$5+1,OR($O$5="Toate proiectele",Control_Achizitii!$Q952=$O$5)),1,0)))</f>
        <v>0</v>
      </c>
      <c r="W952" s="27">
        <f>IF(AND(V952=1,OR(Control_Achizitii!$J952&lt;&gt;"DOSAR COMPLET",Control_Achizitii!$K952&lt;&gt;"")),ROW(),1000000000)</f>
        <v>1000000000</v>
      </c>
      <c r="X952" s="27">
        <f>IF(AND(V952=1,LEFT(Control_Achizitii!$E952,4)="Fact",NOT(ISNUMBER(Control_Achizitii!$P952))),1,0)</f>
        <v>0</v>
      </c>
      <c r="Y952" s="27">
        <f>IF(V952=0,0,IF(Control_Achizitii!$J952="DOSAR COMPLET",1,IF(LEFT(Control_Achizitii!$J952,9)="INCOMPLET",2,3)))</f>
        <v>0</v>
      </c>
      <c r="Z952" s="27"/>
      <c r="AA952" s="27"/>
      <c r="AB952" s="27"/>
      <c r="AC952" s="27"/>
      <c r="AD952" s="27"/>
      <c r="AE952" s="27"/>
      <c r="AF952" s="27"/>
      <c r="AG952" s="27"/>
      <c r="AH952" s="27">
        <f>IF(AND(V952=1,Control_Achizitii!$J952="DOSAR COMPLET",Control_Achizitii!$K952&lt;&gt;""),1,0)</f>
        <v>0</v>
      </c>
    </row>
    <row r="953" spans="1:34">
      <c r="A953" s="27"/>
      <c r="B953" s="27"/>
      <c r="C953" s="27"/>
      <c r="D953" s="27"/>
      <c r="E953" s="27"/>
      <c r="F953" s="27"/>
      <c r="G953" s="27"/>
      <c r="H953" s="27"/>
      <c r="I953" s="27"/>
      <c r="J953" s="27"/>
      <c r="K953" s="27"/>
      <c r="L953" s="27"/>
      <c r="M953" s="27"/>
      <c r="N953" s="27"/>
      <c r="O953" s="27"/>
      <c r="P953" s="27"/>
      <c r="Q953" s="27"/>
      <c r="R953" s="27"/>
      <c r="S953" s="27"/>
      <c r="T953" s="27">
        <f>IF(LEFT(Control_Achizitii!$E953,4)="Fact",1,0)</f>
        <v>0</v>
      </c>
      <c r="U953" s="27">
        <f>IF(Control_Achizitii!$C953="",0,IF(ISNUMBER(Control_Achizitii!$B953),0,1))</f>
        <v>0</v>
      </c>
      <c r="V953" s="27">
        <f>IF(Control_Achizitii!$C953="",0,IF($Z$2&lt;&gt;"OK",0,IF(AND(ISNUMBER(Control_Achizitii!$B953),Control_Achizitii!$B953&gt;=$E$5,Control_Achizitii!$B953&lt;$J$5+1,OR($O$5="Toate proiectele",Control_Achizitii!$Q953=$O$5)),1,0)))</f>
        <v>0</v>
      </c>
      <c r="W953" s="27">
        <f>IF(AND(V953=1,OR(Control_Achizitii!$J953&lt;&gt;"DOSAR COMPLET",Control_Achizitii!$K953&lt;&gt;"")),ROW(),1000000000)</f>
        <v>1000000000</v>
      </c>
      <c r="X953" s="27">
        <f>IF(AND(V953=1,LEFT(Control_Achizitii!$E953,4)="Fact",NOT(ISNUMBER(Control_Achizitii!$P953))),1,0)</f>
        <v>0</v>
      </c>
      <c r="Y953" s="27">
        <f>IF(V953=0,0,IF(Control_Achizitii!$J953="DOSAR COMPLET",1,IF(LEFT(Control_Achizitii!$J953,9)="INCOMPLET",2,3)))</f>
        <v>0</v>
      </c>
      <c r="Z953" s="27"/>
      <c r="AA953" s="27"/>
      <c r="AB953" s="27"/>
      <c r="AC953" s="27"/>
      <c r="AD953" s="27"/>
      <c r="AE953" s="27"/>
      <c r="AF953" s="27"/>
      <c r="AG953" s="27"/>
      <c r="AH953" s="27">
        <f>IF(AND(V953=1,Control_Achizitii!$J953="DOSAR COMPLET",Control_Achizitii!$K953&lt;&gt;""),1,0)</f>
        <v>0</v>
      </c>
    </row>
    <row r="954" spans="1:34">
      <c r="A954" s="27"/>
      <c r="B954" s="27"/>
      <c r="C954" s="27"/>
      <c r="D954" s="27"/>
      <c r="E954" s="27"/>
      <c r="F954" s="27"/>
      <c r="G954" s="27"/>
      <c r="H954" s="27"/>
      <c r="I954" s="27"/>
      <c r="J954" s="27"/>
      <c r="K954" s="27"/>
      <c r="L954" s="27"/>
      <c r="M954" s="27"/>
      <c r="N954" s="27"/>
      <c r="O954" s="27"/>
      <c r="P954" s="27"/>
      <c r="Q954" s="27"/>
      <c r="R954" s="27"/>
      <c r="S954" s="27"/>
      <c r="T954" s="27">
        <f>IF(LEFT(Control_Achizitii!$E954,4)="Fact",1,0)</f>
        <v>0</v>
      </c>
      <c r="U954" s="27">
        <f>IF(Control_Achizitii!$C954="",0,IF(ISNUMBER(Control_Achizitii!$B954),0,1))</f>
        <v>0</v>
      </c>
      <c r="V954" s="27">
        <f>IF(Control_Achizitii!$C954="",0,IF($Z$2&lt;&gt;"OK",0,IF(AND(ISNUMBER(Control_Achizitii!$B954),Control_Achizitii!$B954&gt;=$E$5,Control_Achizitii!$B954&lt;$J$5+1,OR($O$5="Toate proiectele",Control_Achizitii!$Q954=$O$5)),1,0)))</f>
        <v>0</v>
      </c>
      <c r="W954" s="27">
        <f>IF(AND(V954=1,OR(Control_Achizitii!$J954&lt;&gt;"DOSAR COMPLET",Control_Achizitii!$K954&lt;&gt;"")),ROW(),1000000000)</f>
        <v>1000000000</v>
      </c>
      <c r="X954" s="27">
        <f>IF(AND(V954=1,LEFT(Control_Achizitii!$E954,4)="Fact",NOT(ISNUMBER(Control_Achizitii!$P954))),1,0)</f>
        <v>0</v>
      </c>
      <c r="Y954" s="27">
        <f>IF(V954=0,0,IF(Control_Achizitii!$J954="DOSAR COMPLET",1,IF(LEFT(Control_Achizitii!$J954,9)="INCOMPLET",2,3)))</f>
        <v>0</v>
      </c>
      <c r="Z954" s="27"/>
      <c r="AA954" s="27"/>
      <c r="AB954" s="27"/>
      <c r="AC954" s="27"/>
      <c r="AD954" s="27"/>
      <c r="AE954" s="27"/>
      <c r="AF954" s="27"/>
      <c r="AG954" s="27"/>
      <c r="AH954" s="27">
        <f>IF(AND(V954=1,Control_Achizitii!$J954="DOSAR COMPLET",Control_Achizitii!$K954&lt;&gt;""),1,0)</f>
        <v>0</v>
      </c>
    </row>
    <row r="955" spans="1:34">
      <c r="A955" s="27"/>
      <c r="B955" s="27"/>
      <c r="C955" s="27"/>
      <c r="D955" s="27"/>
      <c r="E955" s="27"/>
      <c r="F955" s="27"/>
      <c r="G955" s="27"/>
      <c r="H955" s="27"/>
      <c r="I955" s="27"/>
      <c r="J955" s="27"/>
      <c r="K955" s="27"/>
      <c r="L955" s="27"/>
      <c r="M955" s="27"/>
      <c r="N955" s="27"/>
      <c r="O955" s="27"/>
      <c r="P955" s="27"/>
      <c r="Q955" s="27"/>
      <c r="R955" s="27"/>
      <c r="S955" s="27"/>
      <c r="T955" s="27">
        <f>IF(LEFT(Control_Achizitii!$E955,4)="Fact",1,0)</f>
        <v>0</v>
      </c>
      <c r="U955" s="27">
        <f>IF(Control_Achizitii!$C955="",0,IF(ISNUMBER(Control_Achizitii!$B955),0,1))</f>
        <v>0</v>
      </c>
      <c r="V955" s="27">
        <f>IF(Control_Achizitii!$C955="",0,IF($Z$2&lt;&gt;"OK",0,IF(AND(ISNUMBER(Control_Achizitii!$B955),Control_Achizitii!$B955&gt;=$E$5,Control_Achizitii!$B955&lt;$J$5+1,OR($O$5="Toate proiectele",Control_Achizitii!$Q955=$O$5)),1,0)))</f>
        <v>0</v>
      </c>
      <c r="W955" s="27">
        <f>IF(AND(V955=1,OR(Control_Achizitii!$J955&lt;&gt;"DOSAR COMPLET",Control_Achizitii!$K955&lt;&gt;"")),ROW(),1000000000)</f>
        <v>1000000000</v>
      </c>
      <c r="X955" s="27">
        <f>IF(AND(V955=1,LEFT(Control_Achizitii!$E955,4)="Fact",NOT(ISNUMBER(Control_Achizitii!$P955))),1,0)</f>
        <v>0</v>
      </c>
      <c r="Y955" s="27">
        <f>IF(V955=0,0,IF(Control_Achizitii!$J955="DOSAR COMPLET",1,IF(LEFT(Control_Achizitii!$J955,9)="INCOMPLET",2,3)))</f>
        <v>0</v>
      </c>
      <c r="Z955" s="27"/>
      <c r="AA955" s="27"/>
      <c r="AB955" s="27"/>
      <c r="AC955" s="27"/>
      <c r="AD955" s="27"/>
      <c r="AE955" s="27"/>
      <c r="AF955" s="27"/>
      <c r="AG955" s="27"/>
      <c r="AH955" s="27">
        <f>IF(AND(V955=1,Control_Achizitii!$J955="DOSAR COMPLET",Control_Achizitii!$K955&lt;&gt;""),1,0)</f>
        <v>0</v>
      </c>
    </row>
    <row r="956" spans="1:34">
      <c r="A956" s="27"/>
      <c r="B956" s="27"/>
      <c r="C956" s="27"/>
      <c r="D956" s="27"/>
      <c r="E956" s="27"/>
      <c r="F956" s="27"/>
      <c r="G956" s="27"/>
      <c r="H956" s="27"/>
      <c r="I956" s="27"/>
      <c r="J956" s="27"/>
      <c r="K956" s="27"/>
      <c r="L956" s="27"/>
      <c r="M956" s="27"/>
      <c r="N956" s="27"/>
      <c r="O956" s="27"/>
      <c r="P956" s="27"/>
      <c r="Q956" s="27"/>
      <c r="R956" s="27"/>
      <c r="S956" s="27"/>
      <c r="T956" s="27">
        <f>IF(LEFT(Control_Achizitii!$E956,4)="Fact",1,0)</f>
        <v>0</v>
      </c>
      <c r="U956" s="27">
        <f>IF(Control_Achizitii!$C956="",0,IF(ISNUMBER(Control_Achizitii!$B956),0,1))</f>
        <v>0</v>
      </c>
      <c r="V956" s="27">
        <f>IF(Control_Achizitii!$C956="",0,IF($Z$2&lt;&gt;"OK",0,IF(AND(ISNUMBER(Control_Achizitii!$B956),Control_Achizitii!$B956&gt;=$E$5,Control_Achizitii!$B956&lt;$J$5+1,OR($O$5="Toate proiectele",Control_Achizitii!$Q956=$O$5)),1,0)))</f>
        <v>0</v>
      </c>
      <c r="W956" s="27">
        <f>IF(AND(V956=1,OR(Control_Achizitii!$J956&lt;&gt;"DOSAR COMPLET",Control_Achizitii!$K956&lt;&gt;"")),ROW(),1000000000)</f>
        <v>1000000000</v>
      </c>
      <c r="X956" s="27">
        <f>IF(AND(V956=1,LEFT(Control_Achizitii!$E956,4)="Fact",NOT(ISNUMBER(Control_Achizitii!$P956))),1,0)</f>
        <v>0</v>
      </c>
      <c r="Y956" s="27">
        <f>IF(V956=0,0,IF(Control_Achizitii!$J956="DOSAR COMPLET",1,IF(LEFT(Control_Achizitii!$J956,9)="INCOMPLET",2,3)))</f>
        <v>0</v>
      </c>
      <c r="Z956" s="27"/>
      <c r="AA956" s="27"/>
      <c r="AB956" s="27"/>
      <c r="AC956" s="27"/>
      <c r="AD956" s="27"/>
      <c r="AE956" s="27"/>
      <c r="AF956" s="27"/>
      <c r="AG956" s="27"/>
      <c r="AH956" s="27">
        <f>IF(AND(V956=1,Control_Achizitii!$J956="DOSAR COMPLET",Control_Achizitii!$K956&lt;&gt;""),1,0)</f>
        <v>0</v>
      </c>
    </row>
    <row r="957" spans="1:34">
      <c r="A957" s="27"/>
      <c r="B957" s="27"/>
      <c r="C957" s="27"/>
      <c r="D957" s="27"/>
      <c r="E957" s="27"/>
      <c r="F957" s="27"/>
      <c r="G957" s="27"/>
      <c r="H957" s="27"/>
      <c r="I957" s="27"/>
      <c r="J957" s="27"/>
      <c r="K957" s="27"/>
      <c r="L957" s="27"/>
      <c r="M957" s="27"/>
      <c r="N957" s="27"/>
      <c r="O957" s="27"/>
      <c r="P957" s="27"/>
      <c r="Q957" s="27"/>
      <c r="R957" s="27"/>
      <c r="S957" s="27"/>
      <c r="T957" s="27">
        <f>IF(LEFT(Control_Achizitii!$E957,4)="Fact",1,0)</f>
        <v>0</v>
      </c>
      <c r="U957" s="27">
        <f>IF(Control_Achizitii!$C957="",0,IF(ISNUMBER(Control_Achizitii!$B957),0,1))</f>
        <v>0</v>
      </c>
      <c r="V957" s="27">
        <f>IF(Control_Achizitii!$C957="",0,IF($Z$2&lt;&gt;"OK",0,IF(AND(ISNUMBER(Control_Achizitii!$B957),Control_Achizitii!$B957&gt;=$E$5,Control_Achizitii!$B957&lt;$J$5+1,OR($O$5="Toate proiectele",Control_Achizitii!$Q957=$O$5)),1,0)))</f>
        <v>0</v>
      </c>
      <c r="W957" s="27">
        <f>IF(AND(V957=1,OR(Control_Achizitii!$J957&lt;&gt;"DOSAR COMPLET",Control_Achizitii!$K957&lt;&gt;"")),ROW(),1000000000)</f>
        <v>1000000000</v>
      </c>
      <c r="X957" s="27">
        <f>IF(AND(V957=1,LEFT(Control_Achizitii!$E957,4)="Fact",NOT(ISNUMBER(Control_Achizitii!$P957))),1,0)</f>
        <v>0</v>
      </c>
      <c r="Y957" s="27">
        <f>IF(V957=0,0,IF(Control_Achizitii!$J957="DOSAR COMPLET",1,IF(LEFT(Control_Achizitii!$J957,9)="INCOMPLET",2,3)))</f>
        <v>0</v>
      </c>
      <c r="Z957" s="27"/>
      <c r="AA957" s="27"/>
      <c r="AB957" s="27"/>
      <c r="AC957" s="27"/>
      <c r="AD957" s="27"/>
      <c r="AE957" s="27"/>
      <c r="AF957" s="27"/>
      <c r="AG957" s="27"/>
      <c r="AH957" s="27">
        <f>IF(AND(V957=1,Control_Achizitii!$J957="DOSAR COMPLET",Control_Achizitii!$K957&lt;&gt;""),1,0)</f>
        <v>0</v>
      </c>
    </row>
    <row r="958" spans="1:34">
      <c r="A958" s="27"/>
      <c r="B958" s="27"/>
      <c r="C958" s="27"/>
      <c r="D958" s="27"/>
      <c r="E958" s="27"/>
      <c r="F958" s="27"/>
      <c r="G958" s="27"/>
      <c r="H958" s="27"/>
      <c r="I958" s="27"/>
      <c r="J958" s="27"/>
      <c r="K958" s="27"/>
      <c r="L958" s="27"/>
      <c r="M958" s="27"/>
      <c r="N958" s="27"/>
      <c r="O958" s="27"/>
      <c r="P958" s="27"/>
      <c r="Q958" s="27"/>
      <c r="R958" s="27"/>
      <c r="S958" s="27"/>
      <c r="T958" s="27">
        <f>IF(LEFT(Control_Achizitii!$E958,4)="Fact",1,0)</f>
        <v>0</v>
      </c>
      <c r="U958" s="27">
        <f>IF(Control_Achizitii!$C958="",0,IF(ISNUMBER(Control_Achizitii!$B958),0,1))</f>
        <v>0</v>
      </c>
      <c r="V958" s="27">
        <f>IF(Control_Achizitii!$C958="",0,IF($Z$2&lt;&gt;"OK",0,IF(AND(ISNUMBER(Control_Achizitii!$B958),Control_Achizitii!$B958&gt;=$E$5,Control_Achizitii!$B958&lt;$J$5+1,OR($O$5="Toate proiectele",Control_Achizitii!$Q958=$O$5)),1,0)))</f>
        <v>0</v>
      </c>
      <c r="W958" s="27">
        <f>IF(AND(V958=1,OR(Control_Achizitii!$J958&lt;&gt;"DOSAR COMPLET",Control_Achizitii!$K958&lt;&gt;"")),ROW(),1000000000)</f>
        <v>1000000000</v>
      </c>
      <c r="X958" s="27">
        <f>IF(AND(V958=1,LEFT(Control_Achizitii!$E958,4)="Fact",NOT(ISNUMBER(Control_Achizitii!$P958))),1,0)</f>
        <v>0</v>
      </c>
      <c r="Y958" s="27">
        <f>IF(V958=0,0,IF(Control_Achizitii!$J958="DOSAR COMPLET",1,IF(LEFT(Control_Achizitii!$J958,9)="INCOMPLET",2,3)))</f>
        <v>0</v>
      </c>
      <c r="Z958" s="27"/>
      <c r="AA958" s="27"/>
      <c r="AB958" s="27"/>
      <c r="AC958" s="27"/>
      <c r="AD958" s="27"/>
      <c r="AE958" s="27"/>
      <c r="AF958" s="27"/>
      <c r="AG958" s="27"/>
      <c r="AH958" s="27">
        <f>IF(AND(V958=1,Control_Achizitii!$J958="DOSAR COMPLET",Control_Achizitii!$K958&lt;&gt;""),1,0)</f>
        <v>0</v>
      </c>
    </row>
    <row r="959" spans="1:34">
      <c r="A959" s="27"/>
      <c r="B959" s="27"/>
      <c r="C959" s="27"/>
      <c r="D959" s="27"/>
      <c r="E959" s="27"/>
      <c r="F959" s="27"/>
      <c r="G959" s="27"/>
      <c r="H959" s="27"/>
      <c r="I959" s="27"/>
      <c r="J959" s="27"/>
      <c r="K959" s="27"/>
      <c r="L959" s="27"/>
      <c r="M959" s="27"/>
      <c r="N959" s="27"/>
      <c r="O959" s="27"/>
      <c r="P959" s="27"/>
      <c r="Q959" s="27"/>
      <c r="R959" s="27"/>
      <c r="S959" s="27"/>
      <c r="T959" s="27">
        <f>IF(LEFT(Control_Achizitii!$E959,4)="Fact",1,0)</f>
        <v>0</v>
      </c>
      <c r="U959" s="27">
        <f>IF(Control_Achizitii!$C959="",0,IF(ISNUMBER(Control_Achizitii!$B959),0,1))</f>
        <v>0</v>
      </c>
      <c r="V959" s="27">
        <f>IF(Control_Achizitii!$C959="",0,IF($Z$2&lt;&gt;"OK",0,IF(AND(ISNUMBER(Control_Achizitii!$B959),Control_Achizitii!$B959&gt;=$E$5,Control_Achizitii!$B959&lt;$J$5+1,OR($O$5="Toate proiectele",Control_Achizitii!$Q959=$O$5)),1,0)))</f>
        <v>0</v>
      </c>
      <c r="W959" s="27">
        <f>IF(AND(V959=1,OR(Control_Achizitii!$J959&lt;&gt;"DOSAR COMPLET",Control_Achizitii!$K959&lt;&gt;"")),ROW(),1000000000)</f>
        <v>1000000000</v>
      </c>
      <c r="X959" s="27">
        <f>IF(AND(V959=1,LEFT(Control_Achizitii!$E959,4)="Fact",NOT(ISNUMBER(Control_Achizitii!$P959))),1,0)</f>
        <v>0</v>
      </c>
      <c r="Y959" s="27">
        <f>IF(V959=0,0,IF(Control_Achizitii!$J959="DOSAR COMPLET",1,IF(LEFT(Control_Achizitii!$J959,9)="INCOMPLET",2,3)))</f>
        <v>0</v>
      </c>
      <c r="Z959" s="27"/>
      <c r="AA959" s="27"/>
      <c r="AB959" s="27"/>
      <c r="AC959" s="27"/>
      <c r="AD959" s="27"/>
      <c r="AE959" s="27"/>
      <c r="AF959" s="27"/>
      <c r="AG959" s="27"/>
      <c r="AH959" s="27">
        <f>IF(AND(V959=1,Control_Achizitii!$J959="DOSAR COMPLET",Control_Achizitii!$K959&lt;&gt;""),1,0)</f>
        <v>0</v>
      </c>
    </row>
    <row r="960" spans="1:34">
      <c r="A960" s="27"/>
      <c r="B960" s="27"/>
      <c r="C960" s="27"/>
      <c r="D960" s="27"/>
      <c r="E960" s="27"/>
      <c r="F960" s="27"/>
      <c r="G960" s="27"/>
      <c r="H960" s="27"/>
      <c r="I960" s="27"/>
      <c r="J960" s="27"/>
      <c r="K960" s="27"/>
      <c r="L960" s="27"/>
      <c r="M960" s="27"/>
      <c r="N960" s="27"/>
      <c r="O960" s="27"/>
      <c r="P960" s="27"/>
      <c r="Q960" s="27"/>
      <c r="R960" s="27"/>
      <c r="S960" s="27"/>
      <c r="T960" s="27">
        <f>IF(LEFT(Control_Achizitii!$E960,4)="Fact",1,0)</f>
        <v>0</v>
      </c>
      <c r="U960" s="27">
        <f>IF(Control_Achizitii!$C960="",0,IF(ISNUMBER(Control_Achizitii!$B960),0,1))</f>
        <v>0</v>
      </c>
      <c r="V960" s="27">
        <f>IF(Control_Achizitii!$C960="",0,IF($Z$2&lt;&gt;"OK",0,IF(AND(ISNUMBER(Control_Achizitii!$B960),Control_Achizitii!$B960&gt;=$E$5,Control_Achizitii!$B960&lt;$J$5+1,OR($O$5="Toate proiectele",Control_Achizitii!$Q960=$O$5)),1,0)))</f>
        <v>0</v>
      </c>
      <c r="W960" s="27">
        <f>IF(AND(V960=1,OR(Control_Achizitii!$J960&lt;&gt;"DOSAR COMPLET",Control_Achizitii!$K960&lt;&gt;"")),ROW(),1000000000)</f>
        <v>1000000000</v>
      </c>
      <c r="X960" s="27">
        <f>IF(AND(V960=1,LEFT(Control_Achizitii!$E960,4)="Fact",NOT(ISNUMBER(Control_Achizitii!$P960))),1,0)</f>
        <v>0</v>
      </c>
      <c r="Y960" s="27">
        <f>IF(V960=0,0,IF(Control_Achizitii!$J960="DOSAR COMPLET",1,IF(LEFT(Control_Achizitii!$J960,9)="INCOMPLET",2,3)))</f>
        <v>0</v>
      </c>
      <c r="Z960" s="27"/>
      <c r="AA960" s="27"/>
      <c r="AB960" s="27"/>
      <c r="AC960" s="27"/>
      <c r="AD960" s="27"/>
      <c r="AE960" s="27"/>
      <c r="AF960" s="27"/>
      <c r="AG960" s="27"/>
      <c r="AH960" s="27">
        <f>IF(AND(V960=1,Control_Achizitii!$J960="DOSAR COMPLET",Control_Achizitii!$K960&lt;&gt;""),1,0)</f>
        <v>0</v>
      </c>
    </row>
    <row r="961" spans="1:34">
      <c r="A961" s="27"/>
      <c r="B961" s="27"/>
      <c r="C961" s="27"/>
      <c r="D961" s="27"/>
      <c r="E961" s="27"/>
      <c r="F961" s="27"/>
      <c r="G961" s="27"/>
      <c r="H961" s="27"/>
      <c r="I961" s="27"/>
      <c r="J961" s="27"/>
      <c r="K961" s="27"/>
      <c r="L961" s="27"/>
      <c r="M961" s="27"/>
      <c r="N961" s="27"/>
      <c r="O961" s="27"/>
      <c r="P961" s="27"/>
      <c r="Q961" s="27"/>
      <c r="R961" s="27"/>
      <c r="S961" s="27"/>
      <c r="T961" s="27">
        <f>IF(LEFT(Control_Achizitii!$E961,4)="Fact",1,0)</f>
        <v>0</v>
      </c>
      <c r="U961" s="27">
        <f>IF(Control_Achizitii!$C961="",0,IF(ISNUMBER(Control_Achizitii!$B961),0,1))</f>
        <v>0</v>
      </c>
      <c r="V961" s="27">
        <f>IF(Control_Achizitii!$C961="",0,IF($Z$2&lt;&gt;"OK",0,IF(AND(ISNUMBER(Control_Achizitii!$B961),Control_Achizitii!$B961&gt;=$E$5,Control_Achizitii!$B961&lt;$J$5+1,OR($O$5="Toate proiectele",Control_Achizitii!$Q961=$O$5)),1,0)))</f>
        <v>0</v>
      </c>
      <c r="W961" s="27">
        <f>IF(AND(V961=1,OR(Control_Achizitii!$J961&lt;&gt;"DOSAR COMPLET",Control_Achizitii!$K961&lt;&gt;"")),ROW(),1000000000)</f>
        <v>1000000000</v>
      </c>
      <c r="X961" s="27">
        <f>IF(AND(V961=1,LEFT(Control_Achizitii!$E961,4)="Fact",NOT(ISNUMBER(Control_Achizitii!$P961))),1,0)</f>
        <v>0</v>
      </c>
      <c r="Y961" s="27">
        <f>IF(V961=0,0,IF(Control_Achizitii!$J961="DOSAR COMPLET",1,IF(LEFT(Control_Achizitii!$J961,9)="INCOMPLET",2,3)))</f>
        <v>0</v>
      </c>
      <c r="Z961" s="27"/>
      <c r="AA961" s="27"/>
      <c r="AB961" s="27"/>
      <c r="AC961" s="27"/>
      <c r="AD961" s="27"/>
      <c r="AE961" s="27"/>
      <c r="AF961" s="27"/>
      <c r="AG961" s="27"/>
      <c r="AH961" s="27">
        <f>IF(AND(V961=1,Control_Achizitii!$J961="DOSAR COMPLET",Control_Achizitii!$K961&lt;&gt;""),1,0)</f>
        <v>0</v>
      </c>
    </row>
    <row r="962" spans="1:34">
      <c r="A962" s="27"/>
      <c r="B962" s="27"/>
      <c r="C962" s="27"/>
      <c r="D962" s="27"/>
      <c r="E962" s="27"/>
      <c r="F962" s="27"/>
      <c r="G962" s="27"/>
      <c r="H962" s="27"/>
      <c r="I962" s="27"/>
      <c r="J962" s="27"/>
      <c r="K962" s="27"/>
      <c r="L962" s="27"/>
      <c r="M962" s="27"/>
      <c r="N962" s="27"/>
      <c r="O962" s="27"/>
      <c r="P962" s="27"/>
      <c r="Q962" s="27"/>
      <c r="R962" s="27"/>
      <c r="S962" s="27"/>
      <c r="T962" s="27">
        <f>IF(LEFT(Control_Achizitii!$E962,4)="Fact",1,0)</f>
        <v>0</v>
      </c>
      <c r="U962" s="27">
        <f>IF(Control_Achizitii!$C962="",0,IF(ISNUMBER(Control_Achizitii!$B962),0,1))</f>
        <v>0</v>
      </c>
      <c r="V962" s="27">
        <f>IF(Control_Achizitii!$C962="",0,IF($Z$2&lt;&gt;"OK",0,IF(AND(ISNUMBER(Control_Achizitii!$B962),Control_Achizitii!$B962&gt;=$E$5,Control_Achizitii!$B962&lt;$J$5+1,OR($O$5="Toate proiectele",Control_Achizitii!$Q962=$O$5)),1,0)))</f>
        <v>0</v>
      </c>
      <c r="W962" s="27">
        <f>IF(AND(V962=1,OR(Control_Achizitii!$J962&lt;&gt;"DOSAR COMPLET",Control_Achizitii!$K962&lt;&gt;"")),ROW(),1000000000)</f>
        <v>1000000000</v>
      </c>
      <c r="X962" s="27">
        <f>IF(AND(V962=1,LEFT(Control_Achizitii!$E962,4)="Fact",NOT(ISNUMBER(Control_Achizitii!$P962))),1,0)</f>
        <v>0</v>
      </c>
      <c r="Y962" s="27">
        <f>IF(V962=0,0,IF(Control_Achizitii!$J962="DOSAR COMPLET",1,IF(LEFT(Control_Achizitii!$J962,9)="INCOMPLET",2,3)))</f>
        <v>0</v>
      </c>
      <c r="Z962" s="27"/>
      <c r="AA962" s="27"/>
      <c r="AB962" s="27"/>
      <c r="AC962" s="27"/>
      <c r="AD962" s="27"/>
      <c r="AE962" s="27"/>
      <c r="AF962" s="27"/>
      <c r="AG962" s="27"/>
      <c r="AH962" s="27">
        <f>IF(AND(V962=1,Control_Achizitii!$J962="DOSAR COMPLET",Control_Achizitii!$K962&lt;&gt;""),1,0)</f>
        <v>0</v>
      </c>
    </row>
    <row r="963" spans="1:34">
      <c r="A963" s="27"/>
      <c r="B963" s="27"/>
      <c r="C963" s="27"/>
      <c r="D963" s="27"/>
      <c r="E963" s="27"/>
      <c r="F963" s="27"/>
      <c r="G963" s="27"/>
      <c r="H963" s="27"/>
      <c r="I963" s="27"/>
      <c r="J963" s="27"/>
      <c r="K963" s="27"/>
      <c r="L963" s="27"/>
      <c r="M963" s="27"/>
      <c r="N963" s="27"/>
      <c r="O963" s="27"/>
      <c r="P963" s="27"/>
      <c r="Q963" s="27"/>
      <c r="R963" s="27"/>
      <c r="S963" s="27"/>
      <c r="T963" s="27">
        <f>IF(LEFT(Control_Achizitii!$E963,4)="Fact",1,0)</f>
        <v>0</v>
      </c>
      <c r="U963" s="27">
        <f>IF(Control_Achizitii!$C963="",0,IF(ISNUMBER(Control_Achizitii!$B963),0,1))</f>
        <v>0</v>
      </c>
      <c r="V963" s="27">
        <f>IF(Control_Achizitii!$C963="",0,IF($Z$2&lt;&gt;"OK",0,IF(AND(ISNUMBER(Control_Achizitii!$B963),Control_Achizitii!$B963&gt;=$E$5,Control_Achizitii!$B963&lt;$J$5+1,OR($O$5="Toate proiectele",Control_Achizitii!$Q963=$O$5)),1,0)))</f>
        <v>0</v>
      </c>
      <c r="W963" s="27">
        <f>IF(AND(V963=1,OR(Control_Achizitii!$J963&lt;&gt;"DOSAR COMPLET",Control_Achizitii!$K963&lt;&gt;"")),ROW(),1000000000)</f>
        <v>1000000000</v>
      </c>
      <c r="X963" s="27">
        <f>IF(AND(V963=1,LEFT(Control_Achizitii!$E963,4)="Fact",NOT(ISNUMBER(Control_Achizitii!$P963))),1,0)</f>
        <v>0</v>
      </c>
      <c r="Y963" s="27">
        <f>IF(V963=0,0,IF(Control_Achizitii!$J963="DOSAR COMPLET",1,IF(LEFT(Control_Achizitii!$J963,9)="INCOMPLET",2,3)))</f>
        <v>0</v>
      </c>
      <c r="Z963" s="27"/>
      <c r="AA963" s="27"/>
      <c r="AB963" s="27"/>
      <c r="AC963" s="27"/>
      <c r="AD963" s="27"/>
      <c r="AE963" s="27"/>
      <c r="AF963" s="27"/>
      <c r="AG963" s="27"/>
      <c r="AH963" s="27">
        <f>IF(AND(V963=1,Control_Achizitii!$J963="DOSAR COMPLET",Control_Achizitii!$K963&lt;&gt;""),1,0)</f>
        <v>0</v>
      </c>
    </row>
    <row r="964" spans="1:34">
      <c r="A964" s="27"/>
      <c r="B964" s="27"/>
      <c r="C964" s="27"/>
      <c r="D964" s="27"/>
      <c r="E964" s="27"/>
      <c r="F964" s="27"/>
      <c r="G964" s="27"/>
      <c r="H964" s="27"/>
      <c r="I964" s="27"/>
      <c r="J964" s="27"/>
      <c r="K964" s="27"/>
      <c r="L964" s="27"/>
      <c r="M964" s="27"/>
      <c r="N964" s="27"/>
      <c r="O964" s="27"/>
      <c r="P964" s="27"/>
      <c r="Q964" s="27"/>
      <c r="R964" s="27"/>
      <c r="S964" s="27"/>
      <c r="T964" s="27">
        <f>IF(LEFT(Control_Achizitii!$E964,4)="Fact",1,0)</f>
        <v>0</v>
      </c>
      <c r="U964" s="27">
        <f>IF(Control_Achizitii!$C964="",0,IF(ISNUMBER(Control_Achizitii!$B964),0,1))</f>
        <v>0</v>
      </c>
      <c r="V964" s="27">
        <f>IF(Control_Achizitii!$C964="",0,IF($Z$2&lt;&gt;"OK",0,IF(AND(ISNUMBER(Control_Achizitii!$B964),Control_Achizitii!$B964&gt;=$E$5,Control_Achizitii!$B964&lt;$J$5+1,OR($O$5="Toate proiectele",Control_Achizitii!$Q964=$O$5)),1,0)))</f>
        <v>0</v>
      </c>
      <c r="W964" s="27">
        <f>IF(AND(V964=1,OR(Control_Achizitii!$J964&lt;&gt;"DOSAR COMPLET",Control_Achizitii!$K964&lt;&gt;"")),ROW(),1000000000)</f>
        <v>1000000000</v>
      </c>
      <c r="X964" s="27">
        <f>IF(AND(V964=1,LEFT(Control_Achizitii!$E964,4)="Fact",NOT(ISNUMBER(Control_Achizitii!$P964))),1,0)</f>
        <v>0</v>
      </c>
      <c r="Y964" s="27">
        <f>IF(V964=0,0,IF(Control_Achizitii!$J964="DOSAR COMPLET",1,IF(LEFT(Control_Achizitii!$J964,9)="INCOMPLET",2,3)))</f>
        <v>0</v>
      </c>
      <c r="Z964" s="27"/>
      <c r="AA964" s="27"/>
      <c r="AB964" s="27"/>
      <c r="AC964" s="27"/>
      <c r="AD964" s="27"/>
      <c r="AE964" s="27"/>
      <c r="AF964" s="27"/>
      <c r="AG964" s="27"/>
      <c r="AH964" s="27">
        <f>IF(AND(V964=1,Control_Achizitii!$J964="DOSAR COMPLET",Control_Achizitii!$K964&lt;&gt;""),1,0)</f>
        <v>0</v>
      </c>
    </row>
    <row r="965" spans="1:34">
      <c r="A965" s="27"/>
      <c r="B965" s="27"/>
      <c r="C965" s="27"/>
      <c r="D965" s="27"/>
      <c r="E965" s="27"/>
      <c r="F965" s="27"/>
      <c r="G965" s="27"/>
      <c r="H965" s="27"/>
      <c r="I965" s="27"/>
      <c r="J965" s="27"/>
      <c r="K965" s="27"/>
      <c r="L965" s="27"/>
      <c r="M965" s="27"/>
      <c r="N965" s="27"/>
      <c r="O965" s="27"/>
      <c r="P965" s="27"/>
      <c r="Q965" s="27"/>
      <c r="R965" s="27"/>
      <c r="S965" s="27"/>
      <c r="T965" s="27">
        <f>IF(LEFT(Control_Achizitii!$E965,4)="Fact",1,0)</f>
        <v>0</v>
      </c>
      <c r="U965" s="27">
        <f>IF(Control_Achizitii!$C965="",0,IF(ISNUMBER(Control_Achizitii!$B965),0,1))</f>
        <v>0</v>
      </c>
      <c r="V965" s="27">
        <f>IF(Control_Achizitii!$C965="",0,IF($Z$2&lt;&gt;"OK",0,IF(AND(ISNUMBER(Control_Achizitii!$B965),Control_Achizitii!$B965&gt;=$E$5,Control_Achizitii!$B965&lt;$J$5+1,OR($O$5="Toate proiectele",Control_Achizitii!$Q965=$O$5)),1,0)))</f>
        <v>0</v>
      </c>
      <c r="W965" s="27">
        <f>IF(AND(V965=1,OR(Control_Achizitii!$J965&lt;&gt;"DOSAR COMPLET",Control_Achizitii!$K965&lt;&gt;"")),ROW(),1000000000)</f>
        <v>1000000000</v>
      </c>
      <c r="X965" s="27">
        <f>IF(AND(V965=1,LEFT(Control_Achizitii!$E965,4)="Fact",NOT(ISNUMBER(Control_Achizitii!$P965))),1,0)</f>
        <v>0</v>
      </c>
      <c r="Y965" s="27">
        <f>IF(V965=0,0,IF(Control_Achizitii!$J965="DOSAR COMPLET",1,IF(LEFT(Control_Achizitii!$J965,9)="INCOMPLET",2,3)))</f>
        <v>0</v>
      </c>
      <c r="Z965" s="27"/>
      <c r="AA965" s="27"/>
      <c r="AB965" s="27"/>
      <c r="AC965" s="27"/>
      <c r="AD965" s="27"/>
      <c r="AE965" s="27"/>
      <c r="AF965" s="27"/>
      <c r="AG965" s="27"/>
      <c r="AH965" s="27">
        <f>IF(AND(V965=1,Control_Achizitii!$J965="DOSAR COMPLET",Control_Achizitii!$K965&lt;&gt;""),1,0)</f>
        <v>0</v>
      </c>
    </row>
    <row r="966" spans="1:34">
      <c r="A966" s="27"/>
      <c r="B966" s="27"/>
      <c r="C966" s="27"/>
      <c r="D966" s="27"/>
      <c r="E966" s="27"/>
      <c r="F966" s="27"/>
      <c r="G966" s="27"/>
      <c r="H966" s="27"/>
      <c r="I966" s="27"/>
      <c r="J966" s="27"/>
      <c r="K966" s="27"/>
      <c r="L966" s="27"/>
      <c r="M966" s="27"/>
      <c r="N966" s="27"/>
      <c r="O966" s="27"/>
      <c r="P966" s="27"/>
      <c r="Q966" s="27"/>
      <c r="R966" s="27"/>
      <c r="S966" s="27"/>
      <c r="T966" s="27">
        <f>IF(LEFT(Control_Achizitii!$E966,4)="Fact",1,0)</f>
        <v>0</v>
      </c>
      <c r="U966" s="27">
        <f>IF(Control_Achizitii!$C966="",0,IF(ISNUMBER(Control_Achizitii!$B966),0,1))</f>
        <v>0</v>
      </c>
      <c r="V966" s="27">
        <f>IF(Control_Achizitii!$C966="",0,IF($Z$2&lt;&gt;"OK",0,IF(AND(ISNUMBER(Control_Achizitii!$B966),Control_Achizitii!$B966&gt;=$E$5,Control_Achizitii!$B966&lt;$J$5+1,OR($O$5="Toate proiectele",Control_Achizitii!$Q966=$O$5)),1,0)))</f>
        <v>0</v>
      </c>
      <c r="W966" s="27">
        <f>IF(AND(V966=1,OR(Control_Achizitii!$J966&lt;&gt;"DOSAR COMPLET",Control_Achizitii!$K966&lt;&gt;"")),ROW(),1000000000)</f>
        <v>1000000000</v>
      </c>
      <c r="X966" s="27">
        <f>IF(AND(V966=1,LEFT(Control_Achizitii!$E966,4)="Fact",NOT(ISNUMBER(Control_Achizitii!$P966))),1,0)</f>
        <v>0</v>
      </c>
      <c r="Y966" s="27">
        <f>IF(V966=0,0,IF(Control_Achizitii!$J966="DOSAR COMPLET",1,IF(LEFT(Control_Achizitii!$J966,9)="INCOMPLET",2,3)))</f>
        <v>0</v>
      </c>
      <c r="Z966" s="27"/>
      <c r="AA966" s="27"/>
      <c r="AB966" s="27"/>
      <c r="AC966" s="27"/>
      <c r="AD966" s="27"/>
      <c r="AE966" s="27"/>
      <c r="AF966" s="27"/>
      <c r="AG966" s="27"/>
      <c r="AH966" s="27">
        <f>IF(AND(V966=1,Control_Achizitii!$J966="DOSAR COMPLET",Control_Achizitii!$K966&lt;&gt;""),1,0)</f>
        <v>0</v>
      </c>
    </row>
    <row r="967" spans="1:34">
      <c r="A967" s="27"/>
      <c r="B967" s="27"/>
      <c r="C967" s="27"/>
      <c r="D967" s="27"/>
      <c r="E967" s="27"/>
      <c r="F967" s="27"/>
      <c r="G967" s="27"/>
      <c r="H967" s="27"/>
      <c r="I967" s="27"/>
      <c r="J967" s="27"/>
      <c r="K967" s="27"/>
      <c r="L967" s="27"/>
      <c r="M967" s="27"/>
      <c r="N967" s="27"/>
      <c r="O967" s="27"/>
      <c r="P967" s="27"/>
      <c r="Q967" s="27"/>
      <c r="R967" s="27"/>
      <c r="S967" s="27"/>
      <c r="T967" s="27">
        <f>IF(LEFT(Control_Achizitii!$E967,4)="Fact",1,0)</f>
        <v>0</v>
      </c>
      <c r="U967" s="27">
        <f>IF(Control_Achizitii!$C967="",0,IF(ISNUMBER(Control_Achizitii!$B967),0,1))</f>
        <v>0</v>
      </c>
      <c r="V967" s="27">
        <f>IF(Control_Achizitii!$C967="",0,IF($Z$2&lt;&gt;"OK",0,IF(AND(ISNUMBER(Control_Achizitii!$B967),Control_Achizitii!$B967&gt;=$E$5,Control_Achizitii!$B967&lt;$J$5+1,OR($O$5="Toate proiectele",Control_Achizitii!$Q967=$O$5)),1,0)))</f>
        <v>0</v>
      </c>
      <c r="W967" s="27">
        <f>IF(AND(V967=1,OR(Control_Achizitii!$J967&lt;&gt;"DOSAR COMPLET",Control_Achizitii!$K967&lt;&gt;"")),ROW(),1000000000)</f>
        <v>1000000000</v>
      </c>
      <c r="X967" s="27">
        <f>IF(AND(V967=1,LEFT(Control_Achizitii!$E967,4)="Fact",NOT(ISNUMBER(Control_Achizitii!$P967))),1,0)</f>
        <v>0</v>
      </c>
      <c r="Y967" s="27">
        <f>IF(V967=0,0,IF(Control_Achizitii!$J967="DOSAR COMPLET",1,IF(LEFT(Control_Achizitii!$J967,9)="INCOMPLET",2,3)))</f>
        <v>0</v>
      </c>
      <c r="Z967" s="27"/>
      <c r="AA967" s="27"/>
      <c r="AB967" s="27"/>
      <c r="AC967" s="27"/>
      <c r="AD967" s="27"/>
      <c r="AE967" s="27"/>
      <c r="AF967" s="27"/>
      <c r="AG967" s="27"/>
      <c r="AH967" s="27">
        <f>IF(AND(V967=1,Control_Achizitii!$J967="DOSAR COMPLET",Control_Achizitii!$K967&lt;&gt;""),1,0)</f>
        <v>0</v>
      </c>
    </row>
    <row r="968" spans="1:34">
      <c r="A968" s="27"/>
      <c r="B968" s="27"/>
      <c r="C968" s="27"/>
      <c r="D968" s="27"/>
      <c r="E968" s="27"/>
      <c r="F968" s="27"/>
      <c r="G968" s="27"/>
      <c r="H968" s="27"/>
      <c r="I968" s="27"/>
      <c r="J968" s="27"/>
      <c r="K968" s="27"/>
      <c r="L968" s="27"/>
      <c r="M968" s="27"/>
      <c r="N968" s="27"/>
      <c r="O968" s="27"/>
      <c r="P968" s="27"/>
      <c r="Q968" s="27"/>
      <c r="R968" s="27"/>
      <c r="S968" s="27"/>
      <c r="T968" s="27">
        <f>IF(LEFT(Control_Achizitii!$E968,4)="Fact",1,0)</f>
        <v>0</v>
      </c>
      <c r="U968" s="27">
        <f>IF(Control_Achizitii!$C968="",0,IF(ISNUMBER(Control_Achizitii!$B968),0,1))</f>
        <v>0</v>
      </c>
      <c r="V968" s="27">
        <f>IF(Control_Achizitii!$C968="",0,IF($Z$2&lt;&gt;"OK",0,IF(AND(ISNUMBER(Control_Achizitii!$B968),Control_Achizitii!$B968&gt;=$E$5,Control_Achizitii!$B968&lt;$J$5+1,OR($O$5="Toate proiectele",Control_Achizitii!$Q968=$O$5)),1,0)))</f>
        <v>0</v>
      </c>
      <c r="W968" s="27">
        <f>IF(AND(V968=1,OR(Control_Achizitii!$J968&lt;&gt;"DOSAR COMPLET",Control_Achizitii!$K968&lt;&gt;"")),ROW(),1000000000)</f>
        <v>1000000000</v>
      </c>
      <c r="X968" s="27">
        <f>IF(AND(V968=1,LEFT(Control_Achizitii!$E968,4)="Fact",NOT(ISNUMBER(Control_Achizitii!$P968))),1,0)</f>
        <v>0</v>
      </c>
      <c r="Y968" s="27">
        <f>IF(V968=0,0,IF(Control_Achizitii!$J968="DOSAR COMPLET",1,IF(LEFT(Control_Achizitii!$J968,9)="INCOMPLET",2,3)))</f>
        <v>0</v>
      </c>
      <c r="Z968" s="27"/>
      <c r="AA968" s="27"/>
      <c r="AB968" s="27"/>
      <c r="AC968" s="27"/>
      <c r="AD968" s="27"/>
      <c r="AE968" s="27"/>
      <c r="AF968" s="27"/>
      <c r="AG968" s="27"/>
      <c r="AH968" s="27">
        <f>IF(AND(V968=1,Control_Achizitii!$J968="DOSAR COMPLET",Control_Achizitii!$K968&lt;&gt;""),1,0)</f>
        <v>0</v>
      </c>
    </row>
    <row r="969" spans="1:34">
      <c r="A969" s="27"/>
      <c r="B969" s="27"/>
      <c r="C969" s="27"/>
      <c r="D969" s="27"/>
      <c r="E969" s="27"/>
      <c r="F969" s="27"/>
      <c r="G969" s="27"/>
      <c r="H969" s="27"/>
      <c r="I969" s="27"/>
      <c r="J969" s="27"/>
      <c r="K969" s="27"/>
      <c r="L969" s="27"/>
      <c r="M969" s="27"/>
      <c r="N969" s="27"/>
      <c r="O969" s="27"/>
      <c r="P969" s="27"/>
      <c r="Q969" s="27"/>
      <c r="R969" s="27"/>
      <c r="S969" s="27"/>
      <c r="T969" s="27">
        <f>IF(LEFT(Control_Achizitii!$E969,4)="Fact",1,0)</f>
        <v>0</v>
      </c>
      <c r="U969" s="27">
        <f>IF(Control_Achizitii!$C969="",0,IF(ISNUMBER(Control_Achizitii!$B969),0,1))</f>
        <v>0</v>
      </c>
      <c r="V969" s="27">
        <f>IF(Control_Achizitii!$C969="",0,IF($Z$2&lt;&gt;"OK",0,IF(AND(ISNUMBER(Control_Achizitii!$B969),Control_Achizitii!$B969&gt;=$E$5,Control_Achizitii!$B969&lt;$J$5+1,OR($O$5="Toate proiectele",Control_Achizitii!$Q969=$O$5)),1,0)))</f>
        <v>0</v>
      </c>
      <c r="W969" s="27">
        <f>IF(AND(V969=1,OR(Control_Achizitii!$J969&lt;&gt;"DOSAR COMPLET",Control_Achizitii!$K969&lt;&gt;"")),ROW(),1000000000)</f>
        <v>1000000000</v>
      </c>
      <c r="X969" s="27">
        <f>IF(AND(V969=1,LEFT(Control_Achizitii!$E969,4)="Fact",NOT(ISNUMBER(Control_Achizitii!$P969))),1,0)</f>
        <v>0</v>
      </c>
      <c r="Y969" s="27">
        <f>IF(V969=0,0,IF(Control_Achizitii!$J969="DOSAR COMPLET",1,IF(LEFT(Control_Achizitii!$J969,9)="INCOMPLET",2,3)))</f>
        <v>0</v>
      </c>
      <c r="Z969" s="27"/>
      <c r="AA969" s="27"/>
      <c r="AB969" s="27"/>
      <c r="AC969" s="27"/>
      <c r="AD969" s="27"/>
      <c r="AE969" s="27"/>
      <c r="AF969" s="27"/>
      <c r="AG969" s="27"/>
      <c r="AH969" s="27">
        <f>IF(AND(V969=1,Control_Achizitii!$J969="DOSAR COMPLET",Control_Achizitii!$K969&lt;&gt;""),1,0)</f>
        <v>0</v>
      </c>
    </row>
    <row r="970" spans="1:34">
      <c r="A970" s="27"/>
      <c r="B970" s="27"/>
      <c r="C970" s="27"/>
      <c r="D970" s="27"/>
      <c r="E970" s="27"/>
      <c r="F970" s="27"/>
      <c r="G970" s="27"/>
      <c r="H970" s="27"/>
      <c r="I970" s="27"/>
      <c r="J970" s="27"/>
      <c r="K970" s="27"/>
      <c r="L970" s="27"/>
      <c r="M970" s="27"/>
      <c r="N970" s="27"/>
      <c r="O970" s="27"/>
      <c r="P970" s="27"/>
      <c r="Q970" s="27"/>
      <c r="R970" s="27"/>
      <c r="S970" s="27"/>
      <c r="T970" s="27">
        <f>IF(LEFT(Control_Achizitii!$E970,4)="Fact",1,0)</f>
        <v>0</v>
      </c>
      <c r="U970" s="27">
        <f>IF(Control_Achizitii!$C970="",0,IF(ISNUMBER(Control_Achizitii!$B970),0,1))</f>
        <v>0</v>
      </c>
      <c r="V970" s="27">
        <f>IF(Control_Achizitii!$C970="",0,IF($Z$2&lt;&gt;"OK",0,IF(AND(ISNUMBER(Control_Achizitii!$B970),Control_Achizitii!$B970&gt;=$E$5,Control_Achizitii!$B970&lt;$J$5+1,OR($O$5="Toate proiectele",Control_Achizitii!$Q970=$O$5)),1,0)))</f>
        <v>0</v>
      </c>
      <c r="W970" s="27">
        <f>IF(AND(V970=1,OR(Control_Achizitii!$J970&lt;&gt;"DOSAR COMPLET",Control_Achizitii!$K970&lt;&gt;"")),ROW(),1000000000)</f>
        <v>1000000000</v>
      </c>
      <c r="X970" s="27">
        <f>IF(AND(V970=1,LEFT(Control_Achizitii!$E970,4)="Fact",NOT(ISNUMBER(Control_Achizitii!$P970))),1,0)</f>
        <v>0</v>
      </c>
      <c r="Y970" s="27">
        <f>IF(V970=0,0,IF(Control_Achizitii!$J970="DOSAR COMPLET",1,IF(LEFT(Control_Achizitii!$J970,9)="INCOMPLET",2,3)))</f>
        <v>0</v>
      </c>
      <c r="Z970" s="27"/>
      <c r="AA970" s="27"/>
      <c r="AB970" s="27"/>
      <c r="AC970" s="27"/>
      <c r="AD970" s="27"/>
      <c r="AE970" s="27"/>
      <c r="AF970" s="27"/>
      <c r="AG970" s="27"/>
      <c r="AH970" s="27">
        <f>IF(AND(V970=1,Control_Achizitii!$J970="DOSAR COMPLET",Control_Achizitii!$K970&lt;&gt;""),1,0)</f>
        <v>0</v>
      </c>
    </row>
    <row r="971" spans="1:34">
      <c r="A971" s="27"/>
      <c r="B971" s="27"/>
      <c r="C971" s="27"/>
      <c r="D971" s="27"/>
      <c r="E971" s="27"/>
      <c r="F971" s="27"/>
      <c r="G971" s="27"/>
      <c r="H971" s="27"/>
      <c r="I971" s="27"/>
      <c r="J971" s="27"/>
      <c r="K971" s="27"/>
      <c r="L971" s="27"/>
      <c r="M971" s="27"/>
      <c r="N971" s="27"/>
      <c r="O971" s="27"/>
      <c r="P971" s="27"/>
      <c r="Q971" s="27"/>
      <c r="R971" s="27"/>
      <c r="S971" s="27"/>
      <c r="T971" s="27">
        <f>IF(LEFT(Control_Achizitii!$E971,4)="Fact",1,0)</f>
        <v>0</v>
      </c>
      <c r="U971" s="27">
        <f>IF(Control_Achizitii!$C971="",0,IF(ISNUMBER(Control_Achizitii!$B971),0,1))</f>
        <v>0</v>
      </c>
      <c r="V971" s="27">
        <f>IF(Control_Achizitii!$C971="",0,IF($Z$2&lt;&gt;"OK",0,IF(AND(ISNUMBER(Control_Achizitii!$B971),Control_Achizitii!$B971&gt;=$E$5,Control_Achizitii!$B971&lt;$J$5+1,OR($O$5="Toate proiectele",Control_Achizitii!$Q971=$O$5)),1,0)))</f>
        <v>0</v>
      </c>
      <c r="W971" s="27">
        <f>IF(AND(V971=1,OR(Control_Achizitii!$J971&lt;&gt;"DOSAR COMPLET",Control_Achizitii!$K971&lt;&gt;"")),ROW(),1000000000)</f>
        <v>1000000000</v>
      </c>
      <c r="X971" s="27">
        <f>IF(AND(V971=1,LEFT(Control_Achizitii!$E971,4)="Fact",NOT(ISNUMBER(Control_Achizitii!$P971))),1,0)</f>
        <v>0</v>
      </c>
      <c r="Y971" s="27">
        <f>IF(V971=0,0,IF(Control_Achizitii!$J971="DOSAR COMPLET",1,IF(LEFT(Control_Achizitii!$J971,9)="INCOMPLET",2,3)))</f>
        <v>0</v>
      </c>
      <c r="Z971" s="27"/>
      <c r="AA971" s="27"/>
      <c r="AB971" s="27"/>
      <c r="AC971" s="27"/>
      <c r="AD971" s="27"/>
      <c r="AE971" s="27"/>
      <c r="AF971" s="27"/>
      <c r="AG971" s="27"/>
      <c r="AH971" s="27">
        <f>IF(AND(V971=1,Control_Achizitii!$J971="DOSAR COMPLET",Control_Achizitii!$K971&lt;&gt;""),1,0)</f>
        <v>0</v>
      </c>
    </row>
    <row r="972" spans="1:34">
      <c r="A972" s="27"/>
      <c r="B972" s="27"/>
      <c r="C972" s="27"/>
      <c r="D972" s="27"/>
      <c r="E972" s="27"/>
      <c r="F972" s="27"/>
      <c r="G972" s="27"/>
      <c r="H972" s="27"/>
      <c r="I972" s="27"/>
      <c r="J972" s="27"/>
      <c r="K972" s="27"/>
      <c r="L972" s="27"/>
      <c r="M972" s="27"/>
      <c r="N972" s="27"/>
      <c r="O972" s="27"/>
      <c r="P972" s="27"/>
      <c r="Q972" s="27"/>
      <c r="R972" s="27"/>
      <c r="S972" s="27"/>
      <c r="T972" s="27">
        <f>IF(LEFT(Control_Achizitii!$E972,4)="Fact",1,0)</f>
        <v>0</v>
      </c>
      <c r="U972" s="27">
        <f>IF(Control_Achizitii!$C972="",0,IF(ISNUMBER(Control_Achizitii!$B972),0,1))</f>
        <v>0</v>
      </c>
      <c r="V972" s="27">
        <f>IF(Control_Achizitii!$C972="",0,IF($Z$2&lt;&gt;"OK",0,IF(AND(ISNUMBER(Control_Achizitii!$B972),Control_Achizitii!$B972&gt;=$E$5,Control_Achizitii!$B972&lt;$J$5+1,OR($O$5="Toate proiectele",Control_Achizitii!$Q972=$O$5)),1,0)))</f>
        <v>0</v>
      </c>
      <c r="W972" s="27">
        <f>IF(AND(V972=1,OR(Control_Achizitii!$J972&lt;&gt;"DOSAR COMPLET",Control_Achizitii!$K972&lt;&gt;"")),ROW(),1000000000)</f>
        <v>1000000000</v>
      </c>
      <c r="X972" s="27">
        <f>IF(AND(V972=1,LEFT(Control_Achizitii!$E972,4)="Fact",NOT(ISNUMBER(Control_Achizitii!$P972))),1,0)</f>
        <v>0</v>
      </c>
      <c r="Y972" s="27">
        <f>IF(V972=0,0,IF(Control_Achizitii!$J972="DOSAR COMPLET",1,IF(LEFT(Control_Achizitii!$J972,9)="INCOMPLET",2,3)))</f>
        <v>0</v>
      </c>
      <c r="Z972" s="27"/>
      <c r="AA972" s="27"/>
      <c r="AB972" s="27"/>
      <c r="AC972" s="27"/>
      <c r="AD972" s="27"/>
      <c r="AE972" s="27"/>
      <c r="AF972" s="27"/>
      <c r="AG972" s="27"/>
      <c r="AH972" s="27">
        <f>IF(AND(V972=1,Control_Achizitii!$J972="DOSAR COMPLET",Control_Achizitii!$K972&lt;&gt;""),1,0)</f>
        <v>0</v>
      </c>
    </row>
    <row r="973" spans="1:34">
      <c r="A973" s="27"/>
      <c r="B973" s="27"/>
      <c r="C973" s="27"/>
      <c r="D973" s="27"/>
      <c r="E973" s="27"/>
      <c r="F973" s="27"/>
      <c r="G973" s="27"/>
      <c r="H973" s="27"/>
      <c r="I973" s="27"/>
      <c r="J973" s="27"/>
      <c r="K973" s="27"/>
      <c r="L973" s="27"/>
      <c r="M973" s="27"/>
      <c r="N973" s="27"/>
      <c r="O973" s="27"/>
      <c r="P973" s="27"/>
      <c r="Q973" s="27"/>
      <c r="R973" s="27"/>
      <c r="S973" s="27"/>
      <c r="T973" s="27">
        <f>IF(LEFT(Control_Achizitii!$E973,4)="Fact",1,0)</f>
        <v>0</v>
      </c>
      <c r="U973" s="27">
        <f>IF(Control_Achizitii!$C973="",0,IF(ISNUMBER(Control_Achizitii!$B973),0,1))</f>
        <v>0</v>
      </c>
      <c r="V973" s="27">
        <f>IF(Control_Achizitii!$C973="",0,IF($Z$2&lt;&gt;"OK",0,IF(AND(ISNUMBER(Control_Achizitii!$B973),Control_Achizitii!$B973&gt;=$E$5,Control_Achizitii!$B973&lt;$J$5+1,OR($O$5="Toate proiectele",Control_Achizitii!$Q973=$O$5)),1,0)))</f>
        <v>0</v>
      </c>
      <c r="W973" s="27">
        <f>IF(AND(V973=1,OR(Control_Achizitii!$J973&lt;&gt;"DOSAR COMPLET",Control_Achizitii!$K973&lt;&gt;"")),ROW(),1000000000)</f>
        <v>1000000000</v>
      </c>
      <c r="X973" s="27">
        <f>IF(AND(V973=1,LEFT(Control_Achizitii!$E973,4)="Fact",NOT(ISNUMBER(Control_Achizitii!$P973))),1,0)</f>
        <v>0</v>
      </c>
      <c r="Y973" s="27">
        <f>IF(V973=0,0,IF(Control_Achizitii!$J973="DOSAR COMPLET",1,IF(LEFT(Control_Achizitii!$J973,9)="INCOMPLET",2,3)))</f>
        <v>0</v>
      </c>
      <c r="Z973" s="27"/>
      <c r="AA973" s="27"/>
      <c r="AB973" s="27"/>
      <c r="AC973" s="27"/>
      <c r="AD973" s="27"/>
      <c r="AE973" s="27"/>
      <c r="AF973" s="27"/>
      <c r="AG973" s="27"/>
      <c r="AH973" s="27">
        <f>IF(AND(V973=1,Control_Achizitii!$J973="DOSAR COMPLET",Control_Achizitii!$K973&lt;&gt;""),1,0)</f>
        <v>0</v>
      </c>
    </row>
    <row r="974" spans="1:34">
      <c r="A974" s="27"/>
      <c r="B974" s="27"/>
      <c r="C974" s="27"/>
      <c r="D974" s="27"/>
      <c r="E974" s="27"/>
      <c r="F974" s="27"/>
      <c r="G974" s="27"/>
      <c r="H974" s="27"/>
      <c r="I974" s="27"/>
      <c r="J974" s="27"/>
      <c r="K974" s="27"/>
      <c r="L974" s="27"/>
      <c r="M974" s="27"/>
      <c r="N974" s="27"/>
      <c r="O974" s="27"/>
      <c r="P974" s="27"/>
      <c r="Q974" s="27"/>
      <c r="R974" s="27"/>
      <c r="S974" s="27"/>
      <c r="T974" s="27">
        <f>IF(LEFT(Control_Achizitii!$E974,4)="Fact",1,0)</f>
        <v>0</v>
      </c>
      <c r="U974" s="27">
        <f>IF(Control_Achizitii!$C974="",0,IF(ISNUMBER(Control_Achizitii!$B974),0,1))</f>
        <v>0</v>
      </c>
      <c r="V974" s="27">
        <f>IF(Control_Achizitii!$C974="",0,IF($Z$2&lt;&gt;"OK",0,IF(AND(ISNUMBER(Control_Achizitii!$B974),Control_Achizitii!$B974&gt;=$E$5,Control_Achizitii!$B974&lt;$J$5+1,OR($O$5="Toate proiectele",Control_Achizitii!$Q974=$O$5)),1,0)))</f>
        <v>0</v>
      </c>
      <c r="W974" s="27">
        <f>IF(AND(V974=1,OR(Control_Achizitii!$J974&lt;&gt;"DOSAR COMPLET",Control_Achizitii!$K974&lt;&gt;"")),ROW(),1000000000)</f>
        <v>1000000000</v>
      </c>
      <c r="X974" s="27">
        <f>IF(AND(V974=1,LEFT(Control_Achizitii!$E974,4)="Fact",NOT(ISNUMBER(Control_Achizitii!$P974))),1,0)</f>
        <v>0</v>
      </c>
      <c r="Y974" s="27">
        <f>IF(V974=0,0,IF(Control_Achizitii!$J974="DOSAR COMPLET",1,IF(LEFT(Control_Achizitii!$J974,9)="INCOMPLET",2,3)))</f>
        <v>0</v>
      </c>
      <c r="Z974" s="27"/>
      <c r="AA974" s="27"/>
      <c r="AB974" s="27"/>
      <c r="AC974" s="27"/>
      <c r="AD974" s="27"/>
      <c r="AE974" s="27"/>
      <c r="AF974" s="27"/>
      <c r="AG974" s="27"/>
      <c r="AH974" s="27">
        <f>IF(AND(V974=1,Control_Achizitii!$J974="DOSAR COMPLET",Control_Achizitii!$K974&lt;&gt;""),1,0)</f>
        <v>0</v>
      </c>
    </row>
    <row r="975" spans="1:34">
      <c r="A975" s="27"/>
      <c r="B975" s="27"/>
      <c r="C975" s="27"/>
      <c r="D975" s="27"/>
      <c r="E975" s="27"/>
      <c r="F975" s="27"/>
      <c r="G975" s="27"/>
      <c r="H975" s="27"/>
      <c r="I975" s="27"/>
      <c r="J975" s="27"/>
      <c r="K975" s="27"/>
      <c r="L975" s="27"/>
      <c r="M975" s="27"/>
      <c r="N975" s="27"/>
      <c r="O975" s="27"/>
      <c r="P975" s="27"/>
      <c r="Q975" s="27"/>
      <c r="R975" s="27"/>
      <c r="S975" s="27"/>
      <c r="T975" s="27">
        <f>IF(LEFT(Control_Achizitii!$E975,4)="Fact",1,0)</f>
        <v>0</v>
      </c>
      <c r="U975" s="27">
        <f>IF(Control_Achizitii!$C975="",0,IF(ISNUMBER(Control_Achizitii!$B975),0,1))</f>
        <v>0</v>
      </c>
      <c r="V975" s="27">
        <f>IF(Control_Achizitii!$C975="",0,IF($Z$2&lt;&gt;"OK",0,IF(AND(ISNUMBER(Control_Achizitii!$B975),Control_Achizitii!$B975&gt;=$E$5,Control_Achizitii!$B975&lt;$J$5+1,OR($O$5="Toate proiectele",Control_Achizitii!$Q975=$O$5)),1,0)))</f>
        <v>0</v>
      </c>
      <c r="W975" s="27">
        <f>IF(AND(V975=1,OR(Control_Achizitii!$J975&lt;&gt;"DOSAR COMPLET",Control_Achizitii!$K975&lt;&gt;"")),ROW(),1000000000)</f>
        <v>1000000000</v>
      </c>
      <c r="X975" s="27">
        <f>IF(AND(V975=1,LEFT(Control_Achizitii!$E975,4)="Fact",NOT(ISNUMBER(Control_Achizitii!$P975))),1,0)</f>
        <v>0</v>
      </c>
      <c r="Y975" s="27">
        <f>IF(V975=0,0,IF(Control_Achizitii!$J975="DOSAR COMPLET",1,IF(LEFT(Control_Achizitii!$J975,9)="INCOMPLET",2,3)))</f>
        <v>0</v>
      </c>
      <c r="Z975" s="27"/>
      <c r="AA975" s="27"/>
      <c r="AB975" s="27"/>
      <c r="AC975" s="27"/>
      <c r="AD975" s="27"/>
      <c r="AE975" s="27"/>
      <c r="AF975" s="27"/>
      <c r="AG975" s="27"/>
      <c r="AH975" s="27">
        <f>IF(AND(V975=1,Control_Achizitii!$J975="DOSAR COMPLET",Control_Achizitii!$K975&lt;&gt;""),1,0)</f>
        <v>0</v>
      </c>
    </row>
    <row r="976" spans="1:34">
      <c r="A976" s="27"/>
      <c r="B976" s="27"/>
      <c r="C976" s="27"/>
      <c r="D976" s="27"/>
      <c r="E976" s="27"/>
      <c r="F976" s="27"/>
      <c r="G976" s="27"/>
      <c r="H976" s="27"/>
      <c r="I976" s="27"/>
      <c r="J976" s="27"/>
      <c r="K976" s="27"/>
      <c r="L976" s="27"/>
      <c r="M976" s="27"/>
      <c r="N976" s="27"/>
      <c r="O976" s="27"/>
      <c r="P976" s="27"/>
      <c r="Q976" s="27"/>
      <c r="R976" s="27"/>
      <c r="S976" s="27"/>
      <c r="T976" s="27">
        <f>IF(LEFT(Control_Achizitii!$E976,4)="Fact",1,0)</f>
        <v>0</v>
      </c>
      <c r="U976" s="27">
        <f>IF(Control_Achizitii!$C976="",0,IF(ISNUMBER(Control_Achizitii!$B976),0,1))</f>
        <v>0</v>
      </c>
      <c r="V976" s="27">
        <f>IF(Control_Achizitii!$C976="",0,IF($Z$2&lt;&gt;"OK",0,IF(AND(ISNUMBER(Control_Achizitii!$B976),Control_Achizitii!$B976&gt;=$E$5,Control_Achizitii!$B976&lt;$J$5+1,OR($O$5="Toate proiectele",Control_Achizitii!$Q976=$O$5)),1,0)))</f>
        <v>0</v>
      </c>
      <c r="W976" s="27">
        <f>IF(AND(V976=1,OR(Control_Achizitii!$J976&lt;&gt;"DOSAR COMPLET",Control_Achizitii!$K976&lt;&gt;"")),ROW(),1000000000)</f>
        <v>1000000000</v>
      </c>
      <c r="X976" s="27">
        <f>IF(AND(V976=1,LEFT(Control_Achizitii!$E976,4)="Fact",NOT(ISNUMBER(Control_Achizitii!$P976))),1,0)</f>
        <v>0</v>
      </c>
      <c r="Y976" s="27">
        <f>IF(V976=0,0,IF(Control_Achizitii!$J976="DOSAR COMPLET",1,IF(LEFT(Control_Achizitii!$J976,9)="INCOMPLET",2,3)))</f>
        <v>0</v>
      </c>
      <c r="Z976" s="27"/>
      <c r="AA976" s="27"/>
      <c r="AB976" s="27"/>
      <c r="AC976" s="27"/>
      <c r="AD976" s="27"/>
      <c r="AE976" s="27"/>
      <c r="AF976" s="27"/>
      <c r="AG976" s="27"/>
      <c r="AH976" s="27">
        <f>IF(AND(V976=1,Control_Achizitii!$J976="DOSAR COMPLET",Control_Achizitii!$K976&lt;&gt;""),1,0)</f>
        <v>0</v>
      </c>
    </row>
    <row r="977" spans="1:34">
      <c r="A977" s="27"/>
      <c r="B977" s="27"/>
      <c r="C977" s="27"/>
      <c r="D977" s="27"/>
      <c r="E977" s="27"/>
      <c r="F977" s="27"/>
      <c r="G977" s="27"/>
      <c r="H977" s="27"/>
      <c r="I977" s="27"/>
      <c r="J977" s="27"/>
      <c r="K977" s="27"/>
      <c r="L977" s="27"/>
      <c r="M977" s="27"/>
      <c r="N977" s="27"/>
      <c r="O977" s="27"/>
      <c r="P977" s="27"/>
      <c r="Q977" s="27"/>
      <c r="R977" s="27"/>
      <c r="S977" s="27"/>
      <c r="T977" s="27">
        <f>IF(LEFT(Control_Achizitii!$E977,4)="Fact",1,0)</f>
        <v>0</v>
      </c>
      <c r="U977" s="27">
        <f>IF(Control_Achizitii!$C977="",0,IF(ISNUMBER(Control_Achizitii!$B977),0,1))</f>
        <v>0</v>
      </c>
      <c r="V977" s="27">
        <f>IF(Control_Achizitii!$C977="",0,IF($Z$2&lt;&gt;"OK",0,IF(AND(ISNUMBER(Control_Achizitii!$B977),Control_Achizitii!$B977&gt;=$E$5,Control_Achizitii!$B977&lt;$J$5+1,OR($O$5="Toate proiectele",Control_Achizitii!$Q977=$O$5)),1,0)))</f>
        <v>0</v>
      </c>
      <c r="W977" s="27">
        <f>IF(AND(V977=1,OR(Control_Achizitii!$J977&lt;&gt;"DOSAR COMPLET",Control_Achizitii!$K977&lt;&gt;"")),ROW(),1000000000)</f>
        <v>1000000000</v>
      </c>
      <c r="X977" s="27">
        <f>IF(AND(V977=1,LEFT(Control_Achizitii!$E977,4)="Fact",NOT(ISNUMBER(Control_Achizitii!$P977))),1,0)</f>
        <v>0</v>
      </c>
      <c r="Y977" s="27">
        <f>IF(V977=0,0,IF(Control_Achizitii!$J977="DOSAR COMPLET",1,IF(LEFT(Control_Achizitii!$J977,9)="INCOMPLET",2,3)))</f>
        <v>0</v>
      </c>
      <c r="Z977" s="27"/>
      <c r="AA977" s="27"/>
      <c r="AB977" s="27"/>
      <c r="AC977" s="27"/>
      <c r="AD977" s="27"/>
      <c r="AE977" s="27"/>
      <c r="AF977" s="27"/>
      <c r="AG977" s="27"/>
      <c r="AH977" s="27">
        <f>IF(AND(V977=1,Control_Achizitii!$J977="DOSAR COMPLET",Control_Achizitii!$K977&lt;&gt;""),1,0)</f>
        <v>0</v>
      </c>
    </row>
    <row r="978" spans="1:34">
      <c r="A978" s="27"/>
      <c r="B978" s="27"/>
      <c r="C978" s="27"/>
      <c r="D978" s="27"/>
      <c r="E978" s="27"/>
      <c r="F978" s="27"/>
      <c r="G978" s="27"/>
      <c r="H978" s="27"/>
      <c r="I978" s="27"/>
      <c r="J978" s="27"/>
      <c r="K978" s="27"/>
      <c r="L978" s="27"/>
      <c r="M978" s="27"/>
      <c r="N978" s="27"/>
      <c r="O978" s="27"/>
      <c r="P978" s="27"/>
      <c r="Q978" s="27"/>
      <c r="R978" s="27"/>
      <c r="S978" s="27"/>
      <c r="T978" s="27">
        <f>IF(LEFT(Control_Achizitii!$E978,4)="Fact",1,0)</f>
        <v>0</v>
      </c>
      <c r="U978" s="27">
        <f>IF(Control_Achizitii!$C978="",0,IF(ISNUMBER(Control_Achizitii!$B978),0,1))</f>
        <v>0</v>
      </c>
      <c r="V978" s="27">
        <f>IF(Control_Achizitii!$C978="",0,IF($Z$2&lt;&gt;"OK",0,IF(AND(ISNUMBER(Control_Achizitii!$B978),Control_Achizitii!$B978&gt;=$E$5,Control_Achizitii!$B978&lt;$J$5+1,OR($O$5="Toate proiectele",Control_Achizitii!$Q978=$O$5)),1,0)))</f>
        <v>0</v>
      </c>
      <c r="W978" s="27">
        <f>IF(AND(V978=1,OR(Control_Achizitii!$J978&lt;&gt;"DOSAR COMPLET",Control_Achizitii!$K978&lt;&gt;"")),ROW(),1000000000)</f>
        <v>1000000000</v>
      </c>
      <c r="X978" s="27">
        <f>IF(AND(V978=1,LEFT(Control_Achizitii!$E978,4)="Fact",NOT(ISNUMBER(Control_Achizitii!$P978))),1,0)</f>
        <v>0</v>
      </c>
      <c r="Y978" s="27">
        <f>IF(V978=0,0,IF(Control_Achizitii!$J978="DOSAR COMPLET",1,IF(LEFT(Control_Achizitii!$J978,9)="INCOMPLET",2,3)))</f>
        <v>0</v>
      </c>
      <c r="Z978" s="27"/>
      <c r="AA978" s="27"/>
      <c r="AB978" s="27"/>
      <c r="AC978" s="27"/>
      <c r="AD978" s="27"/>
      <c r="AE978" s="27"/>
      <c r="AF978" s="27"/>
      <c r="AG978" s="27"/>
      <c r="AH978" s="27">
        <f>IF(AND(V978=1,Control_Achizitii!$J978="DOSAR COMPLET",Control_Achizitii!$K978&lt;&gt;""),1,0)</f>
        <v>0</v>
      </c>
    </row>
    <row r="979" spans="1:34">
      <c r="A979" s="27"/>
      <c r="B979" s="27"/>
      <c r="C979" s="27"/>
      <c r="D979" s="27"/>
      <c r="E979" s="27"/>
      <c r="F979" s="27"/>
      <c r="G979" s="27"/>
      <c r="H979" s="27"/>
      <c r="I979" s="27"/>
      <c r="J979" s="27"/>
      <c r="K979" s="27"/>
      <c r="L979" s="27"/>
      <c r="M979" s="27"/>
      <c r="N979" s="27"/>
      <c r="O979" s="27"/>
      <c r="P979" s="27"/>
      <c r="Q979" s="27"/>
      <c r="R979" s="27"/>
      <c r="S979" s="27"/>
      <c r="T979" s="27">
        <f>IF(LEFT(Control_Achizitii!$E979,4)="Fact",1,0)</f>
        <v>0</v>
      </c>
      <c r="U979" s="27">
        <f>IF(Control_Achizitii!$C979="",0,IF(ISNUMBER(Control_Achizitii!$B979),0,1))</f>
        <v>0</v>
      </c>
      <c r="V979" s="27">
        <f>IF(Control_Achizitii!$C979="",0,IF($Z$2&lt;&gt;"OK",0,IF(AND(ISNUMBER(Control_Achizitii!$B979),Control_Achizitii!$B979&gt;=$E$5,Control_Achizitii!$B979&lt;$J$5+1,OR($O$5="Toate proiectele",Control_Achizitii!$Q979=$O$5)),1,0)))</f>
        <v>0</v>
      </c>
      <c r="W979" s="27">
        <f>IF(AND(V979=1,OR(Control_Achizitii!$J979&lt;&gt;"DOSAR COMPLET",Control_Achizitii!$K979&lt;&gt;"")),ROW(),1000000000)</f>
        <v>1000000000</v>
      </c>
      <c r="X979" s="27">
        <f>IF(AND(V979=1,LEFT(Control_Achizitii!$E979,4)="Fact",NOT(ISNUMBER(Control_Achizitii!$P979))),1,0)</f>
        <v>0</v>
      </c>
      <c r="Y979" s="27">
        <f>IF(V979=0,0,IF(Control_Achizitii!$J979="DOSAR COMPLET",1,IF(LEFT(Control_Achizitii!$J979,9)="INCOMPLET",2,3)))</f>
        <v>0</v>
      </c>
      <c r="Z979" s="27"/>
      <c r="AA979" s="27"/>
      <c r="AB979" s="27"/>
      <c r="AC979" s="27"/>
      <c r="AD979" s="27"/>
      <c r="AE979" s="27"/>
      <c r="AF979" s="27"/>
      <c r="AG979" s="27"/>
      <c r="AH979" s="27">
        <f>IF(AND(V979=1,Control_Achizitii!$J979="DOSAR COMPLET",Control_Achizitii!$K979&lt;&gt;""),1,0)</f>
        <v>0</v>
      </c>
    </row>
    <row r="980" spans="1:34">
      <c r="A980" s="27"/>
      <c r="B980" s="27"/>
      <c r="C980" s="27"/>
      <c r="D980" s="27"/>
      <c r="E980" s="27"/>
      <c r="F980" s="27"/>
      <c r="G980" s="27"/>
      <c r="H980" s="27"/>
      <c r="I980" s="27"/>
      <c r="J980" s="27"/>
      <c r="K980" s="27"/>
      <c r="L980" s="27"/>
      <c r="M980" s="27"/>
      <c r="N980" s="27"/>
      <c r="O980" s="27"/>
      <c r="P980" s="27"/>
      <c r="Q980" s="27"/>
      <c r="R980" s="27"/>
      <c r="S980" s="27"/>
      <c r="T980" s="27">
        <f>IF(LEFT(Control_Achizitii!$E980,4)="Fact",1,0)</f>
        <v>0</v>
      </c>
      <c r="U980" s="27">
        <f>IF(Control_Achizitii!$C980="",0,IF(ISNUMBER(Control_Achizitii!$B980),0,1))</f>
        <v>0</v>
      </c>
      <c r="V980" s="27">
        <f>IF(Control_Achizitii!$C980="",0,IF($Z$2&lt;&gt;"OK",0,IF(AND(ISNUMBER(Control_Achizitii!$B980),Control_Achizitii!$B980&gt;=$E$5,Control_Achizitii!$B980&lt;$J$5+1,OR($O$5="Toate proiectele",Control_Achizitii!$Q980=$O$5)),1,0)))</f>
        <v>0</v>
      </c>
      <c r="W980" s="27">
        <f>IF(AND(V980=1,OR(Control_Achizitii!$J980&lt;&gt;"DOSAR COMPLET",Control_Achizitii!$K980&lt;&gt;"")),ROW(),1000000000)</f>
        <v>1000000000</v>
      </c>
      <c r="X980" s="27">
        <f>IF(AND(V980=1,LEFT(Control_Achizitii!$E980,4)="Fact",NOT(ISNUMBER(Control_Achizitii!$P980))),1,0)</f>
        <v>0</v>
      </c>
      <c r="Y980" s="27">
        <f>IF(V980=0,0,IF(Control_Achizitii!$J980="DOSAR COMPLET",1,IF(LEFT(Control_Achizitii!$J980,9)="INCOMPLET",2,3)))</f>
        <v>0</v>
      </c>
      <c r="Z980" s="27"/>
      <c r="AA980" s="27"/>
      <c r="AB980" s="27"/>
      <c r="AC980" s="27"/>
      <c r="AD980" s="27"/>
      <c r="AE980" s="27"/>
      <c r="AF980" s="27"/>
      <c r="AG980" s="27"/>
      <c r="AH980" s="27">
        <f>IF(AND(V980=1,Control_Achizitii!$J980="DOSAR COMPLET",Control_Achizitii!$K980&lt;&gt;""),1,0)</f>
        <v>0</v>
      </c>
    </row>
    <row r="981" spans="1:34">
      <c r="A981" s="27"/>
      <c r="B981" s="27"/>
      <c r="C981" s="27"/>
      <c r="D981" s="27"/>
      <c r="E981" s="27"/>
      <c r="F981" s="27"/>
      <c r="G981" s="27"/>
      <c r="H981" s="27"/>
      <c r="I981" s="27"/>
      <c r="J981" s="27"/>
      <c r="K981" s="27"/>
      <c r="L981" s="27"/>
      <c r="M981" s="27"/>
      <c r="N981" s="27"/>
      <c r="O981" s="27"/>
      <c r="P981" s="27"/>
      <c r="Q981" s="27"/>
      <c r="R981" s="27"/>
      <c r="S981" s="27"/>
      <c r="T981" s="27">
        <f>IF(LEFT(Control_Achizitii!$E981,4)="Fact",1,0)</f>
        <v>0</v>
      </c>
      <c r="U981" s="27">
        <f>IF(Control_Achizitii!$C981="",0,IF(ISNUMBER(Control_Achizitii!$B981),0,1))</f>
        <v>0</v>
      </c>
      <c r="V981" s="27">
        <f>IF(Control_Achizitii!$C981="",0,IF($Z$2&lt;&gt;"OK",0,IF(AND(ISNUMBER(Control_Achizitii!$B981),Control_Achizitii!$B981&gt;=$E$5,Control_Achizitii!$B981&lt;$J$5+1,OR($O$5="Toate proiectele",Control_Achizitii!$Q981=$O$5)),1,0)))</f>
        <v>0</v>
      </c>
      <c r="W981" s="27">
        <f>IF(AND(V981=1,OR(Control_Achizitii!$J981&lt;&gt;"DOSAR COMPLET",Control_Achizitii!$K981&lt;&gt;"")),ROW(),1000000000)</f>
        <v>1000000000</v>
      </c>
      <c r="X981" s="27">
        <f>IF(AND(V981=1,LEFT(Control_Achizitii!$E981,4)="Fact",NOT(ISNUMBER(Control_Achizitii!$P981))),1,0)</f>
        <v>0</v>
      </c>
      <c r="Y981" s="27">
        <f>IF(V981=0,0,IF(Control_Achizitii!$J981="DOSAR COMPLET",1,IF(LEFT(Control_Achizitii!$J981,9)="INCOMPLET",2,3)))</f>
        <v>0</v>
      </c>
      <c r="Z981" s="27"/>
      <c r="AA981" s="27"/>
      <c r="AB981" s="27"/>
      <c r="AC981" s="27"/>
      <c r="AD981" s="27"/>
      <c r="AE981" s="27"/>
      <c r="AF981" s="27"/>
      <c r="AG981" s="27"/>
      <c r="AH981" s="27">
        <f>IF(AND(V981=1,Control_Achizitii!$J981="DOSAR COMPLET",Control_Achizitii!$K981&lt;&gt;""),1,0)</f>
        <v>0</v>
      </c>
    </row>
    <row r="982" spans="1:34">
      <c r="A982" s="27"/>
      <c r="B982" s="27"/>
      <c r="C982" s="27"/>
      <c r="D982" s="27"/>
      <c r="E982" s="27"/>
      <c r="F982" s="27"/>
      <c r="G982" s="27"/>
      <c r="H982" s="27"/>
      <c r="I982" s="27"/>
      <c r="J982" s="27"/>
      <c r="K982" s="27"/>
      <c r="L982" s="27"/>
      <c r="M982" s="27"/>
      <c r="N982" s="27"/>
      <c r="O982" s="27"/>
      <c r="P982" s="27"/>
      <c r="Q982" s="27"/>
      <c r="R982" s="27"/>
      <c r="S982" s="27"/>
      <c r="T982" s="27">
        <f>IF(LEFT(Control_Achizitii!$E982,4)="Fact",1,0)</f>
        <v>0</v>
      </c>
      <c r="U982" s="27">
        <f>IF(Control_Achizitii!$C982="",0,IF(ISNUMBER(Control_Achizitii!$B982),0,1))</f>
        <v>0</v>
      </c>
      <c r="V982" s="27">
        <f>IF(Control_Achizitii!$C982="",0,IF($Z$2&lt;&gt;"OK",0,IF(AND(ISNUMBER(Control_Achizitii!$B982),Control_Achizitii!$B982&gt;=$E$5,Control_Achizitii!$B982&lt;$J$5+1,OR($O$5="Toate proiectele",Control_Achizitii!$Q982=$O$5)),1,0)))</f>
        <v>0</v>
      </c>
      <c r="W982" s="27">
        <f>IF(AND(V982=1,OR(Control_Achizitii!$J982&lt;&gt;"DOSAR COMPLET",Control_Achizitii!$K982&lt;&gt;"")),ROW(),1000000000)</f>
        <v>1000000000</v>
      </c>
      <c r="X982" s="27">
        <f>IF(AND(V982=1,LEFT(Control_Achizitii!$E982,4)="Fact",NOT(ISNUMBER(Control_Achizitii!$P982))),1,0)</f>
        <v>0</v>
      </c>
      <c r="Y982" s="27">
        <f>IF(V982=0,0,IF(Control_Achizitii!$J982="DOSAR COMPLET",1,IF(LEFT(Control_Achizitii!$J982,9)="INCOMPLET",2,3)))</f>
        <v>0</v>
      </c>
      <c r="Z982" s="27"/>
      <c r="AA982" s="27"/>
      <c r="AB982" s="27"/>
      <c r="AC982" s="27"/>
      <c r="AD982" s="27"/>
      <c r="AE982" s="27"/>
      <c r="AF982" s="27"/>
      <c r="AG982" s="27"/>
      <c r="AH982" s="27">
        <f>IF(AND(V982=1,Control_Achizitii!$J982="DOSAR COMPLET",Control_Achizitii!$K982&lt;&gt;""),1,0)</f>
        <v>0</v>
      </c>
    </row>
    <row r="983" spans="1:34">
      <c r="A983" s="27"/>
      <c r="B983" s="27"/>
      <c r="C983" s="27"/>
      <c r="D983" s="27"/>
      <c r="E983" s="27"/>
      <c r="F983" s="27"/>
      <c r="G983" s="27"/>
      <c r="H983" s="27"/>
      <c r="I983" s="27"/>
      <c r="J983" s="27"/>
      <c r="K983" s="27"/>
      <c r="L983" s="27"/>
      <c r="M983" s="27"/>
      <c r="N983" s="27"/>
      <c r="O983" s="27"/>
      <c r="P983" s="27"/>
      <c r="Q983" s="27"/>
      <c r="R983" s="27"/>
      <c r="S983" s="27"/>
      <c r="T983" s="27">
        <f>IF(LEFT(Control_Achizitii!$E983,4)="Fact",1,0)</f>
        <v>0</v>
      </c>
      <c r="U983" s="27">
        <f>IF(Control_Achizitii!$C983="",0,IF(ISNUMBER(Control_Achizitii!$B983),0,1))</f>
        <v>0</v>
      </c>
      <c r="V983" s="27">
        <f>IF(Control_Achizitii!$C983="",0,IF($Z$2&lt;&gt;"OK",0,IF(AND(ISNUMBER(Control_Achizitii!$B983),Control_Achizitii!$B983&gt;=$E$5,Control_Achizitii!$B983&lt;$J$5+1,OR($O$5="Toate proiectele",Control_Achizitii!$Q983=$O$5)),1,0)))</f>
        <v>0</v>
      </c>
      <c r="W983" s="27">
        <f>IF(AND(V983=1,OR(Control_Achizitii!$J983&lt;&gt;"DOSAR COMPLET",Control_Achizitii!$K983&lt;&gt;"")),ROW(),1000000000)</f>
        <v>1000000000</v>
      </c>
      <c r="X983" s="27">
        <f>IF(AND(V983=1,LEFT(Control_Achizitii!$E983,4)="Fact",NOT(ISNUMBER(Control_Achizitii!$P983))),1,0)</f>
        <v>0</v>
      </c>
      <c r="Y983" s="27">
        <f>IF(V983=0,0,IF(Control_Achizitii!$J983="DOSAR COMPLET",1,IF(LEFT(Control_Achizitii!$J983,9)="INCOMPLET",2,3)))</f>
        <v>0</v>
      </c>
      <c r="Z983" s="27"/>
      <c r="AA983" s="27"/>
      <c r="AB983" s="27"/>
      <c r="AC983" s="27"/>
      <c r="AD983" s="27"/>
      <c r="AE983" s="27"/>
      <c r="AF983" s="27"/>
      <c r="AG983" s="27"/>
      <c r="AH983" s="27">
        <f>IF(AND(V983=1,Control_Achizitii!$J983="DOSAR COMPLET",Control_Achizitii!$K983&lt;&gt;""),1,0)</f>
        <v>0</v>
      </c>
    </row>
    <row r="984" spans="1:34">
      <c r="A984" s="27"/>
      <c r="B984" s="27"/>
      <c r="C984" s="27"/>
      <c r="D984" s="27"/>
      <c r="E984" s="27"/>
      <c r="F984" s="27"/>
      <c r="G984" s="27"/>
      <c r="H984" s="27"/>
      <c r="I984" s="27"/>
      <c r="J984" s="27"/>
      <c r="K984" s="27"/>
      <c r="L984" s="27"/>
      <c r="M984" s="27"/>
      <c r="N984" s="27"/>
      <c r="O984" s="27"/>
      <c r="P984" s="27"/>
      <c r="Q984" s="27"/>
      <c r="R984" s="27"/>
      <c r="S984" s="27"/>
      <c r="T984" s="27">
        <f>IF(LEFT(Control_Achizitii!$E984,4)="Fact",1,0)</f>
        <v>0</v>
      </c>
      <c r="U984" s="27">
        <f>IF(Control_Achizitii!$C984="",0,IF(ISNUMBER(Control_Achizitii!$B984),0,1))</f>
        <v>0</v>
      </c>
      <c r="V984" s="27">
        <f>IF(Control_Achizitii!$C984="",0,IF($Z$2&lt;&gt;"OK",0,IF(AND(ISNUMBER(Control_Achizitii!$B984),Control_Achizitii!$B984&gt;=$E$5,Control_Achizitii!$B984&lt;$J$5+1,OR($O$5="Toate proiectele",Control_Achizitii!$Q984=$O$5)),1,0)))</f>
        <v>0</v>
      </c>
      <c r="W984" s="27">
        <f>IF(AND(V984=1,OR(Control_Achizitii!$J984&lt;&gt;"DOSAR COMPLET",Control_Achizitii!$K984&lt;&gt;"")),ROW(),1000000000)</f>
        <v>1000000000</v>
      </c>
      <c r="X984" s="27">
        <f>IF(AND(V984=1,LEFT(Control_Achizitii!$E984,4)="Fact",NOT(ISNUMBER(Control_Achizitii!$P984))),1,0)</f>
        <v>0</v>
      </c>
      <c r="Y984" s="27">
        <f>IF(V984=0,0,IF(Control_Achizitii!$J984="DOSAR COMPLET",1,IF(LEFT(Control_Achizitii!$J984,9)="INCOMPLET",2,3)))</f>
        <v>0</v>
      </c>
      <c r="Z984" s="27"/>
      <c r="AA984" s="27"/>
      <c r="AB984" s="27"/>
      <c r="AC984" s="27"/>
      <c r="AD984" s="27"/>
      <c r="AE984" s="27"/>
      <c r="AF984" s="27"/>
      <c r="AG984" s="27"/>
      <c r="AH984" s="27">
        <f>IF(AND(V984=1,Control_Achizitii!$J984="DOSAR COMPLET",Control_Achizitii!$K984&lt;&gt;""),1,0)</f>
        <v>0</v>
      </c>
    </row>
    <row r="985" spans="1:34">
      <c r="A985" s="27"/>
      <c r="B985" s="27"/>
      <c r="C985" s="27"/>
      <c r="D985" s="27"/>
      <c r="E985" s="27"/>
      <c r="F985" s="27"/>
      <c r="G985" s="27"/>
      <c r="H985" s="27"/>
      <c r="I985" s="27"/>
      <c r="J985" s="27"/>
      <c r="K985" s="27"/>
      <c r="L985" s="27"/>
      <c r="M985" s="27"/>
      <c r="N985" s="27"/>
      <c r="O985" s="27"/>
      <c r="P985" s="27"/>
      <c r="Q985" s="27"/>
      <c r="R985" s="27"/>
      <c r="S985" s="27"/>
      <c r="T985" s="27">
        <f>IF(LEFT(Control_Achizitii!$E985,4)="Fact",1,0)</f>
        <v>0</v>
      </c>
      <c r="U985" s="27">
        <f>IF(Control_Achizitii!$C985="",0,IF(ISNUMBER(Control_Achizitii!$B985),0,1))</f>
        <v>0</v>
      </c>
      <c r="V985" s="27">
        <f>IF(Control_Achizitii!$C985="",0,IF($Z$2&lt;&gt;"OK",0,IF(AND(ISNUMBER(Control_Achizitii!$B985),Control_Achizitii!$B985&gt;=$E$5,Control_Achizitii!$B985&lt;$J$5+1,OR($O$5="Toate proiectele",Control_Achizitii!$Q985=$O$5)),1,0)))</f>
        <v>0</v>
      </c>
      <c r="W985" s="27">
        <f>IF(AND(V985=1,OR(Control_Achizitii!$J985&lt;&gt;"DOSAR COMPLET",Control_Achizitii!$K985&lt;&gt;"")),ROW(),1000000000)</f>
        <v>1000000000</v>
      </c>
      <c r="X985" s="27">
        <f>IF(AND(V985=1,LEFT(Control_Achizitii!$E985,4)="Fact",NOT(ISNUMBER(Control_Achizitii!$P985))),1,0)</f>
        <v>0</v>
      </c>
      <c r="Y985" s="27">
        <f>IF(V985=0,0,IF(Control_Achizitii!$J985="DOSAR COMPLET",1,IF(LEFT(Control_Achizitii!$J985,9)="INCOMPLET",2,3)))</f>
        <v>0</v>
      </c>
      <c r="Z985" s="27"/>
      <c r="AA985" s="27"/>
      <c r="AB985" s="27"/>
      <c r="AC985" s="27"/>
      <c r="AD985" s="27"/>
      <c r="AE985" s="27"/>
      <c r="AF985" s="27"/>
      <c r="AG985" s="27"/>
      <c r="AH985" s="27">
        <f>IF(AND(V985=1,Control_Achizitii!$J985="DOSAR COMPLET",Control_Achizitii!$K985&lt;&gt;""),1,0)</f>
        <v>0</v>
      </c>
    </row>
    <row r="986" spans="1:34">
      <c r="A986" s="27"/>
      <c r="B986" s="27"/>
      <c r="C986" s="27"/>
      <c r="D986" s="27"/>
      <c r="E986" s="27"/>
      <c r="F986" s="27"/>
      <c r="G986" s="27"/>
      <c r="H986" s="27"/>
      <c r="I986" s="27"/>
      <c r="J986" s="27"/>
      <c r="K986" s="27"/>
      <c r="L986" s="27"/>
      <c r="M986" s="27"/>
      <c r="N986" s="27"/>
      <c r="O986" s="27"/>
      <c r="P986" s="27"/>
      <c r="Q986" s="27"/>
      <c r="R986" s="27"/>
      <c r="S986" s="27"/>
      <c r="T986" s="27">
        <f>IF(LEFT(Control_Achizitii!$E986,4)="Fact",1,0)</f>
        <v>0</v>
      </c>
      <c r="U986" s="27">
        <f>IF(Control_Achizitii!$C986="",0,IF(ISNUMBER(Control_Achizitii!$B986),0,1))</f>
        <v>0</v>
      </c>
      <c r="V986" s="27">
        <f>IF(Control_Achizitii!$C986="",0,IF($Z$2&lt;&gt;"OK",0,IF(AND(ISNUMBER(Control_Achizitii!$B986),Control_Achizitii!$B986&gt;=$E$5,Control_Achizitii!$B986&lt;$J$5+1,OR($O$5="Toate proiectele",Control_Achizitii!$Q986=$O$5)),1,0)))</f>
        <v>0</v>
      </c>
      <c r="W986" s="27">
        <f>IF(AND(V986=1,OR(Control_Achizitii!$J986&lt;&gt;"DOSAR COMPLET",Control_Achizitii!$K986&lt;&gt;"")),ROW(),1000000000)</f>
        <v>1000000000</v>
      </c>
      <c r="X986" s="27">
        <f>IF(AND(V986=1,LEFT(Control_Achizitii!$E986,4)="Fact",NOT(ISNUMBER(Control_Achizitii!$P986))),1,0)</f>
        <v>0</v>
      </c>
      <c r="Y986" s="27">
        <f>IF(V986=0,0,IF(Control_Achizitii!$J986="DOSAR COMPLET",1,IF(LEFT(Control_Achizitii!$J986,9)="INCOMPLET",2,3)))</f>
        <v>0</v>
      </c>
      <c r="Z986" s="27"/>
      <c r="AA986" s="27"/>
      <c r="AB986" s="27"/>
      <c r="AC986" s="27"/>
      <c r="AD986" s="27"/>
      <c r="AE986" s="27"/>
      <c r="AF986" s="27"/>
      <c r="AG986" s="27"/>
      <c r="AH986" s="27">
        <f>IF(AND(V986=1,Control_Achizitii!$J986="DOSAR COMPLET",Control_Achizitii!$K986&lt;&gt;""),1,0)</f>
        <v>0</v>
      </c>
    </row>
    <row r="987" spans="1:34">
      <c r="A987" s="27"/>
      <c r="B987" s="27"/>
      <c r="C987" s="27"/>
      <c r="D987" s="27"/>
      <c r="E987" s="27"/>
      <c r="F987" s="27"/>
      <c r="G987" s="27"/>
      <c r="H987" s="27"/>
      <c r="I987" s="27"/>
      <c r="J987" s="27"/>
      <c r="K987" s="27"/>
      <c r="L987" s="27"/>
      <c r="M987" s="27"/>
      <c r="N987" s="27"/>
      <c r="O987" s="27"/>
      <c r="P987" s="27"/>
      <c r="Q987" s="27"/>
      <c r="R987" s="27"/>
      <c r="S987" s="27"/>
      <c r="T987" s="27">
        <f>IF(LEFT(Control_Achizitii!$E987,4)="Fact",1,0)</f>
        <v>0</v>
      </c>
      <c r="U987" s="27">
        <f>IF(Control_Achizitii!$C987="",0,IF(ISNUMBER(Control_Achizitii!$B987),0,1))</f>
        <v>0</v>
      </c>
      <c r="V987" s="27">
        <f>IF(Control_Achizitii!$C987="",0,IF($Z$2&lt;&gt;"OK",0,IF(AND(ISNUMBER(Control_Achizitii!$B987),Control_Achizitii!$B987&gt;=$E$5,Control_Achizitii!$B987&lt;$J$5+1,OR($O$5="Toate proiectele",Control_Achizitii!$Q987=$O$5)),1,0)))</f>
        <v>0</v>
      </c>
      <c r="W987" s="27">
        <f>IF(AND(V987=1,OR(Control_Achizitii!$J987&lt;&gt;"DOSAR COMPLET",Control_Achizitii!$K987&lt;&gt;"")),ROW(),1000000000)</f>
        <v>1000000000</v>
      </c>
      <c r="X987" s="27">
        <f>IF(AND(V987=1,LEFT(Control_Achizitii!$E987,4)="Fact",NOT(ISNUMBER(Control_Achizitii!$P987))),1,0)</f>
        <v>0</v>
      </c>
      <c r="Y987" s="27">
        <f>IF(V987=0,0,IF(Control_Achizitii!$J987="DOSAR COMPLET",1,IF(LEFT(Control_Achizitii!$J987,9)="INCOMPLET",2,3)))</f>
        <v>0</v>
      </c>
      <c r="Z987" s="27"/>
      <c r="AA987" s="27"/>
      <c r="AB987" s="27"/>
      <c r="AC987" s="27"/>
      <c r="AD987" s="27"/>
      <c r="AE987" s="27"/>
      <c r="AF987" s="27"/>
      <c r="AG987" s="27"/>
      <c r="AH987" s="27">
        <f>IF(AND(V987=1,Control_Achizitii!$J987="DOSAR COMPLET",Control_Achizitii!$K987&lt;&gt;""),1,0)</f>
        <v>0</v>
      </c>
    </row>
    <row r="988" spans="1:34">
      <c r="A988" s="27"/>
      <c r="B988" s="27"/>
      <c r="C988" s="27"/>
      <c r="D988" s="27"/>
      <c r="E988" s="27"/>
      <c r="F988" s="27"/>
      <c r="G988" s="27"/>
      <c r="H988" s="27"/>
      <c r="I988" s="27"/>
      <c r="J988" s="27"/>
      <c r="K988" s="27"/>
      <c r="L988" s="27"/>
      <c r="M988" s="27"/>
      <c r="N988" s="27"/>
      <c r="O988" s="27"/>
      <c r="P988" s="27"/>
      <c r="Q988" s="27"/>
      <c r="R988" s="27"/>
      <c r="S988" s="27"/>
      <c r="T988" s="27">
        <f>IF(LEFT(Control_Achizitii!$E988,4)="Fact",1,0)</f>
        <v>0</v>
      </c>
      <c r="U988" s="27">
        <f>IF(Control_Achizitii!$C988="",0,IF(ISNUMBER(Control_Achizitii!$B988),0,1))</f>
        <v>0</v>
      </c>
      <c r="V988" s="27">
        <f>IF(Control_Achizitii!$C988="",0,IF($Z$2&lt;&gt;"OK",0,IF(AND(ISNUMBER(Control_Achizitii!$B988),Control_Achizitii!$B988&gt;=$E$5,Control_Achizitii!$B988&lt;$J$5+1,OR($O$5="Toate proiectele",Control_Achizitii!$Q988=$O$5)),1,0)))</f>
        <v>0</v>
      </c>
      <c r="W988" s="27">
        <f>IF(AND(V988=1,OR(Control_Achizitii!$J988&lt;&gt;"DOSAR COMPLET",Control_Achizitii!$K988&lt;&gt;"")),ROW(),1000000000)</f>
        <v>1000000000</v>
      </c>
      <c r="X988" s="27">
        <f>IF(AND(V988=1,LEFT(Control_Achizitii!$E988,4)="Fact",NOT(ISNUMBER(Control_Achizitii!$P988))),1,0)</f>
        <v>0</v>
      </c>
      <c r="Y988" s="27">
        <f>IF(V988=0,0,IF(Control_Achizitii!$J988="DOSAR COMPLET",1,IF(LEFT(Control_Achizitii!$J988,9)="INCOMPLET",2,3)))</f>
        <v>0</v>
      </c>
      <c r="Z988" s="27"/>
      <c r="AA988" s="27"/>
      <c r="AB988" s="27"/>
      <c r="AC988" s="27"/>
      <c r="AD988" s="27"/>
      <c r="AE988" s="27"/>
      <c r="AF988" s="27"/>
      <c r="AG988" s="27"/>
      <c r="AH988" s="27">
        <f>IF(AND(V988=1,Control_Achizitii!$J988="DOSAR COMPLET",Control_Achizitii!$K988&lt;&gt;""),1,0)</f>
        <v>0</v>
      </c>
    </row>
    <row r="989" spans="1:34">
      <c r="A989" s="27"/>
      <c r="B989" s="27"/>
      <c r="C989" s="27"/>
      <c r="D989" s="27"/>
      <c r="E989" s="27"/>
      <c r="F989" s="27"/>
      <c r="G989" s="27"/>
      <c r="H989" s="27"/>
      <c r="I989" s="27"/>
      <c r="J989" s="27"/>
      <c r="K989" s="27"/>
      <c r="L989" s="27"/>
      <c r="M989" s="27"/>
      <c r="N989" s="27"/>
      <c r="O989" s="27"/>
      <c r="P989" s="27"/>
      <c r="Q989" s="27"/>
      <c r="R989" s="27"/>
      <c r="S989" s="27"/>
      <c r="T989" s="27">
        <f>IF(LEFT(Control_Achizitii!$E989,4)="Fact",1,0)</f>
        <v>0</v>
      </c>
      <c r="U989" s="27">
        <f>IF(Control_Achizitii!$C989="",0,IF(ISNUMBER(Control_Achizitii!$B989),0,1))</f>
        <v>0</v>
      </c>
      <c r="V989" s="27">
        <f>IF(Control_Achizitii!$C989="",0,IF($Z$2&lt;&gt;"OK",0,IF(AND(ISNUMBER(Control_Achizitii!$B989),Control_Achizitii!$B989&gt;=$E$5,Control_Achizitii!$B989&lt;$J$5+1,OR($O$5="Toate proiectele",Control_Achizitii!$Q989=$O$5)),1,0)))</f>
        <v>0</v>
      </c>
      <c r="W989" s="27">
        <f>IF(AND(V989=1,OR(Control_Achizitii!$J989&lt;&gt;"DOSAR COMPLET",Control_Achizitii!$K989&lt;&gt;"")),ROW(),1000000000)</f>
        <v>1000000000</v>
      </c>
      <c r="X989" s="27">
        <f>IF(AND(V989=1,LEFT(Control_Achizitii!$E989,4)="Fact",NOT(ISNUMBER(Control_Achizitii!$P989))),1,0)</f>
        <v>0</v>
      </c>
      <c r="Y989" s="27">
        <f>IF(V989=0,0,IF(Control_Achizitii!$J989="DOSAR COMPLET",1,IF(LEFT(Control_Achizitii!$J989,9)="INCOMPLET",2,3)))</f>
        <v>0</v>
      </c>
      <c r="Z989" s="27"/>
      <c r="AA989" s="27"/>
      <c r="AB989" s="27"/>
      <c r="AC989" s="27"/>
      <c r="AD989" s="27"/>
      <c r="AE989" s="27"/>
      <c r="AF989" s="27"/>
      <c r="AG989" s="27"/>
      <c r="AH989" s="27">
        <f>IF(AND(V989=1,Control_Achizitii!$J989="DOSAR COMPLET",Control_Achizitii!$K989&lt;&gt;""),1,0)</f>
        <v>0</v>
      </c>
    </row>
    <row r="990" spans="1:34">
      <c r="A990" s="27"/>
      <c r="B990" s="27"/>
      <c r="C990" s="27"/>
      <c r="D990" s="27"/>
      <c r="E990" s="27"/>
      <c r="F990" s="27"/>
      <c r="G990" s="27"/>
      <c r="H990" s="27"/>
      <c r="I990" s="27"/>
      <c r="J990" s="27"/>
      <c r="K990" s="27"/>
      <c r="L990" s="27"/>
      <c r="M990" s="27"/>
      <c r="N990" s="27"/>
      <c r="O990" s="27"/>
      <c r="P990" s="27"/>
      <c r="Q990" s="27"/>
      <c r="R990" s="27"/>
      <c r="S990" s="27"/>
      <c r="T990" s="27">
        <f>IF(LEFT(Control_Achizitii!$E990,4)="Fact",1,0)</f>
        <v>0</v>
      </c>
      <c r="U990" s="27">
        <f>IF(Control_Achizitii!$C990="",0,IF(ISNUMBER(Control_Achizitii!$B990),0,1))</f>
        <v>0</v>
      </c>
      <c r="V990" s="27">
        <f>IF(Control_Achizitii!$C990="",0,IF($Z$2&lt;&gt;"OK",0,IF(AND(ISNUMBER(Control_Achizitii!$B990),Control_Achizitii!$B990&gt;=$E$5,Control_Achizitii!$B990&lt;$J$5+1,OR($O$5="Toate proiectele",Control_Achizitii!$Q990=$O$5)),1,0)))</f>
        <v>0</v>
      </c>
      <c r="W990" s="27">
        <f>IF(AND(V990=1,OR(Control_Achizitii!$J990&lt;&gt;"DOSAR COMPLET",Control_Achizitii!$K990&lt;&gt;"")),ROW(),1000000000)</f>
        <v>1000000000</v>
      </c>
      <c r="X990" s="27">
        <f>IF(AND(V990=1,LEFT(Control_Achizitii!$E990,4)="Fact",NOT(ISNUMBER(Control_Achizitii!$P990))),1,0)</f>
        <v>0</v>
      </c>
      <c r="Y990" s="27">
        <f>IF(V990=0,0,IF(Control_Achizitii!$J990="DOSAR COMPLET",1,IF(LEFT(Control_Achizitii!$J990,9)="INCOMPLET",2,3)))</f>
        <v>0</v>
      </c>
      <c r="Z990" s="27"/>
      <c r="AA990" s="27"/>
      <c r="AB990" s="27"/>
      <c r="AC990" s="27"/>
      <c r="AD990" s="27"/>
      <c r="AE990" s="27"/>
      <c r="AF990" s="27"/>
      <c r="AG990" s="27"/>
      <c r="AH990" s="27">
        <f>IF(AND(V990=1,Control_Achizitii!$J990="DOSAR COMPLET",Control_Achizitii!$K990&lt;&gt;""),1,0)</f>
        <v>0</v>
      </c>
    </row>
    <row r="991" spans="1:34">
      <c r="A991" s="27"/>
      <c r="B991" s="27"/>
      <c r="C991" s="27"/>
      <c r="D991" s="27"/>
      <c r="E991" s="27"/>
      <c r="F991" s="27"/>
      <c r="G991" s="27"/>
      <c r="H991" s="27"/>
      <c r="I991" s="27"/>
      <c r="J991" s="27"/>
      <c r="K991" s="27"/>
      <c r="L991" s="27"/>
      <c r="M991" s="27"/>
      <c r="N991" s="27"/>
      <c r="O991" s="27"/>
      <c r="P991" s="27"/>
      <c r="Q991" s="27"/>
      <c r="R991" s="27"/>
      <c r="S991" s="27"/>
      <c r="T991" s="27">
        <f>IF(LEFT(Control_Achizitii!$E991,4)="Fact",1,0)</f>
        <v>0</v>
      </c>
      <c r="U991" s="27">
        <f>IF(Control_Achizitii!$C991="",0,IF(ISNUMBER(Control_Achizitii!$B991),0,1))</f>
        <v>0</v>
      </c>
      <c r="V991" s="27">
        <f>IF(Control_Achizitii!$C991="",0,IF($Z$2&lt;&gt;"OK",0,IF(AND(ISNUMBER(Control_Achizitii!$B991),Control_Achizitii!$B991&gt;=$E$5,Control_Achizitii!$B991&lt;$J$5+1,OR($O$5="Toate proiectele",Control_Achizitii!$Q991=$O$5)),1,0)))</f>
        <v>0</v>
      </c>
      <c r="W991" s="27">
        <f>IF(AND(V991=1,OR(Control_Achizitii!$J991&lt;&gt;"DOSAR COMPLET",Control_Achizitii!$K991&lt;&gt;"")),ROW(),1000000000)</f>
        <v>1000000000</v>
      </c>
      <c r="X991" s="27">
        <f>IF(AND(V991=1,LEFT(Control_Achizitii!$E991,4)="Fact",NOT(ISNUMBER(Control_Achizitii!$P991))),1,0)</f>
        <v>0</v>
      </c>
      <c r="Y991" s="27">
        <f>IF(V991=0,0,IF(Control_Achizitii!$J991="DOSAR COMPLET",1,IF(LEFT(Control_Achizitii!$J991,9)="INCOMPLET",2,3)))</f>
        <v>0</v>
      </c>
      <c r="Z991" s="27"/>
      <c r="AA991" s="27"/>
      <c r="AB991" s="27"/>
      <c r="AC991" s="27"/>
      <c r="AD991" s="27"/>
      <c r="AE991" s="27"/>
      <c r="AF991" s="27"/>
      <c r="AG991" s="27"/>
      <c r="AH991" s="27">
        <f>IF(AND(V991=1,Control_Achizitii!$J991="DOSAR COMPLET",Control_Achizitii!$K991&lt;&gt;""),1,0)</f>
        <v>0</v>
      </c>
    </row>
    <row r="992" spans="1:34">
      <c r="A992" s="27"/>
      <c r="B992" s="27"/>
      <c r="C992" s="27"/>
      <c r="D992" s="27"/>
      <c r="E992" s="27"/>
      <c r="F992" s="27"/>
      <c r="G992" s="27"/>
      <c r="H992" s="27"/>
      <c r="I992" s="27"/>
      <c r="J992" s="27"/>
      <c r="K992" s="27"/>
      <c r="L992" s="27"/>
      <c r="M992" s="27"/>
      <c r="N992" s="27"/>
      <c r="O992" s="27"/>
      <c r="P992" s="27"/>
      <c r="Q992" s="27"/>
      <c r="R992" s="27"/>
      <c r="S992" s="27"/>
      <c r="T992" s="27">
        <f>IF(LEFT(Control_Achizitii!$E992,4)="Fact",1,0)</f>
        <v>0</v>
      </c>
      <c r="U992" s="27">
        <f>IF(Control_Achizitii!$C992="",0,IF(ISNUMBER(Control_Achizitii!$B992),0,1))</f>
        <v>0</v>
      </c>
      <c r="V992" s="27">
        <f>IF(Control_Achizitii!$C992="",0,IF($Z$2&lt;&gt;"OK",0,IF(AND(ISNUMBER(Control_Achizitii!$B992),Control_Achizitii!$B992&gt;=$E$5,Control_Achizitii!$B992&lt;$J$5+1,OR($O$5="Toate proiectele",Control_Achizitii!$Q992=$O$5)),1,0)))</f>
        <v>0</v>
      </c>
      <c r="W992" s="27">
        <f>IF(AND(V992=1,OR(Control_Achizitii!$J992&lt;&gt;"DOSAR COMPLET",Control_Achizitii!$K992&lt;&gt;"")),ROW(),1000000000)</f>
        <v>1000000000</v>
      </c>
      <c r="X992" s="27">
        <f>IF(AND(V992=1,LEFT(Control_Achizitii!$E992,4)="Fact",NOT(ISNUMBER(Control_Achizitii!$P992))),1,0)</f>
        <v>0</v>
      </c>
      <c r="Y992" s="27">
        <f>IF(V992=0,0,IF(Control_Achizitii!$J992="DOSAR COMPLET",1,IF(LEFT(Control_Achizitii!$J992,9)="INCOMPLET",2,3)))</f>
        <v>0</v>
      </c>
      <c r="Z992" s="27"/>
      <c r="AA992" s="27"/>
      <c r="AB992" s="27"/>
      <c r="AC992" s="27"/>
      <c r="AD992" s="27"/>
      <c r="AE992" s="27"/>
      <c r="AF992" s="27"/>
      <c r="AG992" s="27"/>
      <c r="AH992" s="27">
        <f>IF(AND(V992=1,Control_Achizitii!$J992="DOSAR COMPLET",Control_Achizitii!$K992&lt;&gt;""),1,0)</f>
        <v>0</v>
      </c>
    </row>
    <row r="993" spans="1:34">
      <c r="A993" s="27"/>
      <c r="B993" s="27"/>
      <c r="C993" s="27"/>
      <c r="D993" s="27"/>
      <c r="E993" s="27"/>
      <c r="F993" s="27"/>
      <c r="G993" s="27"/>
      <c r="H993" s="27"/>
      <c r="I993" s="27"/>
      <c r="J993" s="27"/>
      <c r="K993" s="27"/>
      <c r="L993" s="27"/>
      <c r="M993" s="27"/>
      <c r="N993" s="27"/>
      <c r="O993" s="27"/>
      <c r="P993" s="27"/>
      <c r="Q993" s="27"/>
      <c r="R993" s="27"/>
      <c r="S993" s="27"/>
      <c r="T993" s="27">
        <f>IF(LEFT(Control_Achizitii!$E993,4)="Fact",1,0)</f>
        <v>0</v>
      </c>
      <c r="U993" s="27">
        <f>IF(Control_Achizitii!$C993="",0,IF(ISNUMBER(Control_Achizitii!$B993),0,1))</f>
        <v>0</v>
      </c>
      <c r="V993" s="27">
        <f>IF(Control_Achizitii!$C993="",0,IF($Z$2&lt;&gt;"OK",0,IF(AND(ISNUMBER(Control_Achizitii!$B993),Control_Achizitii!$B993&gt;=$E$5,Control_Achizitii!$B993&lt;$J$5+1,OR($O$5="Toate proiectele",Control_Achizitii!$Q993=$O$5)),1,0)))</f>
        <v>0</v>
      </c>
      <c r="W993" s="27">
        <f>IF(AND(V993=1,OR(Control_Achizitii!$J993&lt;&gt;"DOSAR COMPLET",Control_Achizitii!$K993&lt;&gt;"")),ROW(),1000000000)</f>
        <v>1000000000</v>
      </c>
      <c r="X993" s="27">
        <f>IF(AND(V993=1,LEFT(Control_Achizitii!$E993,4)="Fact",NOT(ISNUMBER(Control_Achizitii!$P993))),1,0)</f>
        <v>0</v>
      </c>
      <c r="Y993" s="27">
        <f>IF(V993=0,0,IF(Control_Achizitii!$J993="DOSAR COMPLET",1,IF(LEFT(Control_Achizitii!$J993,9)="INCOMPLET",2,3)))</f>
        <v>0</v>
      </c>
      <c r="Z993" s="27"/>
      <c r="AA993" s="27"/>
      <c r="AB993" s="27"/>
      <c r="AC993" s="27"/>
      <c r="AD993" s="27"/>
      <c r="AE993" s="27"/>
      <c r="AF993" s="27"/>
      <c r="AG993" s="27"/>
      <c r="AH993" s="27">
        <f>IF(AND(V993=1,Control_Achizitii!$J993="DOSAR COMPLET",Control_Achizitii!$K993&lt;&gt;""),1,0)</f>
        <v>0</v>
      </c>
    </row>
    <row r="994" spans="1:34">
      <c r="A994" s="27"/>
      <c r="B994" s="27"/>
      <c r="C994" s="27"/>
      <c r="D994" s="27"/>
      <c r="E994" s="27"/>
      <c r="F994" s="27"/>
      <c r="G994" s="27"/>
      <c r="H994" s="27"/>
      <c r="I994" s="27"/>
      <c r="J994" s="27"/>
      <c r="K994" s="27"/>
      <c r="L994" s="27"/>
      <c r="M994" s="27"/>
      <c r="N994" s="27"/>
      <c r="O994" s="27"/>
      <c r="P994" s="27"/>
      <c r="Q994" s="27"/>
      <c r="R994" s="27"/>
      <c r="S994" s="27"/>
      <c r="T994" s="27">
        <f>IF(LEFT(Control_Achizitii!$E994,4)="Fact",1,0)</f>
        <v>0</v>
      </c>
      <c r="U994" s="27">
        <f>IF(Control_Achizitii!$C994="",0,IF(ISNUMBER(Control_Achizitii!$B994),0,1))</f>
        <v>0</v>
      </c>
      <c r="V994" s="27">
        <f>IF(Control_Achizitii!$C994="",0,IF($Z$2&lt;&gt;"OK",0,IF(AND(ISNUMBER(Control_Achizitii!$B994),Control_Achizitii!$B994&gt;=$E$5,Control_Achizitii!$B994&lt;$J$5+1,OR($O$5="Toate proiectele",Control_Achizitii!$Q994=$O$5)),1,0)))</f>
        <v>0</v>
      </c>
      <c r="W994" s="27">
        <f>IF(AND(V994=1,OR(Control_Achizitii!$J994&lt;&gt;"DOSAR COMPLET",Control_Achizitii!$K994&lt;&gt;"")),ROW(),1000000000)</f>
        <v>1000000000</v>
      </c>
      <c r="X994" s="27">
        <f>IF(AND(V994=1,LEFT(Control_Achizitii!$E994,4)="Fact",NOT(ISNUMBER(Control_Achizitii!$P994))),1,0)</f>
        <v>0</v>
      </c>
      <c r="Y994" s="27">
        <f>IF(V994=0,0,IF(Control_Achizitii!$J994="DOSAR COMPLET",1,IF(LEFT(Control_Achizitii!$J994,9)="INCOMPLET",2,3)))</f>
        <v>0</v>
      </c>
      <c r="Z994" s="27"/>
      <c r="AA994" s="27"/>
      <c r="AB994" s="27"/>
      <c r="AC994" s="27"/>
      <c r="AD994" s="27"/>
      <c r="AE994" s="27"/>
      <c r="AF994" s="27"/>
      <c r="AG994" s="27"/>
      <c r="AH994" s="27">
        <f>IF(AND(V994=1,Control_Achizitii!$J994="DOSAR COMPLET",Control_Achizitii!$K994&lt;&gt;""),1,0)</f>
        <v>0</v>
      </c>
    </row>
    <row r="995" spans="1:34">
      <c r="A995" s="27"/>
      <c r="B995" s="27"/>
      <c r="C995" s="27"/>
      <c r="D995" s="27"/>
      <c r="E995" s="27"/>
      <c r="F995" s="27"/>
      <c r="G995" s="27"/>
      <c r="H995" s="27"/>
      <c r="I995" s="27"/>
      <c r="J995" s="27"/>
      <c r="K995" s="27"/>
      <c r="L995" s="27"/>
      <c r="M995" s="27"/>
      <c r="N995" s="27"/>
      <c r="O995" s="27"/>
      <c r="P995" s="27"/>
      <c r="Q995" s="27"/>
      <c r="R995" s="27"/>
      <c r="S995" s="27"/>
      <c r="T995" s="27">
        <f>IF(LEFT(Control_Achizitii!$E995,4)="Fact",1,0)</f>
        <v>0</v>
      </c>
      <c r="U995" s="27">
        <f>IF(Control_Achizitii!$C995="",0,IF(ISNUMBER(Control_Achizitii!$B995),0,1))</f>
        <v>0</v>
      </c>
      <c r="V995" s="27">
        <f>IF(Control_Achizitii!$C995="",0,IF($Z$2&lt;&gt;"OK",0,IF(AND(ISNUMBER(Control_Achizitii!$B995),Control_Achizitii!$B995&gt;=$E$5,Control_Achizitii!$B995&lt;$J$5+1,OR($O$5="Toate proiectele",Control_Achizitii!$Q995=$O$5)),1,0)))</f>
        <v>0</v>
      </c>
      <c r="W995" s="27">
        <f>IF(AND(V995=1,OR(Control_Achizitii!$J995&lt;&gt;"DOSAR COMPLET",Control_Achizitii!$K995&lt;&gt;"")),ROW(),1000000000)</f>
        <v>1000000000</v>
      </c>
      <c r="X995" s="27">
        <f>IF(AND(V995=1,LEFT(Control_Achizitii!$E995,4)="Fact",NOT(ISNUMBER(Control_Achizitii!$P995))),1,0)</f>
        <v>0</v>
      </c>
      <c r="Y995" s="27">
        <f>IF(V995=0,0,IF(Control_Achizitii!$J995="DOSAR COMPLET",1,IF(LEFT(Control_Achizitii!$J995,9)="INCOMPLET",2,3)))</f>
        <v>0</v>
      </c>
      <c r="Z995" s="27"/>
      <c r="AA995" s="27"/>
      <c r="AB995" s="27"/>
      <c r="AC995" s="27"/>
      <c r="AD995" s="27"/>
      <c r="AE995" s="27"/>
      <c r="AF995" s="27"/>
      <c r="AG995" s="27"/>
      <c r="AH995" s="27">
        <f>IF(AND(V995=1,Control_Achizitii!$J995="DOSAR COMPLET",Control_Achizitii!$K995&lt;&gt;""),1,0)</f>
        <v>0</v>
      </c>
    </row>
    <row r="996" spans="1:34">
      <c r="A996" s="27"/>
      <c r="B996" s="27"/>
      <c r="C996" s="27"/>
      <c r="D996" s="27"/>
      <c r="E996" s="27"/>
      <c r="F996" s="27"/>
      <c r="G996" s="27"/>
      <c r="H996" s="27"/>
      <c r="I996" s="27"/>
      <c r="J996" s="27"/>
      <c r="K996" s="27"/>
      <c r="L996" s="27"/>
      <c r="M996" s="27"/>
      <c r="N996" s="27"/>
      <c r="O996" s="27"/>
      <c r="P996" s="27"/>
      <c r="Q996" s="27"/>
      <c r="R996" s="27"/>
      <c r="S996" s="27"/>
      <c r="T996" s="27">
        <f>IF(LEFT(Control_Achizitii!$E996,4)="Fact",1,0)</f>
        <v>0</v>
      </c>
      <c r="U996" s="27">
        <f>IF(Control_Achizitii!$C996="",0,IF(ISNUMBER(Control_Achizitii!$B996),0,1))</f>
        <v>0</v>
      </c>
      <c r="V996" s="27">
        <f>IF(Control_Achizitii!$C996="",0,IF($Z$2&lt;&gt;"OK",0,IF(AND(ISNUMBER(Control_Achizitii!$B996),Control_Achizitii!$B996&gt;=$E$5,Control_Achizitii!$B996&lt;$J$5+1,OR($O$5="Toate proiectele",Control_Achizitii!$Q996=$O$5)),1,0)))</f>
        <v>0</v>
      </c>
      <c r="W996" s="27">
        <f>IF(AND(V996=1,OR(Control_Achizitii!$J996&lt;&gt;"DOSAR COMPLET",Control_Achizitii!$K996&lt;&gt;"")),ROW(),1000000000)</f>
        <v>1000000000</v>
      </c>
      <c r="X996" s="27">
        <f>IF(AND(V996=1,LEFT(Control_Achizitii!$E996,4)="Fact",NOT(ISNUMBER(Control_Achizitii!$P996))),1,0)</f>
        <v>0</v>
      </c>
      <c r="Y996" s="27">
        <f>IF(V996=0,0,IF(Control_Achizitii!$J996="DOSAR COMPLET",1,IF(LEFT(Control_Achizitii!$J996,9)="INCOMPLET",2,3)))</f>
        <v>0</v>
      </c>
      <c r="Z996" s="27"/>
      <c r="AA996" s="27"/>
      <c r="AB996" s="27"/>
      <c r="AC996" s="27"/>
      <c r="AD996" s="27"/>
      <c r="AE996" s="27"/>
      <c r="AF996" s="27"/>
      <c r="AG996" s="27"/>
      <c r="AH996" s="27">
        <f>IF(AND(V996=1,Control_Achizitii!$J996="DOSAR COMPLET",Control_Achizitii!$K996&lt;&gt;""),1,0)</f>
        <v>0</v>
      </c>
    </row>
    <row r="997" spans="1:34">
      <c r="A997" s="27"/>
      <c r="B997" s="27"/>
      <c r="C997" s="27"/>
      <c r="D997" s="27"/>
      <c r="E997" s="27"/>
      <c r="F997" s="27"/>
      <c r="G997" s="27"/>
      <c r="H997" s="27"/>
      <c r="I997" s="27"/>
      <c r="J997" s="27"/>
      <c r="K997" s="27"/>
      <c r="L997" s="27"/>
      <c r="M997" s="27"/>
      <c r="N997" s="27"/>
      <c r="O997" s="27"/>
      <c r="P997" s="27"/>
      <c r="Q997" s="27"/>
      <c r="R997" s="27"/>
      <c r="S997" s="27"/>
      <c r="T997" s="27">
        <f>IF(LEFT(Control_Achizitii!$E997,4)="Fact",1,0)</f>
        <v>0</v>
      </c>
      <c r="U997" s="27">
        <f>IF(Control_Achizitii!$C997="",0,IF(ISNUMBER(Control_Achizitii!$B997),0,1))</f>
        <v>0</v>
      </c>
      <c r="V997" s="27">
        <f>IF(Control_Achizitii!$C997="",0,IF($Z$2&lt;&gt;"OK",0,IF(AND(ISNUMBER(Control_Achizitii!$B997),Control_Achizitii!$B997&gt;=$E$5,Control_Achizitii!$B997&lt;$J$5+1,OR($O$5="Toate proiectele",Control_Achizitii!$Q997=$O$5)),1,0)))</f>
        <v>0</v>
      </c>
      <c r="W997" s="27">
        <f>IF(AND(V997=1,OR(Control_Achizitii!$J997&lt;&gt;"DOSAR COMPLET",Control_Achizitii!$K997&lt;&gt;"")),ROW(),1000000000)</f>
        <v>1000000000</v>
      </c>
      <c r="X997" s="27">
        <f>IF(AND(V997=1,LEFT(Control_Achizitii!$E997,4)="Fact",NOT(ISNUMBER(Control_Achizitii!$P997))),1,0)</f>
        <v>0</v>
      </c>
      <c r="Y997" s="27">
        <f>IF(V997=0,0,IF(Control_Achizitii!$J997="DOSAR COMPLET",1,IF(LEFT(Control_Achizitii!$J997,9)="INCOMPLET",2,3)))</f>
        <v>0</v>
      </c>
      <c r="Z997" s="27"/>
      <c r="AA997" s="27"/>
      <c r="AB997" s="27"/>
      <c r="AC997" s="27"/>
      <c r="AD997" s="27"/>
      <c r="AE997" s="27"/>
      <c r="AF997" s="27"/>
      <c r="AG997" s="27"/>
      <c r="AH997" s="27">
        <f>IF(AND(V997=1,Control_Achizitii!$J997="DOSAR COMPLET",Control_Achizitii!$K997&lt;&gt;""),1,0)</f>
        <v>0</v>
      </c>
    </row>
    <row r="998" spans="1:34">
      <c r="A998" s="27"/>
      <c r="B998" s="27"/>
      <c r="C998" s="27"/>
      <c r="D998" s="27"/>
      <c r="E998" s="27"/>
      <c r="F998" s="27"/>
      <c r="G998" s="27"/>
      <c r="H998" s="27"/>
      <c r="I998" s="27"/>
      <c r="J998" s="27"/>
      <c r="K998" s="27"/>
      <c r="L998" s="27"/>
      <c r="M998" s="27"/>
      <c r="N998" s="27"/>
      <c r="O998" s="27"/>
      <c r="P998" s="27"/>
      <c r="Q998" s="27"/>
      <c r="R998" s="27"/>
      <c r="S998" s="27"/>
      <c r="T998" s="27">
        <f>IF(LEFT(Control_Achizitii!$E998,4)="Fact",1,0)</f>
        <v>0</v>
      </c>
      <c r="U998" s="27">
        <f>IF(Control_Achizitii!$C998="",0,IF(ISNUMBER(Control_Achizitii!$B998),0,1))</f>
        <v>0</v>
      </c>
      <c r="V998" s="27">
        <f>IF(Control_Achizitii!$C998="",0,IF($Z$2&lt;&gt;"OK",0,IF(AND(ISNUMBER(Control_Achizitii!$B998),Control_Achizitii!$B998&gt;=$E$5,Control_Achizitii!$B998&lt;$J$5+1,OR($O$5="Toate proiectele",Control_Achizitii!$Q998=$O$5)),1,0)))</f>
        <v>0</v>
      </c>
      <c r="W998" s="27">
        <f>IF(AND(V998=1,OR(Control_Achizitii!$J998&lt;&gt;"DOSAR COMPLET",Control_Achizitii!$K998&lt;&gt;"")),ROW(),1000000000)</f>
        <v>1000000000</v>
      </c>
      <c r="X998" s="27">
        <f>IF(AND(V998=1,LEFT(Control_Achizitii!$E998,4)="Fact",NOT(ISNUMBER(Control_Achizitii!$P998))),1,0)</f>
        <v>0</v>
      </c>
      <c r="Y998" s="27">
        <f>IF(V998=0,0,IF(Control_Achizitii!$J998="DOSAR COMPLET",1,IF(LEFT(Control_Achizitii!$J998,9)="INCOMPLET",2,3)))</f>
        <v>0</v>
      </c>
      <c r="Z998" s="27"/>
      <c r="AA998" s="27"/>
      <c r="AB998" s="27"/>
      <c r="AC998" s="27"/>
      <c r="AD998" s="27"/>
      <c r="AE998" s="27"/>
      <c r="AF998" s="27"/>
      <c r="AG998" s="27"/>
      <c r="AH998" s="27">
        <f>IF(AND(V998=1,Control_Achizitii!$J998="DOSAR COMPLET",Control_Achizitii!$K998&lt;&gt;""),1,0)</f>
        <v>0</v>
      </c>
    </row>
    <row r="999" spans="1:34">
      <c r="A999" s="27"/>
      <c r="B999" s="27"/>
      <c r="C999" s="27"/>
      <c r="D999" s="27"/>
      <c r="E999" s="27"/>
      <c r="F999" s="27"/>
      <c r="G999" s="27"/>
      <c r="H999" s="27"/>
      <c r="I999" s="27"/>
      <c r="J999" s="27"/>
      <c r="K999" s="27"/>
      <c r="L999" s="27"/>
      <c r="M999" s="27"/>
      <c r="N999" s="27"/>
      <c r="O999" s="27"/>
      <c r="P999" s="27"/>
      <c r="Q999" s="27"/>
      <c r="R999" s="27"/>
      <c r="S999" s="27"/>
      <c r="T999" s="27">
        <f>IF(LEFT(Control_Achizitii!$E999,4)="Fact",1,0)</f>
        <v>0</v>
      </c>
      <c r="U999" s="27">
        <f>IF(Control_Achizitii!$C999="",0,IF(ISNUMBER(Control_Achizitii!$B999),0,1))</f>
        <v>0</v>
      </c>
      <c r="V999" s="27">
        <f>IF(Control_Achizitii!$C999="",0,IF($Z$2&lt;&gt;"OK",0,IF(AND(ISNUMBER(Control_Achizitii!$B999),Control_Achizitii!$B999&gt;=$E$5,Control_Achizitii!$B999&lt;$J$5+1,OR($O$5="Toate proiectele",Control_Achizitii!$Q999=$O$5)),1,0)))</f>
        <v>0</v>
      </c>
      <c r="W999" s="27">
        <f>IF(AND(V999=1,OR(Control_Achizitii!$J999&lt;&gt;"DOSAR COMPLET",Control_Achizitii!$K999&lt;&gt;"")),ROW(),1000000000)</f>
        <v>1000000000</v>
      </c>
      <c r="X999" s="27">
        <f>IF(AND(V999=1,LEFT(Control_Achizitii!$E999,4)="Fact",NOT(ISNUMBER(Control_Achizitii!$P999))),1,0)</f>
        <v>0</v>
      </c>
      <c r="Y999" s="27">
        <f>IF(V999=0,0,IF(Control_Achizitii!$J999="DOSAR COMPLET",1,IF(LEFT(Control_Achizitii!$J999,9)="INCOMPLET",2,3)))</f>
        <v>0</v>
      </c>
      <c r="Z999" s="27"/>
      <c r="AA999" s="27"/>
      <c r="AB999" s="27"/>
      <c r="AC999" s="27"/>
      <c r="AD999" s="27"/>
      <c r="AE999" s="27"/>
      <c r="AF999" s="27"/>
      <c r="AG999" s="27"/>
      <c r="AH999" s="27">
        <f>IF(AND(V999=1,Control_Achizitii!$J999="DOSAR COMPLET",Control_Achizitii!$K999&lt;&gt;""),1,0)</f>
        <v>0</v>
      </c>
    </row>
    <row r="1000" spans="1:34">
      <c r="A1000" s="27"/>
      <c r="B1000" s="27"/>
      <c r="C1000" s="27"/>
      <c r="D1000" s="27"/>
      <c r="E1000" s="27"/>
      <c r="F1000" s="27"/>
      <c r="G1000" s="27"/>
      <c r="H1000" s="27"/>
      <c r="I1000" s="27"/>
      <c r="J1000" s="27"/>
      <c r="K1000" s="27"/>
      <c r="L1000" s="27"/>
      <c r="M1000" s="27"/>
      <c r="N1000" s="27"/>
      <c r="O1000" s="27"/>
      <c r="P1000" s="27"/>
      <c r="Q1000" s="27"/>
      <c r="R1000" s="27"/>
      <c r="S1000" s="27"/>
      <c r="T1000" s="27">
        <f>IF(LEFT(Control_Achizitii!$E1000,4)="Fact",1,0)</f>
        <v>0</v>
      </c>
      <c r="U1000" s="27">
        <f>IF(Control_Achizitii!$C1000="",0,IF(ISNUMBER(Control_Achizitii!$B1000),0,1))</f>
        <v>0</v>
      </c>
      <c r="V1000" s="27">
        <f>IF(Control_Achizitii!$C1000="",0,IF($Z$2&lt;&gt;"OK",0,IF(AND(ISNUMBER(Control_Achizitii!$B1000),Control_Achizitii!$B1000&gt;=$E$5,Control_Achizitii!$B1000&lt;$J$5+1,OR($O$5="Toate proiectele",Control_Achizitii!$Q1000=$O$5)),1,0)))</f>
        <v>0</v>
      </c>
      <c r="W1000" s="27">
        <f>IF(AND(V1000=1,OR(Control_Achizitii!$J1000&lt;&gt;"DOSAR COMPLET",Control_Achizitii!$K1000&lt;&gt;"")),ROW(),1000000000)</f>
        <v>1000000000</v>
      </c>
      <c r="X1000" s="27">
        <f>IF(AND(V1000=1,LEFT(Control_Achizitii!$E1000,4)="Fact",NOT(ISNUMBER(Control_Achizitii!$P1000))),1,0)</f>
        <v>0</v>
      </c>
      <c r="Y1000" s="27">
        <f>IF(V1000=0,0,IF(Control_Achizitii!$J1000="DOSAR COMPLET",1,IF(LEFT(Control_Achizitii!$J1000,9)="INCOMPLET",2,3)))</f>
        <v>0</v>
      </c>
      <c r="Z1000" s="27"/>
      <c r="AA1000" s="27"/>
      <c r="AB1000" s="27"/>
      <c r="AC1000" s="27"/>
      <c r="AD1000" s="27"/>
      <c r="AE1000" s="27"/>
      <c r="AF1000" s="27"/>
      <c r="AG1000" s="27"/>
      <c r="AH1000" s="27">
        <f>IF(AND(V1000=1,Control_Achizitii!$J1000="DOSAR COMPLET",Control_Achizitii!$K1000&lt;&gt;""),1,0)</f>
        <v>0</v>
      </c>
    </row>
    <row r="1001" spans="1:34">
      <c r="A1001" s="27"/>
      <c r="B1001" s="27"/>
      <c r="C1001" s="27"/>
      <c r="D1001" s="27"/>
      <c r="E1001" s="27"/>
      <c r="F1001" s="27"/>
      <c r="G1001" s="27"/>
      <c r="H1001" s="27"/>
      <c r="I1001" s="27"/>
      <c r="J1001" s="27"/>
      <c r="K1001" s="27"/>
      <c r="L1001" s="27"/>
      <c r="M1001" s="27"/>
      <c r="N1001" s="27"/>
      <c r="O1001" s="27"/>
      <c r="P1001" s="27"/>
      <c r="Q1001" s="27"/>
      <c r="R1001" s="27"/>
      <c r="S1001" s="27"/>
      <c r="T1001" s="27">
        <f>IF(LEFT(Control_Achizitii!$E1001,4)="Fact",1,0)</f>
        <v>0</v>
      </c>
      <c r="U1001" s="27">
        <f>IF(Control_Achizitii!$C1001="",0,IF(ISNUMBER(Control_Achizitii!$B1001),0,1))</f>
        <v>0</v>
      </c>
      <c r="V1001" s="27">
        <f>IF(Control_Achizitii!$C1001="",0,IF($Z$2&lt;&gt;"OK",0,IF(AND(ISNUMBER(Control_Achizitii!$B1001),Control_Achizitii!$B1001&gt;=$E$5,Control_Achizitii!$B1001&lt;$J$5+1,OR($O$5="Toate proiectele",Control_Achizitii!$Q1001=$O$5)),1,0)))</f>
        <v>0</v>
      </c>
      <c r="W1001" s="27">
        <f>IF(AND(V1001=1,OR(Control_Achizitii!$J1001&lt;&gt;"DOSAR COMPLET",Control_Achizitii!$K1001&lt;&gt;"")),ROW(),1000000000)</f>
        <v>1000000000</v>
      </c>
      <c r="X1001" s="27">
        <f>IF(AND(V1001=1,LEFT(Control_Achizitii!$E1001,4)="Fact",NOT(ISNUMBER(Control_Achizitii!$P1001))),1,0)</f>
        <v>0</v>
      </c>
      <c r="Y1001" s="27">
        <f>IF(V1001=0,0,IF(Control_Achizitii!$J1001="DOSAR COMPLET",1,IF(LEFT(Control_Achizitii!$J1001,9)="INCOMPLET",2,3)))</f>
        <v>0</v>
      </c>
      <c r="Z1001" s="27"/>
      <c r="AA1001" s="27"/>
      <c r="AB1001" s="27"/>
      <c r="AC1001" s="27"/>
      <c r="AD1001" s="27"/>
      <c r="AE1001" s="27"/>
      <c r="AF1001" s="27"/>
      <c r="AG1001" s="27"/>
      <c r="AH1001" s="27">
        <f>IF(AND(V1001=1,Control_Achizitii!$J1001="DOSAR COMPLET",Control_Achizitii!$K1001&lt;&gt;""),1,0)</f>
        <v>0</v>
      </c>
    </row>
    <row r="1002" spans="1:34">
      <c r="A1002" s="27"/>
      <c r="B1002" s="27"/>
      <c r="C1002" s="27"/>
      <c r="D1002" s="27"/>
      <c r="E1002" s="27"/>
      <c r="F1002" s="27"/>
      <c r="G1002" s="27"/>
      <c r="H1002" s="27"/>
      <c r="I1002" s="27"/>
      <c r="J1002" s="27"/>
      <c r="K1002" s="27"/>
      <c r="L1002" s="27"/>
      <c r="M1002" s="27"/>
      <c r="N1002" s="27"/>
      <c r="O1002" s="27"/>
      <c r="P1002" s="27"/>
      <c r="Q1002" s="27"/>
      <c r="R1002" s="27"/>
      <c r="S1002" s="27"/>
      <c r="T1002" s="27">
        <f>IF(LEFT(Control_Achizitii!$E1002,4)="Fact",1,0)</f>
        <v>0</v>
      </c>
      <c r="U1002" s="27">
        <f>IF(Control_Achizitii!$C1002="",0,IF(ISNUMBER(Control_Achizitii!$B1002),0,1))</f>
        <v>0</v>
      </c>
      <c r="V1002" s="27">
        <f>IF(Control_Achizitii!$C1002="",0,IF($Z$2&lt;&gt;"OK",0,IF(AND(ISNUMBER(Control_Achizitii!$B1002),Control_Achizitii!$B1002&gt;=$E$5,Control_Achizitii!$B1002&lt;$J$5+1,OR($O$5="Toate proiectele",Control_Achizitii!$Q1002=$O$5)),1,0)))</f>
        <v>0</v>
      </c>
      <c r="W1002" s="27">
        <f>IF(AND(V1002=1,OR(Control_Achizitii!$J1002&lt;&gt;"DOSAR COMPLET",Control_Achizitii!$K1002&lt;&gt;"")),ROW(),1000000000)</f>
        <v>1000000000</v>
      </c>
      <c r="X1002" s="27">
        <f>IF(AND(V1002=1,LEFT(Control_Achizitii!$E1002,4)="Fact",NOT(ISNUMBER(Control_Achizitii!$P1002))),1,0)</f>
        <v>0</v>
      </c>
      <c r="Y1002" s="27">
        <f>IF(V1002=0,0,IF(Control_Achizitii!$J1002="DOSAR COMPLET",1,IF(LEFT(Control_Achizitii!$J1002,9)="INCOMPLET",2,3)))</f>
        <v>0</v>
      </c>
      <c r="Z1002" s="27"/>
      <c r="AA1002" s="27"/>
      <c r="AB1002" s="27"/>
      <c r="AC1002" s="27"/>
      <c r="AD1002" s="27"/>
      <c r="AE1002" s="27"/>
      <c r="AF1002" s="27"/>
      <c r="AG1002" s="27"/>
      <c r="AH1002" s="27">
        <f>IF(AND(V1002=1,Control_Achizitii!$J1002="DOSAR COMPLET",Control_Achizitii!$K1002&lt;&gt;""),1,0)</f>
        <v>0</v>
      </c>
    </row>
    <row r="1003" spans="1:34">
      <c r="A1003" s="27"/>
      <c r="B1003" s="27"/>
      <c r="C1003" s="27"/>
      <c r="D1003" s="27"/>
      <c r="E1003" s="27"/>
      <c r="F1003" s="27"/>
      <c r="G1003" s="27"/>
      <c r="H1003" s="27"/>
      <c r="I1003" s="27"/>
      <c r="J1003" s="27"/>
      <c r="K1003" s="27"/>
      <c r="L1003" s="27"/>
      <c r="M1003" s="27"/>
      <c r="N1003" s="27"/>
      <c r="O1003" s="27"/>
      <c r="P1003" s="27"/>
      <c r="Q1003" s="27"/>
      <c r="R1003" s="27"/>
      <c r="S1003" s="27"/>
      <c r="T1003" s="27">
        <f>IF(LEFT(Control_Achizitii!$E1003,4)="Fact",1,0)</f>
        <v>0</v>
      </c>
      <c r="U1003" s="27">
        <f>IF(Control_Achizitii!$C1003="",0,IF(ISNUMBER(Control_Achizitii!$B1003),0,1))</f>
        <v>0</v>
      </c>
      <c r="V1003" s="27">
        <f>IF(Control_Achizitii!$C1003="",0,IF($Z$2&lt;&gt;"OK",0,IF(AND(ISNUMBER(Control_Achizitii!$B1003),Control_Achizitii!$B1003&gt;=$E$5,Control_Achizitii!$B1003&lt;$J$5+1,OR($O$5="Toate proiectele",Control_Achizitii!$Q1003=$O$5)),1,0)))</f>
        <v>0</v>
      </c>
      <c r="W1003" s="27">
        <f>IF(AND(V1003=1,OR(Control_Achizitii!$J1003&lt;&gt;"DOSAR COMPLET",Control_Achizitii!$K1003&lt;&gt;"")),ROW(),1000000000)</f>
        <v>1000000000</v>
      </c>
      <c r="X1003" s="27">
        <f>IF(AND(V1003=1,LEFT(Control_Achizitii!$E1003,4)="Fact",NOT(ISNUMBER(Control_Achizitii!$P1003))),1,0)</f>
        <v>0</v>
      </c>
      <c r="Y1003" s="27">
        <f>IF(V1003=0,0,IF(Control_Achizitii!$J1003="DOSAR COMPLET",1,IF(LEFT(Control_Achizitii!$J1003,9)="INCOMPLET",2,3)))</f>
        <v>0</v>
      </c>
      <c r="Z1003" s="27"/>
      <c r="AA1003" s="27"/>
      <c r="AB1003" s="27"/>
      <c r="AC1003" s="27"/>
      <c r="AD1003" s="27"/>
      <c r="AE1003" s="27"/>
      <c r="AF1003" s="27"/>
      <c r="AG1003" s="27"/>
      <c r="AH1003" s="27">
        <f>IF(AND(V1003=1,Control_Achizitii!$J1003="DOSAR COMPLET",Control_Achizitii!$K1003&lt;&gt;""),1,0)</f>
        <v>0</v>
      </c>
    </row>
    <row r="1004" spans="1:34">
      <c r="A1004" s="27"/>
      <c r="B1004" s="27"/>
      <c r="C1004" s="27"/>
      <c r="D1004" s="27"/>
      <c r="E1004" s="27"/>
      <c r="F1004" s="27"/>
      <c r="G1004" s="27"/>
      <c r="H1004" s="27"/>
      <c r="I1004" s="27"/>
      <c r="J1004" s="27"/>
      <c r="K1004" s="27"/>
      <c r="L1004" s="27"/>
      <c r="M1004" s="27"/>
      <c r="N1004" s="27"/>
      <c r="O1004" s="27"/>
      <c r="P1004" s="27"/>
      <c r="Q1004" s="27"/>
      <c r="R1004" s="27"/>
      <c r="S1004" s="27"/>
      <c r="T1004" s="27">
        <f>IF(LEFT(Control_Achizitii!$E1004,4)="Fact",1,0)</f>
        <v>0</v>
      </c>
      <c r="U1004" s="27">
        <f>IF(Control_Achizitii!$C1004="",0,IF(ISNUMBER(Control_Achizitii!$B1004),0,1))</f>
        <v>0</v>
      </c>
      <c r="V1004" s="27">
        <f>IF(Control_Achizitii!$C1004="",0,IF($Z$2&lt;&gt;"OK",0,IF(AND(ISNUMBER(Control_Achizitii!$B1004),Control_Achizitii!$B1004&gt;=$E$5,Control_Achizitii!$B1004&lt;$J$5+1,OR($O$5="Toate proiectele",Control_Achizitii!$Q1004=$O$5)),1,0)))</f>
        <v>0</v>
      </c>
      <c r="W1004" s="27">
        <f>IF(AND(V1004=1,OR(Control_Achizitii!$J1004&lt;&gt;"DOSAR COMPLET",Control_Achizitii!$K1004&lt;&gt;"")),ROW(),1000000000)</f>
        <v>1000000000</v>
      </c>
      <c r="X1004" s="27">
        <f>IF(AND(V1004=1,LEFT(Control_Achizitii!$E1004,4)="Fact",NOT(ISNUMBER(Control_Achizitii!$P1004))),1,0)</f>
        <v>0</v>
      </c>
      <c r="Y1004" s="27">
        <f>IF(V1004=0,0,IF(Control_Achizitii!$J1004="DOSAR COMPLET",1,IF(LEFT(Control_Achizitii!$J1004,9)="INCOMPLET",2,3)))</f>
        <v>0</v>
      </c>
      <c r="Z1004" s="27"/>
      <c r="AA1004" s="27"/>
      <c r="AB1004" s="27"/>
      <c r="AC1004" s="27"/>
      <c r="AD1004" s="27"/>
      <c r="AE1004" s="27"/>
      <c r="AF1004" s="27"/>
      <c r="AG1004" s="27"/>
      <c r="AH1004" s="27">
        <f>IF(AND(V1004=1,Control_Achizitii!$J1004="DOSAR COMPLET",Control_Achizitii!$K1004&lt;&gt;""),1,0)</f>
        <v>0</v>
      </c>
    </row>
    <row r="1005" spans="1:34">
      <c r="A1005" s="27"/>
      <c r="B1005" s="27"/>
      <c r="C1005" s="27"/>
      <c r="D1005" s="27"/>
      <c r="E1005" s="27"/>
      <c r="F1005" s="27"/>
      <c r="G1005" s="27"/>
      <c r="H1005" s="27"/>
      <c r="I1005" s="27"/>
      <c r="J1005" s="27"/>
      <c r="K1005" s="27"/>
      <c r="L1005" s="27"/>
      <c r="M1005" s="27"/>
      <c r="N1005" s="27"/>
      <c r="O1005" s="27"/>
      <c r="P1005" s="27"/>
      <c r="Q1005" s="27"/>
      <c r="R1005" s="27"/>
      <c r="S1005" s="27"/>
      <c r="T1005" s="27">
        <f>IF(LEFT(Control_Achizitii!$E1005,4)="Fact",1,0)</f>
        <v>0</v>
      </c>
      <c r="U1005" s="27">
        <f>IF(Control_Achizitii!$C1005="",0,IF(ISNUMBER(Control_Achizitii!$B1005),0,1))</f>
        <v>0</v>
      </c>
      <c r="V1005" s="27">
        <f>IF(Control_Achizitii!$C1005="",0,IF($Z$2&lt;&gt;"OK",0,IF(AND(ISNUMBER(Control_Achizitii!$B1005),Control_Achizitii!$B1005&gt;=$E$5,Control_Achizitii!$B1005&lt;$J$5+1,OR($O$5="Toate proiectele",Control_Achizitii!$Q1005=$O$5)),1,0)))</f>
        <v>0</v>
      </c>
      <c r="W1005" s="27">
        <f>IF(AND(V1005=1,OR(Control_Achizitii!$J1005&lt;&gt;"DOSAR COMPLET",Control_Achizitii!$K1005&lt;&gt;"")),ROW(),1000000000)</f>
        <v>1000000000</v>
      </c>
      <c r="X1005" s="27">
        <f>IF(AND(V1005=1,LEFT(Control_Achizitii!$E1005,4)="Fact",NOT(ISNUMBER(Control_Achizitii!$P1005))),1,0)</f>
        <v>0</v>
      </c>
      <c r="Y1005" s="27">
        <f>IF(V1005=0,0,IF(Control_Achizitii!$J1005="DOSAR COMPLET",1,IF(LEFT(Control_Achizitii!$J1005,9)="INCOMPLET",2,3)))</f>
        <v>0</v>
      </c>
      <c r="Z1005" s="27"/>
      <c r="AA1005" s="27"/>
      <c r="AB1005" s="27"/>
      <c r="AC1005" s="27"/>
      <c r="AD1005" s="27"/>
      <c r="AE1005" s="27"/>
      <c r="AF1005" s="27"/>
      <c r="AG1005" s="27"/>
      <c r="AH1005" s="27">
        <f>IF(AND(V1005=1,Control_Achizitii!$J1005="DOSAR COMPLET",Control_Achizitii!$K1005&lt;&gt;""),1,0)</f>
        <v>0</v>
      </c>
    </row>
    <row r="1006" spans="1:34">
      <c r="A1006" s="27"/>
      <c r="B1006" s="27"/>
      <c r="C1006" s="27"/>
      <c r="D1006" s="27"/>
      <c r="E1006" s="27"/>
      <c r="F1006" s="27"/>
      <c r="G1006" s="27"/>
      <c r="H1006" s="27"/>
      <c r="I1006" s="27"/>
      <c r="J1006" s="27"/>
      <c r="K1006" s="27"/>
      <c r="L1006" s="27"/>
      <c r="M1006" s="27"/>
      <c r="N1006" s="27"/>
      <c r="O1006" s="27"/>
      <c r="P1006" s="27"/>
      <c r="Q1006" s="27"/>
      <c r="R1006" s="27"/>
      <c r="S1006" s="27"/>
      <c r="T1006" s="27">
        <f>IF(LEFT(Control_Achizitii!$E1006,4)="Fact",1,0)</f>
        <v>0</v>
      </c>
      <c r="U1006" s="27">
        <f>IF(Control_Achizitii!$C1006="",0,IF(ISNUMBER(Control_Achizitii!$B1006),0,1))</f>
        <v>0</v>
      </c>
      <c r="V1006" s="27">
        <f>IF(Control_Achizitii!$C1006="",0,IF($Z$2&lt;&gt;"OK",0,IF(AND(ISNUMBER(Control_Achizitii!$B1006),Control_Achizitii!$B1006&gt;=$E$5,Control_Achizitii!$B1006&lt;$J$5+1,OR($O$5="Toate proiectele",Control_Achizitii!$Q1006=$O$5)),1,0)))</f>
        <v>0</v>
      </c>
      <c r="W1006" s="27">
        <f>IF(AND(V1006=1,OR(Control_Achizitii!$J1006&lt;&gt;"DOSAR COMPLET",Control_Achizitii!$K1006&lt;&gt;"")),ROW(),1000000000)</f>
        <v>1000000000</v>
      </c>
      <c r="X1006" s="27">
        <f>IF(AND(V1006=1,LEFT(Control_Achizitii!$E1006,4)="Fact",NOT(ISNUMBER(Control_Achizitii!$P1006))),1,0)</f>
        <v>0</v>
      </c>
      <c r="Y1006" s="27">
        <f>IF(V1006=0,0,IF(Control_Achizitii!$J1006="DOSAR COMPLET",1,IF(LEFT(Control_Achizitii!$J1006,9)="INCOMPLET",2,3)))</f>
        <v>0</v>
      </c>
      <c r="Z1006" s="27"/>
      <c r="AA1006" s="27"/>
      <c r="AB1006" s="27"/>
      <c r="AC1006" s="27"/>
      <c r="AD1006" s="27"/>
      <c r="AE1006" s="27"/>
      <c r="AF1006" s="27"/>
      <c r="AG1006" s="27"/>
      <c r="AH1006" s="27">
        <f>IF(AND(V1006=1,Control_Achizitii!$J1006="DOSAR COMPLET",Control_Achizitii!$K1006&lt;&gt;""),1,0)</f>
        <v>0</v>
      </c>
    </row>
    <row r="1007" spans="1:34">
      <c r="A1007" s="27"/>
      <c r="B1007" s="27"/>
      <c r="C1007" s="27"/>
      <c r="D1007" s="27"/>
      <c r="E1007" s="27"/>
      <c r="F1007" s="27"/>
      <c r="G1007" s="27"/>
      <c r="H1007" s="27"/>
      <c r="I1007" s="27"/>
      <c r="J1007" s="27"/>
      <c r="K1007" s="27"/>
      <c r="L1007" s="27"/>
      <c r="M1007" s="27"/>
      <c r="N1007" s="27"/>
      <c r="O1007" s="27"/>
      <c r="P1007" s="27"/>
      <c r="Q1007" s="27"/>
      <c r="R1007" s="27"/>
      <c r="S1007" s="27"/>
      <c r="T1007" s="27">
        <f>IF(LEFT(Control_Achizitii!$E1007,4)="Fact",1,0)</f>
        <v>0</v>
      </c>
      <c r="U1007" s="27">
        <f>IF(Control_Achizitii!$C1007="",0,IF(ISNUMBER(Control_Achizitii!$B1007),0,1))</f>
        <v>0</v>
      </c>
      <c r="V1007" s="27">
        <f>IF(Control_Achizitii!$C1007="",0,IF($Z$2&lt;&gt;"OK",0,IF(AND(ISNUMBER(Control_Achizitii!$B1007),Control_Achizitii!$B1007&gt;=$E$5,Control_Achizitii!$B1007&lt;$J$5+1,OR($O$5="Toate proiectele",Control_Achizitii!$Q1007=$O$5)),1,0)))</f>
        <v>0</v>
      </c>
      <c r="W1007" s="27">
        <f>IF(AND(V1007=1,OR(Control_Achizitii!$J1007&lt;&gt;"DOSAR COMPLET",Control_Achizitii!$K1007&lt;&gt;"")),ROW(),1000000000)</f>
        <v>1000000000</v>
      </c>
      <c r="X1007" s="27">
        <f>IF(AND(V1007=1,LEFT(Control_Achizitii!$E1007,4)="Fact",NOT(ISNUMBER(Control_Achizitii!$P1007))),1,0)</f>
        <v>0</v>
      </c>
      <c r="Y1007" s="27">
        <f>IF(V1007=0,0,IF(Control_Achizitii!$J1007="DOSAR COMPLET",1,IF(LEFT(Control_Achizitii!$J1007,9)="INCOMPLET",2,3)))</f>
        <v>0</v>
      </c>
      <c r="Z1007" s="27"/>
      <c r="AA1007" s="27"/>
      <c r="AB1007" s="27"/>
      <c r="AC1007" s="27"/>
      <c r="AD1007" s="27"/>
      <c r="AE1007" s="27"/>
      <c r="AF1007" s="27"/>
      <c r="AG1007" s="27"/>
      <c r="AH1007" s="27">
        <f>IF(AND(V1007=1,Control_Achizitii!$J1007="DOSAR COMPLET",Control_Achizitii!$K1007&lt;&gt;""),1,0)</f>
        <v>0</v>
      </c>
    </row>
    <row r="1008" spans="1:34">
      <c r="A1008" s="27"/>
      <c r="B1008" s="27"/>
      <c r="C1008" s="27"/>
      <c r="D1008" s="27"/>
      <c r="E1008" s="27"/>
      <c r="F1008" s="27"/>
      <c r="G1008" s="27"/>
      <c r="H1008" s="27"/>
      <c r="I1008" s="27"/>
      <c r="J1008" s="27"/>
      <c r="K1008" s="27"/>
      <c r="L1008" s="27"/>
      <c r="M1008" s="27"/>
      <c r="N1008" s="27"/>
      <c r="O1008" s="27"/>
      <c r="P1008" s="27"/>
      <c r="Q1008" s="27"/>
      <c r="R1008" s="27"/>
      <c r="S1008" s="27"/>
      <c r="T1008" s="27">
        <f>IF(LEFT(Control_Achizitii!$E1008,4)="Fact",1,0)</f>
        <v>0</v>
      </c>
      <c r="U1008" s="27">
        <f>IF(Control_Achizitii!$C1008="",0,IF(ISNUMBER(Control_Achizitii!$B1008),0,1))</f>
        <v>0</v>
      </c>
      <c r="V1008" s="27">
        <f>IF(Control_Achizitii!$C1008="",0,IF($Z$2&lt;&gt;"OK",0,IF(AND(ISNUMBER(Control_Achizitii!$B1008),Control_Achizitii!$B1008&gt;=$E$5,Control_Achizitii!$B1008&lt;$J$5+1,OR($O$5="Toate proiectele",Control_Achizitii!$Q1008=$O$5)),1,0)))</f>
        <v>0</v>
      </c>
      <c r="W1008" s="27">
        <f>IF(AND(V1008=1,OR(Control_Achizitii!$J1008&lt;&gt;"DOSAR COMPLET",Control_Achizitii!$K1008&lt;&gt;"")),ROW(),1000000000)</f>
        <v>1000000000</v>
      </c>
      <c r="X1008" s="27">
        <f>IF(AND(V1008=1,LEFT(Control_Achizitii!$E1008,4)="Fact",NOT(ISNUMBER(Control_Achizitii!$P1008))),1,0)</f>
        <v>0</v>
      </c>
      <c r="Y1008" s="27">
        <f>IF(V1008=0,0,IF(Control_Achizitii!$J1008="DOSAR COMPLET",1,IF(LEFT(Control_Achizitii!$J1008,9)="INCOMPLET",2,3)))</f>
        <v>0</v>
      </c>
      <c r="Z1008" s="27"/>
      <c r="AA1008" s="27"/>
      <c r="AB1008" s="27"/>
      <c r="AC1008" s="27"/>
      <c r="AD1008" s="27"/>
      <c r="AE1008" s="27"/>
      <c r="AF1008" s="27"/>
      <c r="AG1008" s="27"/>
      <c r="AH1008" s="27">
        <f>IF(AND(V1008=1,Control_Achizitii!$J1008="DOSAR COMPLET",Control_Achizitii!$K1008&lt;&gt;""),1,0)</f>
        <v>0</v>
      </c>
    </row>
    <row r="1009" spans="1:34">
      <c r="A1009" s="27"/>
      <c r="B1009" s="27"/>
      <c r="C1009" s="27"/>
      <c r="D1009" s="27"/>
      <c r="E1009" s="27"/>
      <c r="F1009" s="27"/>
      <c r="G1009" s="27"/>
      <c r="H1009" s="27"/>
      <c r="I1009" s="27"/>
      <c r="J1009" s="27"/>
      <c r="K1009" s="27"/>
      <c r="L1009" s="27"/>
      <c r="M1009" s="27"/>
      <c r="N1009" s="27"/>
      <c r="O1009" s="27"/>
      <c r="P1009" s="27"/>
      <c r="Q1009" s="27"/>
      <c r="R1009" s="27"/>
      <c r="S1009" s="27"/>
      <c r="T1009" s="27">
        <f>IF(LEFT(Control_Achizitii!$E1009,4)="Fact",1,0)</f>
        <v>0</v>
      </c>
      <c r="U1009" s="27">
        <f>IF(Control_Achizitii!$C1009="",0,IF(ISNUMBER(Control_Achizitii!$B1009),0,1))</f>
        <v>0</v>
      </c>
      <c r="V1009" s="27">
        <f>IF(Control_Achizitii!$C1009="",0,IF($Z$2&lt;&gt;"OK",0,IF(AND(ISNUMBER(Control_Achizitii!$B1009),Control_Achizitii!$B1009&gt;=$E$5,Control_Achizitii!$B1009&lt;$J$5+1,OR($O$5="Toate proiectele",Control_Achizitii!$Q1009=$O$5)),1,0)))</f>
        <v>0</v>
      </c>
      <c r="W1009" s="27">
        <f>IF(AND(V1009=1,OR(Control_Achizitii!$J1009&lt;&gt;"DOSAR COMPLET",Control_Achizitii!$K1009&lt;&gt;"")),ROW(),1000000000)</f>
        <v>1000000000</v>
      </c>
      <c r="X1009" s="27">
        <f>IF(AND(V1009=1,LEFT(Control_Achizitii!$E1009,4)="Fact",NOT(ISNUMBER(Control_Achizitii!$P1009))),1,0)</f>
        <v>0</v>
      </c>
      <c r="Y1009" s="27">
        <f>IF(V1009=0,0,IF(Control_Achizitii!$J1009="DOSAR COMPLET",1,IF(LEFT(Control_Achizitii!$J1009,9)="INCOMPLET",2,3)))</f>
        <v>0</v>
      </c>
      <c r="Z1009" s="27"/>
      <c r="AA1009" s="27"/>
      <c r="AB1009" s="27"/>
      <c r="AC1009" s="27"/>
      <c r="AD1009" s="27"/>
      <c r="AE1009" s="27"/>
      <c r="AF1009" s="27"/>
      <c r="AG1009" s="27"/>
      <c r="AH1009" s="27">
        <f>IF(AND(V1009=1,Control_Achizitii!$J1009="DOSAR COMPLET",Control_Achizitii!$K1009&lt;&gt;""),1,0)</f>
        <v>0</v>
      </c>
    </row>
    <row r="1010" spans="1:34">
      <c r="A1010" s="27"/>
      <c r="B1010" s="27"/>
      <c r="C1010" s="27"/>
      <c r="D1010" s="27"/>
      <c r="E1010" s="27"/>
      <c r="F1010" s="27"/>
      <c r="G1010" s="27"/>
      <c r="H1010" s="27"/>
      <c r="I1010" s="27"/>
      <c r="J1010" s="27"/>
      <c r="K1010" s="27"/>
      <c r="L1010" s="27"/>
      <c r="M1010" s="27"/>
      <c r="N1010" s="27"/>
      <c r="O1010" s="27"/>
      <c r="P1010" s="27"/>
      <c r="Q1010" s="27"/>
      <c r="R1010" s="27"/>
      <c r="S1010" s="27"/>
      <c r="T1010" s="27">
        <f>IF(LEFT(Control_Achizitii!$E1010,4)="Fact",1,0)</f>
        <v>0</v>
      </c>
      <c r="U1010" s="27">
        <f>IF(Control_Achizitii!$C1010="",0,IF(ISNUMBER(Control_Achizitii!$B1010),0,1))</f>
        <v>0</v>
      </c>
      <c r="V1010" s="27">
        <f>IF(Control_Achizitii!$C1010="",0,IF($Z$2&lt;&gt;"OK",0,IF(AND(ISNUMBER(Control_Achizitii!$B1010),Control_Achizitii!$B1010&gt;=$E$5,Control_Achizitii!$B1010&lt;$J$5+1,OR($O$5="Toate proiectele",Control_Achizitii!$Q1010=$O$5)),1,0)))</f>
        <v>0</v>
      </c>
      <c r="W1010" s="27">
        <f>IF(AND(V1010=1,OR(Control_Achizitii!$J1010&lt;&gt;"DOSAR COMPLET",Control_Achizitii!$K1010&lt;&gt;"")),ROW(),1000000000)</f>
        <v>1000000000</v>
      </c>
      <c r="X1010" s="27">
        <f>IF(AND(V1010=1,LEFT(Control_Achizitii!$E1010,4)="Fact",NOT(ISNUMBER(Control_Achizitii!$P1010))),1,0)</f>
        <v>0</v>
      </c>
      <c r="Y1010" s="27">
        <f>IF(V1010=0,0,IF(Control_Achizitii!$J1010="DOSAR COMPLET",1,IF(LEFT(Control_Achizitii!$J1010,9)="INCOMPLET",2,3)))</f>
        <v>0</v>
      </c>
      <c r="Z1010" s="27"/>
      <c r="AA1010" s="27"/>
      <c r="AB1010" s="27"/>
      <c r="AC1010" s="27"/>
      <c r="AD1010" s="27"/>
      <c r="AE1010" s="27"/>
      <c r="AF1010" s="27"/>
      <c r="AG1010" s="27"/>
      <c r="AH1010" s="27">
        <f>IF(AND(V1010=1,Control_Achizitii!$J1010="DOSAR COMPLET",Control_Achizitii!$K1010&lt;&gt;""),1,0)</f>
        <v>0</v>
      </c>
    </row>
    <row r="1011" spans="1:34">
      <c r="A1011" s="27"/>
      <c r="B1011" s="27"/>
      <c r="C1011" s="27"/>
      <c r="D1011" s="27"/>
      <c r="E1011" s="27"/>
      <c r="F1011" s="27"/>
      <c r="G1011" s="27"/>
      <c r="H1011" s="27"/>
      <c r="I1011" s="27"/>
      <c r="J1011" s="27"/>
      <c r="K1011" s="27"/>
      <c r="L1011" s="27"/>
      <c r="M1011" s="27"/>
      <c r="N1011" s="27"/>
      <c r="O1011" s="27"/>
      <c r="P1011" s="27"/>
      <c r="Q1011" s="27"/>
      <c r="R1011" s="27"/>
      <c r="S1011" s="27"/>
      <c r="T1011" s="27">
        <f>IF(LEFT(Control_Achizitii!$E1011,4)="Fact",1,0)</f>
        <v>0</v>
      </c>
      <c r="U1011" s="27">
        <f>IF(Control_Achizitii!$C1011="",0,IF(ISNUMBER(Control_Achizitii!$B1011),0,1))</f>
        <v>0</v>
      </c>
      <c r="V1011" s="27">
        <f>IF(Control_Achizitii!$C1011="",0,IF($Z$2&lt;&gt;"OK",0,IF(AND(ISNUMBER(Control_Achizitii!$B1011),Control_Achizitii!$B1011&gt;=$E$5,Control_Achizitii!$B1011&lt;$J$5+1,OR($O$5="Toate proiectele",Control_Achizitii!$Q1011=$O$5)),1,0)))</f>
        <v>0</v>
      </c>
      <c r="W1011" s="27">
        <f>IF(AND(V1011=1,OR(Control_Achizitii!$J1011&lt;&gt;"DOSAR COMPLET",Control_Achizitii!$K1011&lt;&gt;"")),ROW(),1000000000)</f>
        <v>1000000000</v>
      </c>
      <c r="X1011" s="27">
        <f>IF(AND(V1011=1,LEFT(Control_Achizitii!$E1011,4)="Fact",NOT(ISNUMBER(Control_Achizitii!$P1011))),1,0)</f>
        <v>0</v>
      </c>
      <c r="Y1011" s="27">
        <f>IF(V1011=0,0,IF(Control_Achizitii!$J1011="DOSAR COMPLET",1,IF(LEFT(Control_Achizitii!$J1011,9)="INCOMPLET",2,3)))</f>
        <v>0</v>
      </c>
      <c r="Z1011" s="27"/>
      <c r="AA1011" s="27"/>
      <c r="AB1011" s="27"/>
      <c r="AC1011" s="27"/>
      <c r="AD1011" s="27"/>
      <c r="AE1011" s="27"/>
      <c r="AF1011" s="27"/>
      <c r="AG1011" s="27"/>
      <c r="AH1011" s="27">
        <f>IF(AND(V1011=1,Control_Achizitii!$J1011="DOSAR COMPLET",Control_Achizitii!$K1011&lt;&gt;""),1,0)</f>
        <v>0</v>
      </c>
    </row>
    <row r="1012" spans="1:34">
      <c r="A1012" s="27"/>
      <c r="B1012" s="27"/>
      <c r="C1012" s="27"/>
      <c r="D1012" s="27"/>
      <c r="E1012" s="27"/>
      <c r="F1012" s="27"/>
      <c r="G1012" s="27"/>
      <c r="H1012" s="27"/>
      <c r="I1012" s="27"/>
      <c r="J1012" s="27"/>
      <c r="K1012" s="27"/>
      <c r="L1012" s="27"/>
      <c r="M1012" s="27"/>
      <c r="N1012" s="27"/>
      <c r="O1012" s="27"/>
      <c r="P1012" s="27"/>
      <c r="Q1012" s="27"/>
      <c r="R1012" s="27"/>
      <c r="S1012" s="27"/>
      <c r="T1012" s="27">
        <f>IF(LEFT(Control_Achizitii!$E1012,4)="Fact",1,0)</f>
        <v>0</v>
      </c>
      <c r="U1012" s="27">
        <f>IF(Control_Achizitii!$C1012="",0,IF(ISNUMBER(Control_Achizitii!$B1012),0,1))</f>
        <v>0</v>
      </c>
      <c r="V1012" s="27">
        <f>IF(Control_Achizitii!$C1012="",0,IF($Z$2&lt;&gt;"OK",0,IF(AND(ISNUMBER(Control_Achizitii!$B1012),Control_Achizitii!$B1012&gt;=$E$5,Control_Achizitii!$B1012&lt;$J$5+1,OR($O$5="Toate proiectele",Control_Achizitii!$Q1012=$O$5)),1,0)))</f>
        <v>0</v>
      </c>
      <c r="W1012" s="27">
        <f>IF(AND(V1012=1,OR(Control_Achizitii!$J1012&lt;&gt;"DOSAR COMPLET",Control_Achizitii!$K1012&lt;&gt;"")),ROW(),1000000000)</f>
        <v>1000000000</v>
      </c>
      <c r="X1012" s="27">
        <f>IF(AND(V1012=1,LEFT(Control_Achizitii!$E1012,4)="Fact",NOT(ISNUMBER(Control_Achizitii!$P1012))),1,0)</f>
        <v>0</v>
      </c>
      <c r="Y1012" s="27">
        <f>IF(V1012=0,0,IF(Control_Achizitii!$J1012="DOSAR COMPLET",1,IF(LEFT(Control_Achizitii!$J1012,9)="INCOMPLET",2,3)))</f>
        <v>0</v>
      </c>
      <c r="Z1012" s="27"/>
      <c r="AA1012" s="27"/>
      <c r="AB1012" s="27"/>
      <c r="AC1012" s="27"/>
      <c r="AD1012" s="27"/>
      <c r="AE1012" s="27"/>
      <c r="AF1012" s="27"/>
      <c r="AG1012" s="27"/>
      <c r="AH1012" s="27">
        <f>IF(AND(V1012=1,Control_Achizitii!$J1012="DOSAR COMPLET",Control_Achizitii!$K1012&lt;&gt;""),1,0)</f>
        <v>0</v>
      </c>
    </row>
  </sheetData>
  <mergeCells count="100">
    <mergeCell ref="B46:S46"/>
    <mergeCell ref="B47:G48"/>
    <mergeCell ref="I47:M48"/>
    <mergeCell ref="O47:S48"/>
    <mergeCell ref="B50:S50"/>
    <mergeCell ref="R44:S44"/>
    <mergeCell ref="B43:D43"/>
    <mergeCell ref="E43:G43"/>
    <mergeCell ref="H43:J43"/>
    <mergeCell ref="K43:M43"/>
    <mergeCell ref="N43:Q43"/>
    <mergeCell ref="R43:S43"/>
    <mergeCell ref="B44:D44"/>
    <mergeCell ref="E44:G44"/>
    <mergeCell ref="H44:J44"/>
    <mergeCell ref="K44:M44"/>
    <mergeCell ref="N44:Q44"/>
    <mergeCell ref="R42:S42"/>
    <mergeCell ref="B41:D41"/>
    <mergeCell ref="E41:G41"/>
    <mergeCell ref="H41:J41"/>
    <mergeCell ref="K41:M41"/>
    <mergeCell ref="N41:Q41"/>
    <mergeCell ref="R41:S41"/>
    <mergeCell ref="B42:D42"/>
    <mergeCell ref="E42:G42"/>
    <mergeCell ref="H42:J42"/>
    <mergeCell ref="K42:M42"/>
    <mergeCell ref="N42:Q42"/>
    <mergeCell ref="R40:S40"/>
    <mergeCell ref="B39:D39"/>
    <mergeCell ref="E39:G39"/>
    <mergeCell ref="H39:J39"/>
    <mergeCell ref="K39:M39"/>
    <mergeCell ref="N39:Q39"/>
    <mergeCell ref="R39:S39"/>
    <mergeCell ref="B40:D40"/>
    <mergeCell ref="E40:G40"/>
    <mergeCell ref="H40:J40"/>
    <mergeCell ref="K40:M40"/>
    <mergeCell ref="N40:Q40"/>
    <mergeCell ref="R38:S38"/>
    <mergeCell ref="B37:D37"/>
    <mergeCell ref="E37:G37"/>
    <mergeCell ref="H37:J37"/>
    <mergeCell ref="K37:M37"/>
    <mergeCell ref="N37:Q37"/>
    <mergeCell ref="R37:S37"/>
    <mergeCell ref="B38:D38"/>
    <mergeCell ref="E38:G38"/>
    <mergeCell ref="H38:J38"/>
    <mergeCell ref="K38:M38"/>
    <mergeCell ref="N38:Q38"/>
    <mergeCell ref="R36:S36"/>
    <mergeCell ref="B35:D35"/>
    <mergeCell ref="E35:G35"/>
    <mergeCell ref="H35:J35"/>
    <mergeCell ref="K35:M35"/>
    <mergeCell ref="N35:Q35"/>
    <mergeCell ref="R35:S35"/>
    <mergeCell ref="B36:D36"/>
    <mergeCell ref="E36:G36"/>
    <mergeCell ref="H36:J36"/>
    <mergeCell ref="K36:M36"/>
    <mergeCell ref="N36:Q36"/>
    <mergeCell ref="R34:S34"/>
    <mergeCell ref="B16:S17"/>
    <mergeCell ref="B18:S18"/>
    <mergeCell ref="B20:J20"/>
    <mergeCell ref="L20:S20"/>
    <mergeCell ref="B32:S32"/>
    <mergeCell ref="B33:S33"/>
    <mergeCell ref="B34:D34"/>
    <mergeCell ref="E34:G34"/>
    <mergeCell ref="H34:J34"/>
    <mergeCell ref="K34:M34"/>
    <mergeCell ref="N34:Q34"/>
    <mergeCell ref="Q12:S12"/>
    <mergeCell ref="Q13:S14"/>
    <mergeCell ref="B6:S6"/>
    <mergeCell ref="B8:G8"/>
    <mergeCell ref="B9:G10"/>
    <mergeCell ref="I8:S8"/>
    <mergeCell ref="I9:S10"/>
    <mergeCell ref="B12:E12"/>
    <mergeCell ref="B13:E14"/>
    <mergeCell ref="G12:J12"/>
    <mergeCell ref="G13:J14"/>
    <mergeCell ref="L12:O12"/>
    <mergeCell ref="L13:O14"/>
    <mergeCell ref="B2:S2"/>
    <mergeCell ref="B3:F3"/>
    <mergeCell ref="H3:L3"/>
    <mergeCell ref="N3:S3"/>
    <mergeCell ref="B5:D5"/>
    <mergeCell ref="E5:G5"/>
    <mergeCell ref="H5:I5"/>
    <mergeCell ref="J5:L5"/>
    <mergeCell ref="M5:N5"/>
    <mergeCell ref="O5:S5"/>
  </mergeCells>
  <conditionalFormatting sqref="B16:S17">
    <cfRule type="expression" dxfId="379" priority="1" stopIfTrue="1">
      <formula>SUM($AH$13:$AH$1012)&gt;0</formula>
    </cfRule>
  </conditionalFormatting>
  <dataValidations count="1">
    <dataValidation type="list" showInputMessage="1" showErrorMessage="1" errorTitle="Selectati un proiect" error="Alegeti un proiect din lista. Actualizati dashboardul pentru proiectele noi." sqref="O5:S5" xr:uid="{06C91A2D-9D9B-4052-9364-62F47F6530CB}">
      <formula1>$AF$2:$AF$5</formula1>
    </dataValidation>
  </dataValidations>
  <printOptions horizontalCentered="1"/>
  <pageMargins left="0.7" right="0.7" top="0.75" bottom="0.75" header="0.3" footer="0.3"/>
  <pageSetup paperSize="9" scale="36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A513"/>
  <sheetViews>
    <sheetView showGridLines="0" zoomScale="85" workbookViewId="0">
      <pane xSplit="4" ySplit="12" topLeftCell="E13" activePane="bottomRight" state="frozen"/>
      <selection pane="bottomRight" activeCell="E13" sqref="E13"/>
    </sheetView>
  </sheetViews>
  <sheetFormatPr defaultRowHeight="14.4"/>
  <cols>
    <col min="1" max="1" width="6.77734375" customWidth="1"/>
    <col min="2" max="2" width="12.77734375" customWidth="1"/>
    <col min="3" max="3" width="25.77734375" customWidth="1"/>
    <col min="4" max="4" width="17.77734375" customWidth="1"/>
    <col min="5" max="5" width="23.77734375" customWidth="1"/>
    <col min="6" max="6" width="19.77734375" customWidth="1"/>
    <col min="7" max="7" width="22.77734375" customWidth="1"/>
    <col min="8" max="8" width="21.77734375" customWidth="1"/>
    <col min="9" max="9" width="18.77734375" customWidth="1"/>
    <col min="10" max="10" width="31.77734375" customWidth="1"/>
    <col min="11" max="11" width="30.77734375" customWidth="1"/>
    <col min="12" max="12" width="34.77734375" customWidth="1"/>
    <col min="13" max="13" width="14.77734375" customWidth="1"/>
    <col min="14" max="27" width="18" hidden="1" customWidth="1"/>
  </cols>
  <sheetData>
    <row r="1" spans="1:27" ht="42" customHeight="1">
      <c r="A1" s="157" t="s">
        <v>9</v>
      </c>
      <c r="B1" s="157"/>
      <c r="C1" s="157"/>
      <c r="D1" s="157"/>
      <c r="E1" s="157"/>
      <c r="F1" s="157"/>
      <c r="G1" s="157"/>
      <c r="H1" s="157"/>
      <c r="I1" s="157"/>
      <c r="J1" s="157"/>
      <c r="K1" s="157"/>
      <c r="L1" s="157"/>
      <c r="M1" s="157"/>
      <c r="N1" s="22"/>
      <c r="O1" s="22"/>
      <c r="P1" s="22"/>
      <c r="Q1" s="22"/>
      <c r="R1" s="22"/>
      <c r="S1" s="22"/>
      <c r="T1" s="22"/>
      <c r="U1" s="22"/>
      <c r="V1" s="22"/>
      <c r="W1" s="22"/>
      <c r="X1" s="22"/>
      <c r="Y1" s="22"/>
      <c r="Z1" s="22"/>
      <c r="AA1" s="22"/>
    </row>
    <row r="2" spans="1:27" ht="22.95" customHeight="1">
      <c r="A2" s="158" t="s">
        <v>34</v>
      </c>
      <c r="B2" s="158"/>
      <c r="C2" s="158"/>
      <c r="D2" s="158"/>
      <c r="E2" s="158"/>
      <c r="F2" s="158"/>
      <c r="G2" s="158"/>
      <c r="H2" s="158"/>
      <c r="I2" s="158"/>
      <c r="J2" s="158"/>
      <c r="K2" s="158"/>
      <c r="L2" s="158"/>
      <c r="M2" s="158"/>
      <c r="N2" s="22"/>
      <c r="O2" s="22"/>
      <c r="P2" s="22"/>
      <c r="Q2" s="22"/>
      <c r="R2" s="22"/>
      <c r="S2" s="22"/>
      <c r="T2" s="22"/>
      <c r="U2" s="22"/>
      <c r="V2" s="22"/>
      <c r="W2" s="22"/>
      <c r="X2" s="22"/>
      <c r="Y2" s="22"/>
      <c r="Z2" s="22"/>
      <c r="AA2" s="22"/>
    </row>
    <row r="3" spans="1:27" ht="15" customHeight="1">
      <c r="A3" s="22"/>
      <c r="B3" s="22"/>
      <c r="C3" s="22"/>
      <c r="D3" s="22"/>
      <c r="E3" s="22"/>
      <c r="F3" s="22"/>
      <c r="G3" s="22"/>
      <c r="H3" s="22"/>
      <c r="I3" s="22"/>
      <c r="J3" s="22"/>
      <c r="K3" s="22"/>
      <c r="L3" s="22"/>
      <c r="M3" s="22"/>
      <c r="N3" s="22"/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  <c r="Z3" s="22"/>
      <c r="AA3" s="22"/>
    </row>
    <row r="4" spans="1:27" ht="15" customHeight="1">
      <c r="A4" s="159" t="s">
        <v>35</v>
      </c>
      <c r="B4" s="159"/>
      <c r="C4" s="159"/>
      <c r="D4" s="159"/>
      <c r="E4" s="22"/>
      <c r="F4" s="160" t="s">
        <v>3</v>
      </c>
      <c r="G4" s="160"/>
      <c r="H4" s="160"/>
      <c r="I4" s="160"/>
      <c r="J4" s="160"/>
      <c r="K4" s="160"/>
      <c r="L4" s="160"/>
      <c r="M4" s="160"/>
      <c r="N4" s="22"/>
      <c r="O4" s="22"/>
      <c r="P4" s="22"/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</row>
    <row r="5" spans="1:27" ht="28.05" customHeight="1">
      <c r="A5" s="28" t="s">
        <v>0</v>
      </c>
      <c r="B5" s="154"/>
      <c r="C5" s="155"/>
      <c r="D5" s="156"/>
      <c r="E5" s="22"/>
      <c r="F5" s="148" t="str">
        <f>"TOTAL ÎNREGISTRARI"&amp;CHAR(13)&amp;CHAR(10)&amp;COUNTA($C$13:$C$500)</f>
        <v>TOTAL ÎNREGISTRARI_x000D_
4</v>
      </c>
      <c r="G5" s="149"/>
      <c r="H5" s="150" t="str">
        <f>"DOSARE COMPLETE"&amp;CHAR(13)&amp;CHAR(10)&amp;COUNTIF($J$13:$J$500,"DOSAR COMPLET")</f>
        <v>DOSARE COMPLETE_x000D_
0</v>
      </c>
      <c r="I5" s="150"/>
      <c r="J5" s="151" t="str">
        <f>"DOSARE INCOMPLETE"&amp;CHAR(13)&amp;CHAR(10)&amp;(COUNTA($C$13:$C$500)-COUNTIF($J$13:$J$500,"DOSAR COMPLET"))</f>
        <v>DOSARE INCOMPLETE_x000D_
4</v>
      </c>
      <c r="K5" s="151"/>
      <c r="L5" s="152" t="str">
        <f>"AVIZE OBLIGATORII"&amp;CHAR(13)&amp;CHAR(10)&amp;COUNTIF($F$13:$F$500,"OBLIGATORIU AVIZ")</f>
        <v>AVIZE OBLIGATORII_x000D_
0</v>
      </c>
      <c r="M5" s="152"/>
      <c r="N5" s="22"/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22"/>
      <c r="AA5" s="22"/>
    </row>
    <row r="6" spans="1:27" ht="28.05" customHeight="1">
      <c r="A6" s="28" t="s">
        <v>1</v>
      </c>
      <c r="B6" s="154"/>
      <c r="C6" s="155"/>
      <c r="D6" s="156"/>
      <c r="E6" s="22"/>
      <c r="F6" s="149"/>
      <c r="G6" s="149"/>
      <c r="H6" s="150"/>
      <c r="I6" s="150"/>
      <c r="J6" s="151"/>
      <c r="K6" s="151"/>
      <c r="L6" s="152"/>
      <c r="M6" s="152"/>
      <c r="N6" s="22"/>
      <c r="O6" s="22"/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</row>
    <row r="7" spans="1:27" ht="28.05" customHeight="1">
      <c r="A7" s="28" t="s">
        <v>2</v>
      </c>
      <c r="B7" s="154"/>
      <c r="C7" s="155"/>
      <c r="D7" s="156"/>
      <c r="E7" s="22"/>
      <c r="F7" s="149"/>
      <c r="G7" s="149"/>
      <c r="H7" s="150"/>
      <c r="I7" s="150"/>
      <c r="J7" s="151"/>
      <c r="K7" s="151"/>
      <c r="L7" s="152"/>
      <c r="M7" s="152"/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</row>
    <row r="8" spans="1:27" ht="28.05" customHeight="1">
      <c r="A8" s="28" t="s">
        <v>10</v>
      </c>
      <c r="B8" s="154"/>
      <c r="C8" s="155"/>
      <c r="D8" s="156"/>
      <c r="E8" s="22"/>
      <c r="F8" s="22"/>
      <c r="G8" s="22"/>
      <c r="H8" s="22"/>
      <c r="I8" s="22"/>
      <c r="J8" s="22"/>
      <c r="K8" s="22"/>
      <c r="L8" s="22"/>
      <c r="M8" s="22"/>
      <c r="N8" s="22"/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</row>
    <row r="9" spans="1:27" ht="28.05" customHeight="1">
      <c r="A9" s="28" t="s">
        <v>11</v>
      </c>
      <c r="B9" s="154"/>
      <c r="C9" s="155"/>
      <c r="D9" s="156"/>
      <c r="E9" s="22"/>
      <c r="F9" s="153" t="s">
        <v>36</v>
      </c>
      <c r="G9" s="153"/>
      <c r="H9" s="153"/>
      <c r="I9" s="153"/>
      <c r="J9" s="153"/>
      <c r="K9" s="153"/>
      <c r="L9" s="153"/>
      <c r="M9" s="153"/>
      <c r="N9" s="22"/>
      <c r="O9" s="22"/>
      <c r="P9" s="22"/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</row>
    <row r="10" spans="1:27" ht="28.05" customHeight="1">
      <c r="A10" s="28" t="s">
        <v>12</v>
      </c>
      <c r="B10" s="154"/>
      <c r="C10" s="155"/>
      <c r="D10" s="156"/>
      <c r="E10" s="22"/>
      <c r="F10" s="22"/>
      <c r="G10" s="22"/>
      <c r="H10" s="22"/>
      <c r="I10" s="22"/>
      <c r="J10" s="22"/>
      <c r="K10" s="22"/>
      <c r="L10" s="22"/>
      <c r="M10" s="22"/>
      <c r="N10" s="22"/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22"/>
      <c r="Z10" s="22"/>
      <c r="AA10" s="22"/>
    </row>
    <row r="11" spans="1:27" ht="28.05" customHeight="1">
      <c r="A11" s="28" t="s">
        <v>13</v>
      </c>
      <c r="B11" s="145"/>
      <c r="C11" s="146"/>
      <c r="D11" s="147"/>
      <c r="E11" s="22"/>
      <c r="F11" s="22"/>
      <c r="G11" s="22"/>
      <c r="H11" s="22"/>
      <c r="I11" s="22"/>
      <c r="J11" s="22"/>
      <c r="K11" s="22"/>
      <c r="L11" s="22"/>
      <c r="M11" s="22"/>
      <c r="N11" s="22"/>
      <c r="O11" s="22"/>
      <c r="P11" s="22"/>
      <c r="Q11" s="22"/>
      <c r="R11" s="22" t="s">
        <v>37</v>
      </c>
      <c r="S11" s="22"/>
      <c r="T11" s="22"/>
      <c r="U11" s="22"/>
      <c r="V11" s="22"/>
      <c r="W11" s="22"/>
      <c r="X11" s="22"/>
      <c r="Y11" s="22"/>
      <c r="Z11" s="22"/>
      <c r="AA11" s="22" t="s">
        <v>38</v>
      </c>
    </row>
    <row r="12" spans="1:27" ht="40.049999999999997" customHeight="1">
      <c r="A12" s="29" t="s">
        <v>4</v>
      </c>
      <c r="B12" s="29" t="s">
        <v>5</v>
      </c>
      <c r="C12" s="29" t="s">
        <v>0</v>
      </c>
      <c r="D12" s="29" t="s">
        <v>1</v>
      </c>
      <c r="E12" s="29" t="s">
        <v>6</v>
      </c>
      <c r="F12" s="29" t="s">
        <v>39</v>
      </c>
      <c r="G12" s="29" t="s">
        <v>10</v>
      </c>
      <c r="H12" s="29" t="s">
        <v>11</v>
      </c>
      <c r="I12" s="29" t="s">
        <v>17</v>
      </c>
      <c r="J12" s="29" t="s">
        <v>7</v>
      </c>
      <c r="K12" s="29" t="s">
        <v>8</v>
      </c>
      <c r="L12" s="29" t="s">
        <v>13</v>
      </c>
      <c r="M12" s="29" t="s">
        <v>40</v>
      </c>
      <c r="N12" s="22" t="s">
        <v>14</v>
      </c>
      <c r="O12" s="22" t="s">
        <v>41</v>
      </c>
      <c r="P12" s="22" t="s">
        <v>15</v>
      </c>
      <c r="Q12" s="22" t="s">
        <v>16</v>
      </c>
      <c r="R12" s="22" t="s">
        <v>42</v>
      </c>
      <c r="S12" s="22" t="s">
        <v>43</v>
      </c>
      <c r="T12" s="22" t="s">
        <v>44</v>
      </c>
      <c r="U12" s="22" t="s">
        <v>45</v>
      </c>
      <c r="V12" s="22" t="s">
        <v>46</v>
      </c>
      <c r="W12" s="22" t="s">
        <v>47</v>
      </c>
      <c r="X12" s="22" t="s">
        <v>48</v>
      </c>
      <c r="Y12" s="22" t="s">
        <v>49</v>
      </c>
      <c r="Z12" s="22" t="s">
        <v>50</v>
      </c>
      <c r="AA12" s="22"/>
    </row>
    <row r="13" spans="1:27" ht="34.049999999999997" customHeight="1">
      <c r="A13" s="32">
        <v>1</v>
      </c>
      <c r="B13" s="33">
        <v>46302</v>
      </c>
      <c r="C13" s="30" t="s">
        <v>20</v>
      </c>
      <c r="D13" s="30" t="s">
        <v>21</v>
      </c>
      <c r="E13" s="30" t="s">
        <v>22</v>
      </c>
      <c r="F13" s="32" t="str">
        <f>IF(C13="","",IF(T13&lt;&gt;"Confirmata","DE CONFIRMAT",IF(U13=1,"OBLIGATORIU AVIZ","NU")))</f>
        <v>DE CONFIRMAT</v>
      </c>
      <c r="G13" s="30" t="s">
        <v>23</v>
      </c>
      <c r="H13" s="30" t="s">
        <v>24</v>
      </c>
      <c r="I13" s="30" t="s">
        <v>24</v>
      </c>
      <c r="J13" s="32" t="str">
        <f>IF(C13="","",IF(K13="","DOSAR COMPLET","INCOMPLET - VERIFICARE DOCUMENTE"))</f>
        <v>INCOMPLET - VERIFICARE DOCUMENTE</v>
      </c>
      <c r="K13" s="30" t="str">
        <f>IF(C13="","",IF(Y13="","",LEFT(Y13,LEN(Y13)-2)))</f>
        <v>Confirmati regulile documentelor</v>
      </c>
      <c r="L13" s="30"/>
      <c r="M13" s="30"/>
      <c r="N13" s="22" t="s">
        <v>19</v>
      </c>
      <c r="O13" s="25">
        <v>46301</v>
      </c>
      <c r="P13" s="26">
        <v>10</v>
      </c>
      <c r="Q13" s="22" t="s">
        <v>18</v>
      </c>
      <c r="R13" s="22" t="s">
        <v>51</v>
      </c>
      <c r="S13" s="22" t="str">
        <f>IF(C13="","",IF(LEFT(LOWER(D13),4)="furn","Furnizor",IF(LEFT(LOWER(D13),4)="prod","Producator",IF(LEFT(LOWER(D13),4)="pres","Prestator",IF(LEFT(LOWER(D13),3)="alt","Alt partener",D13))))&amp;"|"&amp;IF(LEFT(LOWER(E13),4)="doar","Doar Aviz",IF(LEFT(LOWER(E13),4)="fact","Factura",E13)))</f>
        <v>Furnizor|Factura</v>
      </c>
      <c r="T13" s="22" t="str">
        <f>IF(C13="","",IF(COUNTIF(tTQMReguliDoc[Cheie_regula],S13)&lt;&gt;1,"REGULA NECONFIGURATA",IF(COUNTIFS(tTQMReguliDoc[Cheie_regula],S13,tTQMReguliDoc[Stare],"Confirmata")=1,"Confirmata","De confirmat")))</f>
        <v>De confirmat</v>
      </c>
      <c r="U13" s="22">
        <f>IF(OR(C13="",T13&lt;&gt;"Confirmata"),0,IF(COUNTIFS(tTQMReguliDoc[Cheie_regula],S13,tTQMReguliDoc[Aviz],"Da")=1,1,0))</f>
        <v>0</v>
      </c>
      <c r="V13" s="22">
        <f>IF(OR(C13="",T13&lt;&gt;"Confirmata"),0,IF(COUNTIFS(tTQMReguliDoc[Cheie_regula],S13,tTQMReguliDoc[Decl_conformitate],"Da")=1,1,0))</f>
        <v>0</v>
      </c>
      <c r="W13" s="22">
        <f>IF(OR(C13="",T13&lt;&gt;"Confirmata"),0,IF(COUNTIFS(tTQMReguliDoc[Cheie_regula],S13,tTQMReguliDoc[Decl_producator],"Da")=1,1,0))</f>
        <v>0</v>
      </c>
      <c r="X13" s="22">
        <f>IF(OR(C13="",T13&lt;&gt;"Confirmata"),0,IF(COUNTIFS(tTQMReguliDoc[Cheie_regula],S13,tTQMReguliDoc[Fise_tehnice],"Da")=1,1,0))</f>
        <v>0</v>
      </c>
      <c r="Y13" s="22" t="str">
        <f>IF(C13="","",IF(T13&lt;&gt;"Confirmata","Confirmati regulile documentelor; ",IF(AND(U13=1,Z13&lt;&gt;"Primit"),"Aviz; ","")&amp;IF(AND(V13=1,G13&lt;&gt;"Primit"),"Declaratie conformitate; ","")&amp;IF(AND(W13=1,H13&lt;&gt;"Primit"),"Declaratie producator; ","")&amp;IF(AND(X13=1,I13&lt;&gt;"Primit"),"Fise tehnice; ","")))</f>
        <v xml:space="preserve">Confirmati regulile documentelor; </v>
      </c>
      <c r="Z13" s="22"/>
      <c r="AA13" s="22"/>
    </row>
    <row r="14" spans="1:27" ht="34.049999999999997" customHeight="1">
      <c r="A14" s="32">
        <v>2</v>
      </c>
      <c r="B14" s="33">
        <v>46302</v>
      </c>
      <c r="C14" s="30" t="s">
        <v>25</v>
      </c>
      <c r="D14" s="30" t="s">
        <v>21</v>
      </c>
      <c r="E14" s="30" t="s">
        <v>26</v>
      </c>
      <c r="F14" s="32" t="str">
        <f t="shared" ref="F14:F77" si="0">IF(C14="","",IF(T14&lt;&gt;"Confirmata","DE CONFIRMAT",IF(U14=1,"OBLIGATORIU AVIZ","NU")))</f>
        <v>DE CONFIRMAT</v>
      </c>
      <c r="G14" s="30" t="s">
        <v>23</v>
      </c>
      <c r="H14" s="30" t="s">
        <v>24</v>
      </c>
      <c r="I14" s="30" t="s">
        <v>23</v>
      </c>
      <c r="J14" s="32" t="str">
        <f t="shared" ref="J14:J77" si="1">IF(C14="","",IF(K14="","DOSAR COMPLET","INCOMPLET - VERIFICARE DOCUMENTE"))</f>
        <v>INCOMPLET - VERIFICARE DOCUMENTE</v>
      </c>
      <c r="K14" s="30" t="str">
        <f t="shared" ref="K14:K77" si="2">IF(C14="","",IF(Y14="","",LEFT(Y14,LEN(Y14)-2)))</f>
        <v>Confirmati regulile documentelor</v>
      </c>
      <c r="L14" s="30"/>
      <c r="M14" s="30"/>
      <c r="N14" s="22" t="s">
        <v>27</v>
      </c>
      <c r="O14" s="25">
        <v>45695</v>
      </c>
      <c r="P14" s="26">
        <v>10000</v>
      </c>
      <c r="Q14" s="22" t="s">
        <v>28</v>
      </c>
      <c r="R14" s="22" t="s">
        <v>52</v>
      </c>
      <c r="S14" s="22" t="str">
        <f t="shared" ref="S14:S77" si="3">IF(C14="","",IF(LEFT(LOWER(D14),4)="furn","Furnizor",IF(LEFT(LOWER(D14),4)="prod","Producator",IF(LEFT(LOWER(D14),4)="pres","Prestator",IF(LEFT(LOWER(D14),3)="alt","Alt partener",D14))))&amp;"|"&amp;IF(LEFT(LOWER(E14),4)="doar","Doar Aviz",IF(LEFT(LOWER(E14),4)="fact","Factura",E14)))</f>
        <v>Furnizor|Doar Aviz</v>
      </c>
      <c r="T14" s="22" t="str">
        <f>IF(C14="","",IF(COUNTIF(tTQMReguliDoc[Cheie_regula],S14)&lt;&gt;1,"REGULA NECONFIGURATA",IF(COUNTIFS(tTQMReguliDoc[Cheie_regula],S14,tTQMReguliDoc[Stare],"Confirmata")=1,"Confirmata","De confirmat")))</f>
        <v>De confirmat</v>
      </c>
      <c r="U14" s="22">
        <f>IF(OR(C14="",T14&lt;&gt;"Confirmata"),0,IF(COUNTIFS(tTQMReguliDoc[Cheie_regula],S14,tTQMReguliDoc[Aviz],"Da")=1,1,0))</f>
        <v>0</v>
      </c>
      <c r="V14" s="22">
        <f>IF(OR(C14="",T14&lt;&gt;"Confirmata"),0,IF(COUNTIFS(tTQMReguliDoc[Cheie_regula],S14,tTQMReguliDoc[Decl_conformitate],"Da")=1,1,0))</f>
        <v>0</v>
      </c>
      <c r="W14" s="22">
        <f>IF(OR(C14="",T14&lt;&gt;"Confirmata"),0,IF(COUNTIFS(tTQMReguliDoc[Cheie_regula],S14,tTQMReguliDoc[Decl_producator],"Da")=1,1,0))</f>
        <v>0</v>
      </c>
      <c r="X14" s="22">
        <f>IF(OR(C14="",T14&lt;&gt;"Confirmata"),0,IF(COUNTIFS(tTQMReguliDoc[Cheie_regula],S14,tTQMReguliDoc[Fise_tehnice],"Da")=1,1,0))</f>
        <v>0</v>
      </c>
      <c r="Y14" s="22" t="str">
        <f t="shared" ref="Y14:Y77" si="4">IF(C14="","",IF(T14&lt;&gt;"Confirmata","Confirmati regulile documentelor; ",IF(AND(U14=1,Z14&lt;&gt;"Primit"),"Aviz; ","")&amp;IF(AND(V14=1,G14&lt;&gt;"Primit"),"Declaratie conformitate; ","")&amp;IF(AND(W14=1,H14&lt;&gt;"Primit"),"Declaratie producator; ","")&amp;IF(AND(X14=1,I14&lt;&gt;"Primit"),"Fise tehnice; ","")))</f>
        <v xml:space="preserve">Confirmati regulile documentelor; </v>
      </c>
      <c r="Z14" s="22"/>
      <c r="AA14" s="22"/>
    </row>
    <row r="15" spans="1:27" ht="34.049999999999997" customHeight="1">
      <c r="A15" s="32">
        <v>3</v>
      </c>
      <c r="B15" s="33">
        <v>46302</v>
      </c>
      <c r="C15" s="30" t="s">
        <v>31</v>
      </c>
      <c r="D15" s="30" t="s">
        <v>29</v>
      </c>
      <c r="E15" s="30" t="s">
        <v>22</v>
      </c>
      <c r="F15" s="32" t="str">
        <f t="shared" si="0"/>
        <v>DE CONFIRMAT</v>
      </c>
      <c r="G15" s="30" t="s">
        <v>30</v>
      </c>
      <c r="H15" s="30" t="s">
        <v>30</v>
      </c>
      <c r="I15" s="30" t="s">
        <v>23</v>
      </c>
      <c r="J15" s="32" t="str">
        <f t="shared" si="1"/>
        <v>INCOMPLET - VERIFICARE DOCUMENTE</v>
      </c>
      <c r="K15" s="30" t="str">
        <f t="shared" si="2"/>
        <v>Confirmati regulile documentelor</v>
      </c>
      <c r="L15" s="30"/>
      <c r="M15" s="30"/>
      <c r="N15" s="22" t="s">
        <v>32</v>
      </c>
      <c r="O15" s="25">
        <v>45666</v>
      </c>
      <c r="P15" s="26">
        <v>921632.43</v>
      </c>
      <c r="Q15" s="22" t="s">
        <v>33</v>
      </c>
      <c r="R15" s="22" t="s">
        <v>53</v>
      </c>
      <c r="S15" s="22" t="str">
        <f t="shared" si="3"/>
        <v>Producator|Factura</v>
      </c>
      <c r="T15" s="22" t="str">
        <f>IF(C15="","",IF(COUNTIF(tTQMReguliDoc[Cheie_regula],S15)&lt;&gt;1,"REGULA NECONFIGURATA",IF(COUNTIFS(tTQMReguliDoc[Cheie_regula],S15,tTQMReguliDoc[Stare],"Confirmata")=1,"Confirmata","De confirmat")))</f>
        <v>De confirmat</v>
      </c>
      <c r="U15" s="22">
        <f>IF(OR(C15="",T15&lt;&gt;"Confirmata"),0,IF(COUNTIFS(tTQMReguliDoc[Cheie_regula],S15,tTQMReguliDoc[Aviz],"Da")=1,1,0))</f>
        <v>0</v>
      </c>
      <c r="V15" s="22">
        <f>IF(OR(C15="",T15&lt;&gt;"Confirmata"),0,IF(COUNTIFS(tTQMReguliDoc[Cheie_regula],S15,tTQMReguliDoc[Decl_conformitate],"Da")=1,1,0))</f>
        <v>0</v>
      </c>
      <c r="W15" s="22">
        <f>IF(OR(C15="",T15&lt;&gt;"Confirmata"),0,IF(COUNTIFS(tTQMReguliDoc[Cheie_regula],S15,tTQMReguliDoc[Decl_producator],"Da")=1,1,0))</f>
        <v>0</v>
      </c>
      <c r="X15" s="22">
        <f>IF(OR(C15="",T15&lt;&gt;"Confirmata"),0,IF(COUNTIFS(tTQMReguliDoc[Cheie_regula],S15,tTQMReguliDoc[Fise_tehnice],"Da")=1,1,0))</f>
        <v>0</v>
      </c>
      <c r="Y15" s="22" t="str">
        <f t="shared" si="4"/>
        <v xml:space="preserve">Confirmati regulile documentelor; </v>
      </c>
      <c r="Z15" s="22"/>
      <c r="AA15" s="22"/>
    </row>
    <row r="16" spans="1:27" ht="34.049999999999997" customHeight="1">
      <c r="A16" s="32">
        <v>4</v>
      </c>
      <c r="B16" s="33">
        <v>46308</v>
      </c>
      <c r="C16" s="30" t="s">
        <v>1290</v>
      </c>
      <c r="D16" s="30" t="s">
        <v>21</v>
      </c>
      <c r="E16" s="30" t="s">
        <v>22</v>
      </c>
      <c r="F16" s="32" t="str">
        <f t="shared" si="0"/>
        <v>DE CONFIRMAT</v>
      </c>
      <c r="G16" s="30" t="s">
        <v>23</v>
      </c>
      <c r="H16" s="30" t="s">
        <v>30</v>
      </c>
      <c r="I16" s="30" t="s">
        <v>23</v>
      </c>
      <c r="J16" s="32" t="str">
        <f t="shared" si="1"/>
        <v>INCOMPLET - VERIFICARE DOCUMENTE</v>
      </c>
      <c r="K16" s="30" t="str">
        <f t="shared" si="2"/>
        <v>Confirmati regulile documentelor</v>
      </c>
      <c r="L16" s="30"/>
      <c r="M16" s="30"/>
      <c r="N16" s="22"/>
      <c r="O16" s="25"/>
      <c r="P16" s="26"/>
      <c r="Q16" s="22"/>
      <c r="R16" s="120" t="s">
        <v>1291</v>
      </c>
      <c r="S16" s="22" t="str">
        <f t="shared" si="3"/>
        <v>Furnizor|Factura</v>
      </c>
      <c r="T16" s="22" t="str">
        <f>IF(C16="","",IF(COUNTIF(tTQMReguliDoc[Cheie_regula],S16)&lt;&gt;1,"REGULA NECONFIGURATA",IF(COUNTIFS(tTQMReguliDoc[Cheie_regula],S16,tTQMReguliDoc[Stare],"Confirmata")=1,"Confirmata","De confirmat")))</f>
        <v>De confirmat</v>
      </c>
      <c r="U16" s="22">
        <f>IF(OR(C16="",T16&lt;&gt;"Confirmata"),0,IF(COUNTIFS(tTQMReguliDoc[Cheie_regula],S16,tTQMReguliDoc[Aviz],"Da")=1,1,0))</f>
        <v>0</v>
      </c>
      <c r="V16" s="22">
        <f>IF(OR(C16="",T16&lt;&gt;"Confirmata"),0,IF(COUNTIFS(tTQMReguliDoc[Cheie_regula],S16,tTQMReguliDoc[Decl_conformitate],"Da")=1,1,0))</f>
        <v>0</v>
      </c>
      <c r="W16" s="22">
        <f>IF(OR(C16="",T16&lt;&gt;"Confirmata"),0,IF(COUNTIFS(tTQMReguliDoc[Cheie_regula],S16,tTQMReguliDoc[Decl_producator],"Da")=1,1,0))</f>
        <v>0</v>
      </c>
      <c r="X16" s="22">
        <f>IF(OR(C16="",T16&lt;&gt;"Confirmata"),0,IF(COUNTIFS(tTQMReguliDoc[Cheie_regula],S16,tTQMReguliDoc[Fise_tehnice],"Da")=1,1,0))</f>
        <v>0</v>
      </c>
      <c r="Y16" s="22" t="str">
        <f t="shared" si="4"/>
        <v xml:space="preserve">Confirmati regulile documentelor; </v>
      </c>
      <c r="Z16" s="22"/>
      <c r="AA16" s="22"/>
    </row>
    <row r="17" spans="1:27" ht="15" customHeight="1">
      <c r="A17" s="30"/>
      <c r="B17" s="31"/>
      <c r="C17" s="30"/>
      <c r="D17" s="30"/>
      <c r="E17" s="30"/>
      <c r="F17" s="32" t="str">
        <f t="shared" si="0"/>
        <v/>
      </c>
      <c r="G17" s="30"/>
      <c r="H17" s="30"/>
      <c r="I17" s="30"/>
      <c r="J17" s="32" t="str">
        <f t="shared" si="1"/>
        <v/>
      </c>
      <c r="K17" s="30" t="str">
        <f t="shared" si="2"/>
        <v/>
      </c>
      <c r="L17" s="30"/>
      <c r="M17" s="30"/>
      <c r="N17" s="22"/>
      <c r="O17" s="25"/>
      <c r="P17" s="26"/>
      <c r="Q17" s="22"/>
      <c r="R17" s="22"/>
      <c r="S17" s="22" t="str">
        <f t="shared" si="3"/>
        <v/>
      </c>
      <c r="T17" s="22" t="str">
        <f>IF(C17="","",IF(COUNTIF(tTQMReguliDoc[Cheie_regula],S17)&lt;&gt;1,"REGULA NECONFIGURATA",IF(COUNTIFS(tTQMReguliDoc[Cheie_regula],S17,tTQMReguliDoc[Stare],"Confirmata")=1,"Confirmata","De confirmat")))</f>
        <v/>
      </c>
      <c r="U17" s="22">
        <f>IF(OR(C17="",T17&lt;&gt;"Confirmata"),0,IF(COUNTIFS(tTQMReguliDoc[Cheie_regula],S17,tTQMReguliDoc[Aviz],"Da")=1,1,0))</f>
        <v>0</v>
      </c>
      <c r="V17" s="22">
        <f>IF(OR(C17="",T17&lt;&gt;"Confirmata"),0,IF(COUNTIFS(tTQMReguliDoc[Cheie_regula],S17,tTQMReguliDoc[Decl_conformitate],"Da")=1,1,0))</f>
        <v>0</v>
      </c>
      <c r="W17" s="22">
        <f>IF(OR(C17="",T17&lt;&gt;"Confirmata"),0,IF(COUNTIFS(tTQMReguliDoc[Cheie_regula],S17,tTQMReguliDoc[Decl_producator],"Da")=1,1,0))</f>
        <v>0</v>
      </c>
      <c r="X17" s="22">
        <f>IF(OR(C17="",T17&lt;&gt;"Confirmata"),0,IF(COUNTIFS(tTQMReguliDoc[Cheie_regula],S17,tTQMReguliDoc[Fise_tehnice],"Da")=1,1,0))</f>
        <v>0</v>
      </c>
      <c r="Y17" s="22" t="str">
        <f t="shared" si="4"/>
        <v/>
      </c>
      <c r="Z17" s="22"/>
      <c r="AA17" s="22"/>
    </row>
    <row r="18" spans="1:27" ht="15" customHeight="1">
      <c r="A18" s="30"/>
      <c r="B18" s="31"/>
      <c r="C18" s="30"/>
      <c r="D18" s="30"/>
      <c r="E18" s="30"/>
      <c r="F18" s="32" t="str">
        <f t="shared" si="0"/>
        <v/>
      </c>
      <c r="G18" s="30"/>
      <c r="H18" s="30"/>
      <c r="I18" s="30"/>
      <c r="J18" s="32" t="str">
        <f t="shared" si="1"/>
        <v/>
      </c>
      <c r="K18" s="30" t="str">
        <f t="shared" si="2"/>
        <v/>
      </c>
      <c r="L18" s="30"/>
      <c r="M18" s="30"/>
      <c r="N18" s="22"/>
      <c r="O18" s="25"/>
      <c r="P18" s="26"/>
      <c r="Q18" s="22"/>
      <c r="R18" s="22"/>
      <c r="S18" s="22" t="str">
        <f t="shared" si="3"/>
        <v/>
      </c>
      <c r="T18" s="22" t="str">
        <f>IF(C18="","",IF(COUNTIF(tTQMReguliDoc[Cheie_regula],S18)&lt;&gt;1,"REGULA NECONFIGURATA",IF(COUNTIFS(tTQMReguliDoc[Cheie_regula],S18,tTQMReguliDoc[Stare],"Confirmata")=1,"Confirmata","De confirmat")))</f>
        <v/>
      </c>
      <c r="U18" s="22">
        <f>IF(OR(C18="",T18&lt;&gt;"Confirmata"),0,IF(COUNTIFS(tTQMReguliDoc[Cheie_regula],S18,tTQMReguliDoc[Aviz],"Da")=1,1,0))</f>
        <v>0</v>
      </c>
      <c r="V18" s="22">
        <f>IF(OR(C18="",T18&lt;&gt;"Confirmata"),0,IF(COUNTIFS(tTQMReguliDoc[Cheie_regula],S18,tTQMReguliDoc[Decl_conformitate],"Da")=1,1,0))</f>
        <v>0</v>
      </c>
      <c r="W18" s="22">
        <f>IF(OR(C18="",T18&lt;&gt;"Confirmata"),0,IF(COUNTIFS(tTQMReguliDoc[Cheie_regula],S18,tTQMReguliDoc[Decl_producator],"Da")=1,1,0))</f>
        <v>0</v>
      </c>
      <c r="X18" s="22">
        <f>IF(OR(C18="",T18&lt;&gt;"Confirmata"),0,IF(COUNTIFS(tTQMReguliDoc[Cheie_regula],S18,tTQMReguliDoc[Fise_tehnice],"Da")=1,1,0))</f>
        <v>0</v>
      </c>
      <c r="Y18" s="22" t="str">
        <f t="shared" si="4"/>
        <v/>
      </c>
      <c r="Z18" s="22"/>
      <c r="AA18" s="22"/>
    </row>
    <row r="19" spans="1:27" ht="15" customHeight="1">
      <c r="A19" s="30"/>
      <c r="B19" s="31"/>
      <c r="C19" s="30"/>
      <c r="D19" s="30"/>
      <c r="E19" s="30"/>
      <c r="F19" s="32" t="str">
        <f t="shared" si="0"/>
        <v/>
      </c>
      <c r="G19" s="30"/>
      <c r="H19" s="30"/>
      <c r="I19" s="30"/>
      <c r="J19" s="32" t="str">
        <f t="shared" si="1"/>
        <v/>
      </c>
      <c r="K19" s="30" t="str">
        <f t="shared" si="2"/>
        <v/>
      </c>
      <c r="L19" s="30"/>
      <c r="M19" s="30"/>
      <c r="N19" s="22"/>
      <c r="O19" s="25"/>
      <c r="P19" s="26"/>
      <c r="Q19" s="22"/>
      <c r="R19" s="22"/>
      <c r="S19" s="22" t="str">
        <f t="shared" si="3"/>
        <v/>
      </c>
      <c r="T19" s="22" t="str">
        <f>IF(C19="","",IF(COUNTIF(tTQMReguliDoc[Cheie_regula],S19)&lt;&gt;1,"REGULA NECONFIGURATA",IF(COUNTIFS(tTQMReguliDoc[Cheie_regula],S19,tTQMReguliDoc[Stare],"Confirmata")=1,"Confirmata","De confirmat")))</f>
        <v/>
      </c>
      <c r="U19" s="22">
        <f>IF(OR(C19="",T19&lt;&gt;"Confirmata"),0,IF(COUNTIFS(tTQMReguliDoc[Cheie_regula],S19,tTQMReguliDoc[Aviz],"Da")=1,1,0))</f>
        <v>0</v>
      </c>
      <c r="V19" s="22">
        <f>IF(OR(C19="",T19&lt;&gt;"Confirmata"),0,IF(COUNTIFS(tTQMReguliDoc[Cheie_regula],S19,tTQMReguliDoc[Decl_conformitate],"Da")=1,1,0))</f>
        <v>0</v>
      </c>
      <c r="W19" s="22">
        <f>IF(OR(C19="",T19&lt;&gt;"Confirmata"),0,IF(COUNTIFS(tTQMReguliDoc[Cheie_regula],S19,tTQMReguliDoc[Decl_producator],"Da")=1,1,0))</f>
        <v>0</v>
      </c>
      <c r="X19" s="22">
        <f>IF(OR(C19="",T19&lt;&gt;"Confirmata"),0,IF(COUNTIFS(tTQMReguliDoc[Cheie_regula],S19,tTQMReguliDoc[Fise_tehnice],"Da")=1,1,0))</f>
        <v>0</v>
      </c>
      <c r="Y19" s="22" t="str">
        <f t="shared" si="4"/>
        <v/>
      </c>
      <c r="Z19" s="22"/>
      <c r="AA19" s="22"/>
    </row>
    <row r="20" spans="1:27" ht="15" customHeight="1">
      <c r="A20" s="30"/>
      <c r="B20" s="31"/>
      <c r="C20" s="30"/>
      <c r="D20" s="30"/>
      <c r="E20" s="30"/>
      <c r="F20" s="32" t="str">
        <f t="shared" si="0"/>
        <v/>
      </c>
      <c r="G20" s="30"/>
      <c r="H20" s="30"/>
      <c r="I20" s="30"/>
      <c r="J20" s="32" t="str">
        <f t="shared" si="1"/>
        <v/>
      </c>
      <c r="K20" s="30" t="str">
        <f t="shared" si="2"/>
        <v/>
      </c>
      <c r="L20" s="30"/>
      <c r="M20" s="30"/>
      <c r="N20" s="22"/>
      <c r="O20" s="25"/>
      <c r="P20" s="26"/>
      <c r="Q20" s="22"/>
      <c r="R20" s="22"/>
      <c r="S20" s="22" t="str">
        <f t="shared" si="3"/>
        <v/>
      </c>
      <c r="T20" s="22" t="str">
        <f>IF(C20="","",IF(COUNTIF(tTQMReguliDoc[Cheie_regula],S20)&lt;&gt;1,"REGULA NECONFIGURATA",IF(COUNTIFS(tTQMReguliDoc[Cheie_regula],S20,tTQMReguliDoc[Stare],"Confirmata")=1,"Confirmata","De confirmat")))</f>
        <v/>
      </c>
      <c r="U20" s="22">
        <f>IF(OR(C20="",T20&lt;&gt;"Confirmata"),0,IF(COUNTIFS(tTQMReguliDoc[Cheie_regula],S20,tTQMReguliDoc[Aviz],"Da")=1,1,0))</f>
        <v>0</v>
      </c>
      <c r="V20" s="22">
        <f>IF(OR(C20="",T20&lt;&gt;"Confirmata"),0,IF(COUNTIFS(tTQMReguliDoc[Cheie_regula],S20,tTQMReguliDoc[Decl_conformitate],"Da")=1,1,0))</f>
        <v>0</v>
      </c>
      <c r="W20" s="22">
        <f>IF(OR(C20="",T20&lt;&gt;"Confirmata"),0,IF(COUNTIFS(tTQMReguliDoc[Cheie_regula],S20,tTQMReguliDoc[Decl_producator],"Da")=1,1,0))</f>
        <v>0</v>
      </c>
      <c r="X20" s="22">
        <f>IF(OR(C20="",T20&lt;&gt;"Confirmata"),0,IF(COUNTIFS(tTQMReguliDoc[Cheie_regula],S20,tTQMReguliDoc[Fise_tehnice],"Da")=1,1,0))</f>
        <v>0</v>
      </c>
      <c r="Y20" s="22" t="str">
        <f t="shared" si="4"/>
        <v/>
      </c>
      <c r="Z20" s="22"/>
      <c r="AA20" s="22"/>
    </row>
    <row r="21" spans="1:27" ht="15" customHeight="1">
      <c r="A21" s="30"/>
      <c r="B21" s="31"/>
      <c r="C21" s="30"/>
      <c r="D21" s="30"/>
      <c r="E21" s="30"/>
      <c r="F21" s="32" t="str">
        <f t="shared" si="0"/>
        <v/>
      </c>
      <c r="G21" s="30"/>
      <c r="H21" s="30"/>
      <c r="I21" s="30"/>
      <c r="J21" s="32" t="str">
        <f t="shared" si="1"/>
        <v/>
      </c>
      <c r="K21" s="30" t="str">
        <f t="shared" si="2"/>
        <v/>
      </c>
      <c r="L21" s="30"/>
      <c r="M21" s="30"/>
      <c r="N21" s="22"/>
      <c r="O21" s="25"/>
      <c r="P21" s="26"/>
      <c r="Q21" s="22"/>
      <c r="R21" s="22"/>
      <c r="S21" s="22" t="str">
        <f t="shared" si="3"/>
        <v/>
      </c>
      <c r="T21" s="22" t="str">
        <f>IF(C21="","",IF(COUNTIF(tTQMReguliDoc[Cheie_regula],S21)&lt;&gt;1,"REGULA NECONFIGURATA",IF(COUNTIFS(tTQMReguliDoc[Cheie_regula],S21,tTQMReguliDoc[Stare],"Confirmata")=1,"Confirmata","De confirmat")))</f>
        <v/>
      </c>
      <c r="U21" s="22">
        <f>IF(OR(C21="",T21&lt;&gt;"Confirmata"),0,IF(COUNTIFS(tTQMReguliDoc[Cheie_regula],S21,tTQMReguliDoc[Aviz],"Da")=1,1,0))</f>
        <v>0</v>
      </c>
      <c r="V21" s="22">
        <f>IF(OR(C21="",T21&lt;&gt;"Confirmata"),0,IF(COUNTIFS(tTQMReguliDoc[Cheie_regula],S21,tTQMReguliDoc[Decl_conformitate],"Da")=1,1,0))</f>
        <v>0</v>
      </c>
      <c r="W21" s="22">
        <f>IF(OR(C21="",T21&lt;&gt;"Confirmata"),0,IF(COUNTIFS(tTQMReguliDoc[Cheie_regula],S21,tTQMReguliDoc[Decl_producator],"Da")=1,1,0))</f>
        <v>0</v>
      </c>
      <c r="X21" s="22">
        <f>IF(OR(C21="",T21&lt;&gt;"Confirmata"),0,IF(COUNTIFS(tTQMReguliDoc[Cheie_regula],S21,tTQMReguliDoc[Fise_tehnice],"Da")=1,1,0))</f>
        <v>0</v>
      </c>
      <c r="Y21" s="22" t="str">
        <f t="shared" si="4"/>
        <v/>
      </c>
      <c r="Z21" s="22"/>
      <c r="AA21" s="22"/>
    </row>
    <row r="22" spans="1:27" ht="15" customHeight="1">
      <c r="A22" s="30"/>
      <c r="B22" s="31"/>
      <c r="C22" s="30"/>
      <c r="D22" s="30"/>
      <c r="E22" s="30"/>
      <c r="F22" s="32" t="str">
        <f t="shared" si="0"/>
        <v/>
      </c>
      <c r="G22" s="30"/>
      <c r="H22" s="30"/>
      <c r="I22" s="30"/>
      <c r="J22" s="32" t="str">
        <f t="shared" si="1"/>
        <v/>
      </c>
      <c r="K22" s="30" t="str">
        <f t="shared" si="2"/>
        <v/>
      </c>
      <c r="L22" s="30"/>
      <c r="M22" s="30"/>
      <c r="N22" s="22"/>
      <c r="O22" s="25"/>
      <c r="P22" s="26"/>
      <c r="Q22" s="22"/>
      <c r="R22" s="22"/>
      <c r="S22" s="22" t="str">
        <f t="shared" si="3"/>
        <v/>
      </c>
      <c r="T22" s="22" t="str">
        <f>IF(C22="","",IF(COUNTIF(tTQMReguliDoc[Cheie_regula],S22)&lt;&gt;1,"REGULA NECONFIGURATA",IF(COUNTIFS(tTQMReguliDoc[Cheie_regula],S22,tTQMReguliDoc[Stare],"Confirmata")=1,"Confirmata","De confirmat")))</f>
        <v/>
      </c>
      <c r="U22" s="22">
        <f>IF(OR(C22="",T22&lt;&gt;"Confirmata"),0,IF(COUNTIFS(tTQMReguliDoc[Cheie_regula],S22,tTQMReguliDoc[Aviz],"Da")=1,1,0))</f>
        <v>0</v>
      </c>
      <c r="V22" s="22">
        <f>IF(OR(C22="",T22&lt;&gt;"Confirmata"),0,IF(COUNTIFS(tTQMReguliDoc[Cheie_regula],S22,tTQMReguliDoc[Decl_conformitate],"Da")=1,1,0))</f>
        <v>0</v>
      </c>
      <c r="W22" s="22">
        <f>IF(OR(C22="",T22&lt;&gt;"Confirmata"),0,IF(COUNTIFS(tTQMReguliDoc[Cheie_regula],S22,tTQMReguliDoc[Decl_producator],"Da")=1,1,0))</f>
        <v>0</v>
      </c>
      <c r="X22" s="22">
        <f>IF(OR(C22="",T22&lt;&gt;"Confirmata"),0,IF(COUNTIFS(tTQMReguliDoc[Cheie_regula],S22,tTQMReguliDoc[Fise_tehnice],"Da")=1,1,0))</f>
        <v>0</v>
      </c>
      <c r="Y22" s="22" t="str">
        <f t="shared" si="4"/>
        <v/>
      </c>
      <c r="Z22" s="22"/>
      <c r="AA22" s="22"/>
    </row>
    <row r="23" spans="1:27" ht="15" customHeight="1">
      <c r="A23" s="30"/>
      <c r="B23" s="31"/>
      <c r="C23" s="30"/>
      <c r="D23" s="30"/>
      <c r="E23" s="30"/>
      <c r="F23" s="32" t="str">
        <f t="shared" si="0"/>
        <v/>
      </c>
      <c r="G23" s="30"/>
      <c r="H23" s="30"/>
      <c r="I23" s="30"/>
      <c r="J23" s="32" t="str">
        <f t="shared" si="1"/>
        <v/>
      </c>
      <c r="K23" s="30" t="str">
        <f t="shared" si="2"/>
        <v/>
      </c>
      <c r="L23" s="30"/>
      <c r="M23" s="30"/>
      <c r="N23" s="22"/>
      <c r="O23" s="25"/>
      <c r="P23" s="26"/>
      <c r="Q23" s="22"/>
      <c r="R23" s="22"/>
      <c r="S23" s="22" t="str">
        <f t="shared" si="3"/>
        <v/>
      </c>
      <c r="T23" s="22" t="str">
        <f>IF(C23="","",IF(COUNTIF(tTQMReguliDoc[Cheie_regula],S23)&lt;&gt;1,"REGULA NECONFIGURATA",IF(COUNTIFS(tTQMReguliDoc[Cheie_regula],S23,tTQMReguliDoc[Stare],"Confirmata")=1,"Confirmata","De confirmat")))</f>
        <v/>
      </c>
      <c r="U23" s="22">
        <f>IF(OR(C23="",T23&lt;&gt;"Confirmata"),0,IF(COUNTIFS(tTQMReguliDoc[Cheie_regula],S23,tTQMReguliDoc[Aviz],"Da")=1,1,0))</f>
        <v>0</v>
      </c>
      <c r="V23" s="22">
        <f>IF(OR(C23="",T23&lt;&gt;"Confirmata"),0,IF(COUNTIFS(tTQMReguliDoc[Cheie_regula],S23,tTQMReguliDoc[Decl_conformitate],"Da")=1,1,0))</f>
        <v>0</v>
      </c>
      <c r="W23" s="22">
        <f>IF(OR(C23="",T23&lt;&gt;"Confirmata"),0,IF(COUNTIFS(tTQMReguliDoc[Cheie_regula],S23,tTQMReguliDoc[Decl_producator],"Da")=1,1,0))</f>
        <v>0</v>
      </c>
      <c r="X23" s="22">
        <f>IF(OR(C23="",T23&lt;&gt;"Confirmata"),0,IF(COUNTIFS(tTQMReguliDoc[Cheie_regula],S23,tTQMReguliDoc[Fise_tehnice],"Da")=1,1,0))</f>
        <v>0</v>
      </c>
      <c r="Y23" s="22" t="str">
        <f t="shared" si="4"/>
        <v/>
      </c>
      <c r="Z23" s="22"/>
      <c r="AA23" s="22"/>
    </row>
    <row r="24" spans="1:27" ht="15" customHeight="1">
      <c r="A24" s="30"/>
      <c r="B24" s="31"/>
      <c r="C24" s="30"/>
      <c r="D24" s="30"/>
      <c r="E24" s="30"/>
      <c r="F24" s="32" t="str">
        <f t="shared" si="0"/>
        <v/>
      </c>
      <c r="G24" s="30"/>
      <c r="H24" s="30"/>
      <c r="I24" s="30"/>
      <c r="J24" s="32" t="str">
        <f t="shared" si="1"/>
        <v/>
      </c>
      <c r="K24" s="30" t="str">
        <f t="shared" si="2"/>
        <v/>
      </c>
      <c r="L24" s="30"/>
      <c r="M24" s="30"/>
      <c r="N24" s="22"/>
      <c r="O24" s="25"/>
      <c r="P24" s="26"/>
      <c r="Q24" s="22"/>
      <c r="R24" s="22"/>
      <c r="S24" s="22" t="str">
        <f t="shared" si="3"/>
        <v/>
      </c>
      <c r="T24" s="22" t="str">
        <f>IF(C24="","",IF(COUNTIF(tTQMReguliDoc[Cheie_regula],S24)&lt;&gt;1,"REGULA NECONFIGURATA",IF(COUNTIFS(tTQMReguliDoc[Cheie_regula],S24,tTQMReguliDoc[Stare],"Confirmata")=1,"Confirmata","De confirmat")))</f>
        <v/>
      </c>
      <c r="U24" s="22">
        <f>IF(OR(C24="",T24&lt;&gt;"Confirmata"),0,IF(COUNTIFS(tTQMReguliDoc[Cheie_regula],S24,tTQMReguliDoc[Aviz],"Da")=1,1,0))</f>
        <v>0</v>
      </c>
      <c r="V24" s="22">
        <f>IF(OR(C24="",T24&lt;&gt;"Confirmata"),0,IF(COUNTIFS(tTQMReguliDoc[Cheie_regula],S24,tTQMReguliDoc[Decl_conformitate],"Da")=1,1,0))</f>
        <v>0</v>
      </c>
      <c r="W24" s="22">
        <f>IF(OR(C24="",T24&lt;&gt;"Confirmata"),0,IF(COUNTIFS(tTQMReguliDoc[Cheie_regula],S24,tTQMReguliDoc[Decl_producator],"Da")=1,1,0))</f>
        <v>0</v>
      </c>
      <c r="X24" s="22">
        <f>IF(OR(C24="",T24&lt;&gt;"Confirmata"),0,IF(COUNTIFS(tTQMReguliDoc[Cheie_regula],S24,tTQMReguliDoc[Fise_tehnice],"Da")=1,1,0))</f>
        <v>0</v>
      </c>
      <c r="Y24" s="22" t="str">
        <f t="shared" si="4"/>
        <v/>
      </c>
      <c r="Z24" s="22"/>
      <c r="AA24" s="22"/>
    </row>
    <row r="25" spans="1:27" ht="15" customHeight="1">
      <c r="A25" s="30"/>
      <c r="B25" s="31"/>
      <c r="C25" s="30"/>
      <c r="D25" s="30"/>
      <c r="E25" s="30"/>
      <c r="F25" s="32" t="str">
        <f t="shared" si="0"/>
        <v/>
      </c>
      <c r="G25" s="30"/>
      <c r="H25" s="30"/>
      <c r="I25" s="30"/>
      <c r="J25" s="32" t="str">
        <f t="shared" si="1"/>
        <v/>
      </c>
      <c r="K25" s="30" t="str">
        <f t="shared" si="2"/>
        <v/>
      </c>
      <c r="L25" s="30"/>
      <c r="M25" s="30"/>
      <c r="N25" s="22"/>
      <c r="O25" s="25"/>
      <c r="P25" s="26"/>
      <c r="Q25" s="22"/>
      <c r="R25" s="22"/>
      <c r="S25" s="22" t="str">
        <f t="shared" si="3"/>
        <v/>
      </c>
      <c r="T25" s="22" t="str">
        <f>IF(C25="","",IF(COUNTIF(tTQMReguliDoc[Cheie_regula],S25)&lt;&gt;1,"REGULA NECONFIGURATA",IF(COUNTIFS(tTQMReguliDoc[Cheie_regula],S25,tTQMReguliDoc[Stare],"Confirmata")=1,"Confirmata","De confirmat")))</f>
        <v/>
      </c>
      <c r="U25" s="22">
        <f>IF(OR(C25="",T25&lt;&gt;"Confirmata"),0,IF(COUNTIFS(tTQMReguliDoc[Cheie_regula],S25,tTQMReguliDoc[Aviz],"Da")=1,1,0))</f>
        <v>0</v>
      </c>
      <c r="V25" s="22">
        <f>IF(OR(C25="",T25&lt;&gt;"Confirmata"),0,IF(COUNTIFS(tTQMReguliDoc[Cheie_regula],S25,tTQMReguliDoc[Decl_conformitate],"Da")=1,1,0))</f>
        <v>0</v>
      </c>
      <c r="W25" s="22">
        <f>IF(OR(C25="",T25&lt;&gt;"Confirmata"),0,IF(COUNTIFS(tTQMReguliDoc[Cheie_regula],S25,tTQMReguliDoc[Decl_producator],"Da")=1,1,0))</f>
        <v>0</v>
      </c>
      <c r="X25" s="22">
        <f>IF(OR(C25="",T25&lt;&gt;"Confirmata"),0,IF(COUNTIFS(tTQMReguliDoc[Cheie_regula],S25,tTQMReguliDoc[Fise_tehnice],"Da")=1,1,0))</f>
        <v>0</v>
      </c>
      <c r="Y25" s="22" t="str">
        <f t="shared" si="4"/>
        <v/>
      </c>
      <c r="Z25" s="22"/>
      <c r="AA25" s="22"/>
    </row>
    <row r="26" spans="1:27" ht="15" customHeight="1">
      <c r="A26" s="30"/>
      <c r="B26" s="31"/>
      <c r="C26" s="30"/>
      <c r="D26" s="30"/>
      <c r="E26" s="30"/>
      <c r="F26" s="32" t="str">
        <f t="shared" si="0"/>
        <v/>
      </c>
      <c r="G26" s="30"/>
      <c r="H26" s="30"/>
      <c r="I26" s="30"/>
      <c r="J26" s="32" t="str">
        <f t="shared" si="1"/>
        <v/>
      </c>
      <c r="K26" s="30" t="str">
        <f t="shared" si="2"/>
        <v/>
      </c>
      <c r="L26" s="30"/>
      <c r="M26" s="30"/>
      <c r="N26" s="22"/>
      <c r="O26" s="25"/>
      <c r="P26" s="26"/>
      <c r="Q26" s="22"/>
      <c r="R26" s="22"/>
      <c r="S26" s="22" t="str">
        <f t="shared" si="3"/>
        <v/>
      </c>
      <c r="T26" s="22" t="str">
        <f>IF(C26="","",IF(COUNTIF(tTQMReguliDoc[Cheie_regula],S26)&lt;&gt;1,"REGULA NECONFIGURATA",IF(COUNTIFS(tTQMReguliDoc[Cheie_regula],S26,tTQMReguliDoc[Stare],"Confirmata")=1,"Confirmata","De confirmat")))</f>
        <v/>
      </c>
      <c r="U26" s="22">
        <f>IF(OR(C26="",T26&lt;&gt;"Confirmata"),0,IF(COUNTIFS(tTQMReguliDoc[Cheie_regula],S26,tTQMReguliDoc[Aviz],"Da")=1,1,0))</f>
        <v>0</v>
      </c>
      <c r="V26" s="22">
        <f>IF(OR(C26="",T26&lt;&gt;"Confirmata"),0,IF(COUNTIFS(tTQMReguliDoc[Cheie_regula],S26,tTQMReguliDoc[Decl_conformitate],"Da")=1,1,0))</f>
        <v>0</v>
      </c>
      <c r="W26" s="22">
        <f>IF(OR(C26="",T26&lt;&gt;"Confirmata"),0,IF(COUNTIFS(tTQMReguliDoc[Cheie_regula],S26,tTQMReguliDoc[Decl_producator],"Da")=1,1,0))</f>
        <v>0</v>
      </c>
      <c r="X26" s="22">
        <f>IF(OR(C26="",T26&lt;&gt;"Confirmata"),0,IF(COUNTIFS(tTQMReguliDoc[Cheie_regula],S26,tTQMReguliDoc[Fise_tehnice],"Da")=1,1,0))</f>
        <v>0</v>
      </c>
      <c r="Y26" s="22" t="str">
        <f t="shared" si="4"/>
        <v/>
      </c>
      <c r="Z26" s="22"/>
      <c r="AA26" s="22"/>
    </row>
    <row r="27" spans="1:27" ht="15" customHeight="1">
      <c r="A27" s="30"/>
      <c r="B27" s="31"/>
      <c r="C27" s="30"/>
      <c r="D27" s="30"/>
      <c r="E27" s="30"/>
      <c r="F27" s="32" t="str">
        <f t="shared" si="0"/>
        <v/>
      </c>
      <c r="G27" s="30"/>
      <c r="H27" s="30"/>
      <c r="I27" s="30"/>
      <c r="J27" s="32" t="str">
        <f t="shared" si="1"/>
        <v/>
      </c>
      <c r="K27" s="30" t="str">
        <f t="shared" si="2"/>
        <v/>
      </c>
      <c r="L27" s="30"/>
      <c r="M27" s="30"/>
      <c r="N27" s="22"/>
      <c r="O27" s="25"/>
      <c r="P27" s="26"/>
      <c r="Q27" s="22"/>
      <c r="R27" s="22"/>
      <c r="S27" s="22" t="str">
        <f t="shared" si="3"/>
        <v/>
      </c>
      <c r="T27" s="22" t="str">
        <f>IF(C27="","",IF(COUNTIF(tTQMReguliDoc[Cheie_regula],S27)&lt;&gt;1,"REGULA NECONFIGURATA",IF(COUNTIFS(tTQMReguliDoc[Cheie_regula],S27,tTQMReguliDoc[Stare],"Confirmata")=1,"Confirmata","De confirmat")))</f>
        <v/>
      </c>
      <c r="U27" s="22">
        <f>IF(OR(C27="",T27&lt;&gt;"Confirmata"),0,IF(COUNTIFS(tTQMReguliDoc[Cheie_regula],S27,tTQMReguliDoc[Aviz],"Da")=1,1,0))</f>
        <v>0</v>
      </c>
      <c r="V27" s="22">
        <f>IF(OR(C27="",T27&lt;&gt;"Confirmata"),0,IF(COUNTIFS(tTQMReguliDoc[Cheie_regula],S27,tTQMReguliDoc[Decl_conformitate],"Da")=1,1,0))</f>
        <v>0</v>
      </c>
      <c r="W27" s="22">
        <f>IF(OR(C27="",T27&lt;&gt;"Confirmata"),0,IF(COUNTIFS(tTQMReguliDoc[Cheie_regula],S27,tTQMReguliDoc[Decl_producator],"Da")=1,1,0))</f>
        <v>0</v>
      </c>
      <c r="X27" s="22">
        <f>IF(OR(C27="",T27&lt;&gt;"Confirmata"),0,IF(COUNTIFS(tTQMReguliDoc[Cheie_regula],S27,tTQMReguliDoc[Fise_tehnice],"Da")=1,1,0))</f>
        <v>0</v>
      </c>
      <c r="Y27" s="22" t="str">
        <f t="shared" si="4"/>
        <v/>
      </c>
      <c r="Z27" s="22"/>
      <c r="AA27" s="22"/>
    </row>
    <row r="28" spans="1:27" ht="15" customHeight="1">
      <c r="A28" s="30"/>
      <c r="B28" s="31"/>
      <c r="C28" s="30"/>
      <c r="D28" s="30"/>
      <c r="E28" s="30"/>
      <c r="F28" s="32" t="str">
        <f t="shared" si="0"/>
        <v/>
      </c>
      <c r="G28" s="30"/>
      <c r="H28" s="30"/>
      <c r="I28" s="30"/>
      <c r="J28" s="32" t="str">
        <f t="shared" si="1"/>
        <v/>
      </c>
      <c r="K28" s="30" t="str">
        <f t="shared" si="2"/>
        <v/>
      </c>
      <c r="L28" s="30"/>
      <c r="M28" s="30"/>
      <c r="N28" s="22"/>
      <c r="O28" s="25"/>
      <c r="P28" s="26"/>
      <c r="Q28" s="22"/>
      <c r="R28" s="22"/>
      <c r="S28" s="22" t="str">
        <f t="shared" si="3"/>
        <v/>
      </c>
      <c r="T28" s="22" t="str">
        <f>IF(C28="","",IF(COUNTIF(tTQMReguliDoc[Cheie_regula],S28)&lt;&gt;1,"REGULA NECONFIGURATA",IF(COUNTIFS(tTQMReguliDoc[Cheie_regula],S28,tTQMReguliDoc[Stare],"Confirmata")=1,"Confirmata","De confirmat")))</f>
        <v/>
      </c>
      <c r="U28" s="22">
        <f>IF(OR(C28="",T28&lt;&gt;"Confirmata"),0,IF(COUNTIFS(tTQMReguliDoc[Cheie_regula],S28,tTQMReguliDoc[Aviz],"Da")=1,1,0))</f>
        <v>0</v>
      </c>
      <c r="V28" s="22">
        <f>IF(OR(C28="",T28&lt;&gt;"Confirmata"),0,IF(COUNTIFS(tTQMReguliDoc[Cheie_regula],S28,tTQMReguliDoc[Decl_conformitate],"Da")=1,1,0))</f>
        <v>0</v>
      </c>
      <c r="W28" s="22">
        <f>IF(OR(C28="",T28&lt;&gt;"Confirmata"),0,IF(COUNTIFS(tTQMReguliDoc[Cheie_regula],S28,tTQMReguliDoc[Decl_producator],"Da")=1,1,0))</f>
        <v>0</v>
      </c>
      <c r="X28" s="22">
        <f>IF(OR(C28="",T28&lt;&gt;"Confirmata"),0,IF(COUNTIFS(tTQMReguliDoc[Cheie_regula],S28,tTQMReguliDoc[Fise_tehnice],"Da")=1,1,0))</f>
        <v>0</v>
      </c>
      <c r="Y28" s="22" t="str">
        <f t="shared" si="4"/>
        <v/>
      </c>
      <c r="Z28" s="22"/>
      <c r="AA28" s="22"/>
    </row>
    <row r="29" spans="1:27" ht="15" customHeight="1">
      <c r="A29" s="30"/>
      <c r="B29" s="31"/>
      <c r="C29" s="30"/>
      <c r="D29" s="30"/>
      <c r="E29" s="30"/>
      <c r="F29" s="32" t="str">
        <f t="shared" si="0"/>
        <v/>
      </c>
      <c r="G29" s="30"/>
      <c r="H29" s="30"/>
      <c r="I29" s="30"/>
      <c r="J29" s="32" t="str">
        <f t="shared" si="1"/>
        <v/>
      </c>
      <c r="K29" s="30" t="str">
        <f t="shared" si="2"/>
        <v/>
      </c>
      <c r="L29" s="30"/>
      <c r="M29" s="30"/>
      <c r="N29" s="22"/>
      <c r="O29" s="25"/>
      <c r="P29" s="26"/>
      <c r="Q29" s="22"/>
      <c r="R29" s="22"/>
      <c r="S29" s="22" t="str">
        <f t="shared" si="3"/>
        <v/>
      </c>
      <c r="T29" s="22" t="str">
        <f>IF(C29="","",IF(COUNTIF(tTQMReguliDoc[Cheie_regula],S29)&lt;&gt;1,"REGULA NECONFIGURATA",IF(COUNTIFS(tTQMReguliDoc[Cheie_regula],S29,tTQMReguliDoc[Stare],"Confirmata")=1,"Confirmata","De confirmat")))</f>
        <v/>
      </c>
      <c r="U29" s="22">
        <f>IF(OR(C29="",T29&lt;&gt;"Confirmata"),0,IF(COUNTIFS(tTQMReguliDoc[Cheie_regula],S29,tTQMReguliDoc[Aviz],"Da")=1,1,0))</f>
        <v>0</v>
      </c>
      <c r="V29" s="22">
        <f>IF(OR(C29="",T29&lt;&gt;"Confirmata"),0,IF(COUNTIFS(tTQMReguliDoc[Cheie_regula],S29,tTQMReguliDoc[Decl_conformitate],"Da")=1,1,0))</f>
        <v>0</v>
      </c>
      <c r="W29" s="22">
        <f>IF(OR(C29="",T29&lt;&gt;"Confirmata"),0,IF(COUNTIFS(tTQMReguliDoc[Cheie_regula],S29,tTQMReguliDoc[Decl_producator],"Da")=1,1,0))</f>
        <v>0</v>
      </c>
      <c r="X29" s="22">
        <f>IF(OR(C29="",T29&lt;&gt;"Confirmata"),0,IF(COUNTIFS(tTQMReguliDoc[Cheie_regula],S29,tTQMReguliDoc[Fise_tehnice],"Da")=1,1,0))</f>
        <v>0</v>
      </c>
      <c r="Y29" s="22" t="str">
        <f t="shared" si="4"/>
        <v/>
      </c>
      <c r="Z29" s="22"/>
      <c r="AA29" s="22"/>
    </row>
    <row r="30" spans="1:27" ht="15" customHeight="1">
      <c r="A30" s="30"/>
      <c r="B30" s="31"/>
      <c r="C30" s="30"/>
      <c r="D30" s="30"/>
      <c r="E30" s="30"/>
      <c r="F30" s="32" t="str">
        <f t="shared" si="0"/>
        <v/>
      </c>
      <c r="G30" s="30"/>
      <c r="H30" s="30"/>
      <c r="I30" s="30"/>
      <c r="J30" s="32" t="str">
        <f t="shared" si="1"/>
        <v/>
      </c>
      <c r="K30" s="30" t="str">
        <f t="shared" si="2"/>
        <v/>
      </c>
      <c r="L30" s="30"/>
      <c r="M30" s="30"/>
      <c r="N30" s="22"/>
      <c r="O30" s="25"/>
      <c r="P30" s="26"/>
      <c r="Q30" s="22"/>
      <c r="R30" s="22"/>
      <c r="S30" s="22" t="str">
        <f t="shared" si="3"/>
        <v/>
      </c>
      <c r="T30" s="22" t="str">
        <f>IF(C30="","",IF(COUNTIF(tTQMReguliDoc[Cheie_regula],S30)&lt;&gt;1,"REGULA NECONFIGURATA",IF(COUNTIFS(tTQMReguliDoc[Cheie_regula],S30,tTQMReguliDoc[Stare],"Confirmata")=1,"Confirmata","De confirmat")))</f>
        <v/>
      </c>
      <c r="U30" s="22">
        <f>IF(OR(C30="",T30&lt;&gt;"Confirmata"),0,IF(COUNTIFS(tTQMReguliDoc[Cheie_regula],S30,tTQMReguliDoc[Aviz],"Da")=1,1,0))</f>
        <v>0</v>
      </c>
      <c r="V30" s="22">
        <f>IF(OR(C30="",T30&lt;&gt;"Confirmata"),0,IF(COUNTIFS(tTQMReguliDoc[Cheie_regula],S30,tTQMReguliDoc[Decl_conformitate],"Da")=1,1,0))</f>
        <v>0</v>
      </c>
      <c r="W30" s="22">
        <f>IF(OR(C30="",T30&lt;&gt;"Confirmata"),0,IF(COUNTIFS(tTQMReguliDoc[Cheie_regula],S30,tTQMReguliDoc[Decl_producator],"Da")=1,1,0))</f>
        <v>0</v>
      </c>
      <c r="X30" s="22">
        <f>IF(OR(C30="",T30&lt;&gt;"Confirmata"),0,IF(COUNTIFS(tTQMReguliDoc[Cheie_regula],S30,tTQMReguliDoc[Fise_tehnice],"Da")=1,1,0))</f>
        <v>0</v>
      </c>
      <c r="Y30" s="22" t="str">
        <f t="shared" si="4"/>
        <v/>
      </c>
      <c r="Z30" s="22"/>
      <c r="AA30" s="22"/>
    </row>
    <row r="31" spans="1:27" ht="15" customHeight="1">
      <c r="A31" s="30"/>
      <c r="B31" s="31"/>
      <c r="C31" s="30"/>
      <c r="D31" s="30"/>
      <c r="E31" s="30"/>
      <c r="F31" s="32" t="str">
        <f t="shared" si="0"/>
        <v/>
      </c>
      <c r="G31" s="30"/>
      <c r="H31" s="30"/>
      <c r="I31" s="30"/>
      <c r="J31" s="32" t="str">
        <f t="shared" si="1"/>
        <v/>
      </c>
      <c r="K31" s="30" t="str">
        <f t="shared" si="2"/>
        <v/>
      </c>
      <c r="L31" s="30"/>
      <c r="M31" s="30"/>
      <c r="N31" s="22"/>
      <c r="O31" s="25"/>
      <c r="P31" s="26"/>
      <c r="Q31" s="22"/>
      <c r="R31" s="22"/>
      <c r="S31" s="22" t="str">
        <f t="shared" si="3"/>
        <v/>
      </c>
      <c r="T31" s="22" t="str">
        <f>IF(C31="","",IF(COUNTIF(tTQMReguliDoc[Cheie_regula],S31)&lt;&gt;1,"REGULA NECONFIGURATA",IF(COUNTIFS(tTQMReguliDoc[Cheie_regula],S31,tTQMReguliDoc[Stare],"Confirmata")=1,"Confirmata","De confirmat")))</f>
        <v/>
      </c>
      <c r="U31" s="22">
        <f>IF(OR(C31="",T31&lt;&gt;"Confirmata"),0,IF(COUNTIFS(tTQMReguliDoc[Cheie_regula],S31,tTQMReguliDoc[Aviz],"Da")=1,1,0))</f>
        <v>0</v>
      </c>
      <c r="V31" s="22">
        <f>IF(OR(C31="",T31&lt;&gt;"Confirmata"),0,IF(COUNTIFS(tTQMReguliDoc[Cheie_regula],S31,tTQMReguliDoc[Decl_conformitate],"Da")=1,1,0))</f>
        <v>0</v>
      </c>
      <c r="W31" s="22">
        <f>IF(OR(C31="",T31&lt;&gt;"Confirmata"),0,IF(COUNTIFS(tTQMReguliDoc[Cheie_regula],S31,tTQMReguliDoc[Decl_producator],"Da")=1,1,0))</f>
        <v>0</v>
      </c>
      <c r="X31" s="22">
        <f>IF(OR(C31="",T31&lt;&gt;"Confirmata"),0,IF(COUNTIFS(tTQMReguliDoc[Cheie_regula],S31,tTQMReguliDoc[Fise_tehnice],"Da")=1,1,0))</f>
        <v>0</v>
      </c>
      <c r="Y31" s="22" t="str">
        <f t="shared" si="4"/>
        <v/>
      </c>
      <c r="Z31" s="22"/>
      <c r="AA31" s="22"/>
    </row>
    <row r="32" spans="1:27" ht="15" customHeight="1">
      <c r="A32" s="30"/>
      <c r="B32" s="31"/>
      <c r="C32" s="30"/>
      <c r="D32" s="30"/>
      <c r="E32" s="30"/>
      <c r="F32" s="32" t="str">
        <f t="shared" si="0"/>
        <v/>
      </c>
      <c r="G32" s="30"/>
      <c r="H32" s="30"/>
      <c r="I32" s="30"/>
      <c r="J32" s="32" t="str">
        <f t="shared" si="1"/>
        <v/>
      </c>
      <c r="K32" s="30" t="str">
        <f t="shared" si="2"/>
        <v/>
      </c>
      <c r="L32" s="30"/>
      <c r="M32" s="30"/>
      <c r="N32" s="22"/>
      <c r="O32" s="25"/>
      <c r="P32" s="26"/>
      <c r="Q32" s="22"/>
      <c r="R32" s="22"/>
      <c r="S32" s="22" t="str">
        <f t="shared" si="3"/>
        <v/>
      </c>
      <c r="T32" s="22" t="str">
        <f>IF(C32="","",IF(COUNTIF(tTQMReguliDoc[Cheie_regula],S32)&lt;&gt;1,"REGULA NECONFIGURATA",IF(COUNTIFS(tTQMReguliDoc[Cheie_regula],S32,tTQMReguliDoc[Stare],"Confirmata")=1,"Confirmata","De confirmat")))</f>
        <v/>
      </c>
      <c r="U32" s="22">
        <f>IF(OR(C32="",T32&lt;&gt;"Confirmata"),0,IF(COUNTIFS(tTQMReguliDoc[Cheie_regula],S32,tTQMReguliDoc[Aviz],"Da")=1,1,0))</f>
        <v>0</v>
      </c>
      <c r="V32" s="22">
        <f>IF(OR(C32="",T32&lt;&gt;"Confirmata"),0,IF(COUNTIFS(tTQMReguliDoc[Cheie_regula],S32,tTQMReguliDoc[Decl_conformitate],"Da")=1,1,0))</f>
        <v>0</v>
      </c>
      <c r="W32" s="22">
        <f>IF(OR(C32="",T32&lt;&gt;"Confirmata"),0,IF(COUNTIFS(tTQMReguliDoc[Cheie_regula],S32,tTQMReguliDoc[Decl_producator],"Da")=1,1,0))</f>
        <v>0</v>
      </c>
      <c r="X32" s="22">
        <f>IF(OR(C32="",T32&lt;&gt;"Confirmata"),0,IF(COUNTIFS(tTQMReguliDoc[Cheie_regula],S32,tTQMReguliDoc[Fise_tehnice],"Da")=1,1,0))</f>
        <v>0</v>
      </c>
      <c r="Y32" s="22" t="str">
        <f t="shared" si="4"/>
        <v/>
      </c>
      <c r="Z32" s="22"/>
      <c r="AA32" s="22"/>
    </row>
    <row r="33" spans="1:27" ht="15" customHeight="1">
      <c r="A33" s="30"/>
      <c r="B33" s="31"/>
      <c r="C33" s="30"/>
      <c r="D33" s="30"/>
      <c r="E33" s="30"/>
      <c r="F33" s="32" t="str">
        <f t="shared" si="0"/>
        <v/>
      </c>
      <c r="G33" s="30"/>
      <c r="H33" s="30"/>
      <c r="I33" s="30"/>
      <c r="J33" s="32" t="str">
        <f t="shared" si="1"/>
        <v/>
      </c>
      <c r="K33" s="30" t="str">
        <f t="shared" si="2"/>
        <v/>
      </c>
      <c r="L33" s="30"/>
      <c r="M33" s="30"/>
      <c r="N33" s="22"/>
      <c r="O33" s="25"/>
      <c r="P33" s="26"/>
      <c r="Q33" s="22"/>
      <c r="R33" s="22"/>
      <c r="S33" s="22" t="str">
        <f t="shared" si="3"/>
        <v/>
      </c>
      <c r="T33" s="22" t="str">
        <f>IF(C33="","",IF(COUNTIF(tTQMReguliDoc[Cheie_regula],S33)&lt;&gt;1,"REGULA NECONFIGURATA",IF(COUNTIFS(tTQMReguliDoc[Cheie_regula],S33,tTQMReguliDoc[Stare],"Confirmata")=1,"Confirmata","De confirmat")))</f>
        <v/>
      </c>
      <c r="U33" s="22">
        <f>IF(OR(C33="",T33&lt;&gt;"Confirmata"),0,IF(COUNTIFS(tTQMReguliDoc[Cheie_regula],S33,tTQMReguliDoc[Aviz],"Da")=1,1,0))</f>
        <v>0</v>
      </c>
      <c r="V33" s="22">
        <f>IF(OR(C33="",T33&lt;&gt;"Confirmata"),0,IF(COUNTIFS(tTQMReguliDoc[Cheie_regula],S33,tTQMReguliDoc[Decl_conformitate],"Da")=1,1,0))</f>
        <v>0</v>
      </c>
      <c r="W33" s="22">
        <f>IF(OR(C33="",T33&lt;&gt;"Confirmata"),0,IF(COUNTIFS(tTQMReguliDoc[Cheie_regula],S33,tTQMReguliDoc[Decl_producator],"Da")=1,1,0))</f>
        <v>0</v>
      </c>
      <c r="X33" s="22">
        <f>IF(OR(C33="",T33&lt;&gt;"Confirmata"),0,IF(COUNTIFS(tTQMReguliDoc[Cheie_regula],S33,tTQMReguliDoc[Fise_tehnice],"Da")=1,1,0))</f>
        <v>0</v>
      </c>
      <c r="Y33" s="22" t="str">
        <f t="shared" si="4"/>
        <v/>
      </c>
      <c r="Z33" s="22"/>
      <c r="AA33" s="22"/>
    </row>
    <row r="34" spans="1:27" ht="15" customHeight="1">
      <c r="A34" s="30"/>
      <c r="B34" s="31"/>
      <c r="C34" s="30"/>
      <c r="D34" s="30"/>
      <c r="E34" s="30"/>
      <c r="F34" s="32" t="str">
        <f t="shared" si="0"/>
        <v/>
      </c>
      <c r="G34" s="30"/>
      <c r="H34" s="30"/>
      <c r="I34" s="30"/>
      <c r="J34" s="32" t="str">
        <f t="shared" si="1"/>
        <v/>
      </c>
      <c r="K34" s="30" t="str">
        <f t="shared" si="2"/>
        <v/>
      </c>
      <c r="L34" s="30"/>
      <c r="M34" s="30"/>
      <c r="N34" s="22"/>
      <c r="O34" s="25"/>
      <c r="P34" s="26"/>
      <c r="Q34" s="22"/>
      <c r="R34" s="22"/>
      <c r="S34" s="22" t="str">
        <f t="shared" si="3"/>
        <v/>
      </c>
      <c r="T34" s="22" t="str">
        <f>IF(C34="","",IF(COUNTIF(tTQMReguliDoc[Cheie_regula],S34)&lt;&gt;1,"REGULA NECONFIGURATA",IF(COUNTIFS(tTQMReguliDoc[Cheie_regula],S34,tTQMReguliDoc[Stare],"Confirmata")=1,"Confirmata","De confirmat")))</f>
        <v/>
      </c>
      <c r="U34" s="22">
        <f>IF(OR(C34="",T34&lt;&gt;"Confirmata"),0,IF(COUNTIFS(tTQMReguliDoc[Cheie_regula],S34,tTQMReguliDoc[Aviz],"Da")=1,1,0))</f>
        <v>0</v>
      </c>
      <c r="V34" s="22">
        <f>IF(OR(C34="",T34&lt;&gt;"Confirmata"),0,IF(COUNTIFS(tTQMReguliDoc[Cheie_regula],S34,tTQMReguliDoc[Decl_conformitate],"Da")=1,1,0))</f>
        <v>0</v>
      </c>
      <c r="W34" s="22">
        <f>IF(OR(C34="",T34&lt;&gt;"Confirmata"),0,IF(COUNTIFS(tTQMReguliDoc[Cheie_regula],S34,tTQMReguliDoc[Decl_producator],"Da")=1,1,0))</f>
        <v>0</v>
      </c>
      <c r="X34" s="22">
        <f>IF(OR(C34="",T34&lt;&gt;"Confirmata"),0,IF(COUNTIFS(tTQMReguliDoc[Cheie_regula],S34,tTQMReguliDoc[Fise_tehnice],"Da")=1,1,0))</f>
        <v>0</v>
      </c>
      <c r="Y34" s="22" t="str">
        <f t="shared" si="4"/>
        <v/>
      </c>
      <c r="Z34" s="22"/>
      <c r="AA34" s="22"/>
    </row>
    <row r="35" spans="1:27" ht="15" customHeight="1">
      <c r="A35" s="30"/>
      <c r="B35" s="31"/>
      <c r="C35" s="30"/>
      <c r="D35" s="30"/>
      <c r="E35" s="30"/>
      <c r="F35" s="32" t="str">
        <f t="shared" si="0"/>
        <v/>
      </c>
      <c r="G35" s="30"/>
      <c r="H35" s="30"/>
      <c r="I35" s="30"/>
      <c r="J35" s="32" t="str">
        <f t="shared" si="1"/>
        <v/>
      </c>
      <c r="K35" s="30" t="str">
        <f t="shared" si="2"/>
        <v/>
      </c>
      <c r="L35" s="30"/>
      <c r="M35" s="30"/>
      <c r="N35" s="22"/>
      <c r="O35" s="25"/>
      <c r="P35" s="26"/>
      <c r="Q35" s="22"/>
      <c r="R35" s="22"/>
      <c r="S35" s="22" t="str">
        <f t="shared" si="3"/>
        <v/>
      </c>
      <c r="T35" s="22" t="str">
        <f>IF(C35="","",IF(COUNTIF(tTQMReguliDoc[Cheie_regula],S35)&lt;&gt;1,"REGULA NECONFIGURATA",IF(COUNTIFS(tTQMReguliDoc[Cheie_regula],S35,tTQMReguliDoc[Stare],"Confirmata")=1,"Confirmata","De confirmat")))</f>
        <v/>
      </c>
      <c r="U35" s="22">
        <f>IF(OR(C35="",T35&lt;&gt;"Confirmata"),0,IF(COUNTIFS(tTQMReguliDoc[Cheie_regula],S35,tTQMReguliDoc[Aviz],"Da")=1,1,0))</f>
        <v>0</v>
      </c>
      <c r="V35" s="22">
        <f>IF(OR(C35="",T35&lt;&gt;"Confirmata"),0,IF(COUNTIFS(tTQMReguliDoc[Cheie_regula],S35,tTQMReguliDoc[Decl_conformitate],"Da")=1,1,0))</f>
        <v>0</v>
      </c>
      <c r="W35" s="22">
        <f>IF(OR(C35="",T35&lt;&gt;"Confirmata"),0,IF(COUNTIFS(tTQMReguliDoc[Cheie_regula],S35,tTQMReguliDoc[Decl_producator],"Da")=1,1,0))</f>
        <v>0</v>
      </c>
      <c r="X35" s="22">
        <f>IF(OR(C35="",T35&lt;&gt;"Confirmata"),0,IF(COUNTIFS(tTQMReguliDoc[Cheie_regula],S35,tTQMReguliDoc[Fise_tehnice],"Da")=1,1,0))</f>
        <v>0</v>
      </c>
      <c r="Y35" s="22" t="str">
        <f t="shared" si="4"/>
        <v/>
      </c>
      <c r="Z35" s="22"/>
      <c r="AA35" s="22"/>
    </row>
    <row r="36" spans="1:27" ht="15" customHeight="1">
      <c r="A36" s="30"/>
      <c r="B36" s="31"/>
      <c r="C36" s="30"/>
      <c r="D36" s="30"/>
      <c r="E36" s="30"/>
      <c r="F36" s="32" t="str">
        <f t="shared" si="0"/>
        <v/>
      </c>
      <c r="G36" s="30"/>
      <c r="H36" s="30"/>
      <c r="I36" s="30"/>
      <c r="J36" s="32" t="str">
        <f t="shared" si="1"/>
        <v/>
      </c>
      <c r="K36" s="30" t="str">
        <f t="shared" si="2"/>
        <v/>
      </c>
      <c r="L36" s="30"/>
      <c r="M36" s="30"/>
      <c r="N36" s="22"/>
      <c r="O36" s="25"/>
      <c r="P36" s="26"/>
      <c r="Q36" s="22"/>
      <c r="R36" s="22"/>
      <c r="S36" s="22" t="str">
        <f t="shared" si="3"/>
        <v/>
      </c>
      <c r="T36" s="22" t="str">
        <f>IF(C36="","",IF(COUNTIF(tTQMReguliDoc[Cheie_regula],S36)&lt;&gt;1,"REGULA NECONFIGURATA",IF(COUNTIFS(tTQMReguliDoc[Cheie_regula],S36,tTQMReguliDoc[Stare],"Confirmata")=1,"Confirmata","De confirmat")))</f>
        <v/>
      </c>
      <c r="U36" s="22">
        <f>IF(OR(C36="",T36&lt;&gt;"Confirmata"),0,IF(COUNTIFS(tTQMReguliDoc[Cheie_regula],S36,tTQMReguliDoc[Aviz],"Da")=1,1,0))</f>
        <v>0</v>
      </c>
      <c r="V36" s="22">
        <f>IF(OR(C36="",T36&lt;&gt;"Confirmata"),0,IF(COUNTIFS(tTQMReguliDoc[Cheie_regula],S36,tTQMReguliDoc[Decl_conformitate],"Da")=1,1,0))</f>
        <v>0</v>
      </c>
      <c r="W36" s="22">
        <f>IF(OR(C36="",T36&lt;&gt;"Confirmata"),0,IF(COUNTIFS(tTQMReguliDoc[Cheie_regula],S36,tTQMReguliDoc[Decl_producator],"Da")=1,1,0))</f>
        <v>0</v>
      </c>
      <c r="X36" s="22">
        <f>IF(OR(C36="",T36&lt;&gt;"Confirmata"),0,IF(COUNTIFS(tTQMReguliDoc[Cheie_regula],S36,tTQMReguliDoc[Fise_tehnice],"Da")=1,1,0))</f>
        <v>0</v>
      </c>
      <c r="Y36" s="22" t="str">
        <f t="shared" si="4"/>
        <v/>
      </c>
      <c r="Z36" s="22"/>
      <c r="AA36" s="22"/>
    </row>
    <row r="37" spans="1:27" ht="15" customHeight="1">
      <c r="A37" s="30"/>
      <c r="B37" s="31"/>
      <c r="C37" s="30"/>
      <c r="D37" s="30"/>
      <c r="E37" s="30"/>
      <c r="F37" s="32" t="str">
        <f t="shared" si="0"/>
        <v/>
      </c>
      <c r="G37" s="30"/>
      <c r="H37" s="30"/>
      <c r="I37" s="30"/>
      <c r="J37" s="32" t="str">
        <f t="shared" si="1"/>
        <v/>
      </c>
      <c r="K37" s="30" t="str">
        <f t="shared" si="2"/>
        <v/>
      </c>
      <c r="L37" s="30"/>
      <c r="M37" s="30"/>
      <c r="N37" s="22"/>
      <c r="O37" s="25"/>
      <c r="P37" s="26"/>
      <c r="Q37" s="22"/>
      <c r="R37" s="22"/>
      <c r="S37" s="22" t="str">
        <f t="shared" si="3"/>
        <v/>
      </c>
      <c r="T37" s="22" t="str">
        <f>IF(C37="","",IF(COUNTIF(tTQMReguliDoc[Cheie_regula],S37)&lt;&gt;1,"REGULA NECONFIGURATA",IF(COUNTIFS(tTQMReguliDoc[Cheie_regula],S37,tTQMReguliDoc[Stare],"Confirmata")=1,"Confirmata","De confirmat")))</f>
        <v/>
      </c>
      <c r="U37" s="22">
        <f>IF(OR(C37="",T37&lt;&gt;"Confirmata"),0,IF(COUNTIFS(tTQMReguliDoc[Cheie_regula],S37,tTQMReguliDoc[Aviz],"Da")=1,1,0))</f>
        <v>0</v>
      </c>
      <c r="V37" s="22">
        <f>IF(OR(C37="",T37&lt;&gt;"Confirmata"),0,IF(COUNTIFS(tTQMReguliDoc[Cheie_regula],S37,tTQMReguliDoc[Decl_conformitate],"Da")=1,1,0))</f>
        <v>0</v>
      </c>
      <c r="W37" s="22">
        <f>IF(OR(C37="",T37&lt;&gt;"Confirmata"),0,IF(COUNTIFS(tTQMReguliDoc[Cheie_regula],S37,tTQMReguliDoc[Decl_producator],"Da")=1,1,0))</f>
        <v>0</v>
      </c>
      <c r="X37" s="22">
        <f>IF(OR(C37="",T37&lt;&gt;"Confirmata"),0,IF(COUNTIFS(tTQMReguliDoc[Cheie_regula],S37,tTQMReguliDoc[Fise_tehnice],"Da")=1,1,0))</f>
        <v>0</v>
      </c>
      <c r="Y37" s="22" t="str">
        <f t="shared" si="4"/>
        <v/>
      </c>
      <c r="Z37" s="22"/>
      <c r="AA37" s="22"/>
    </row>
    <row r="38" spans="1:27" ht="15" customHeight="1">
      <c r="A38" s="30"/>
      <c r="B38" s="31"/>
      <c r="C38" s="30"/>
      <c r="D38" s="30"/>
      <c r="E38" s="30"/>
      <c r="F38" s="32" t="str">
        <f t="shared" si="0"/>
        <v/>
      </c>
      <c r="G38" s="30"/>
      <c r="H38" s="30"/>
      <c r="I38" s="30"/>
      <c r="J38" s="32" t="str">
        <f t="shared" si="1"/>
        <v/>
      </c>
      <c r="K38" s="30" t="str">
        <f t="shared" si="2"/>
        <v/>
      </c>
      <c r="L38" s="30"/>
      <c r="M38" s="30"/>
      <c r="N38" s="22"/>
      <c r="O38" s="25"/>
      <c r="P38" s="26"/>
      <c r="Q38" s="22"/>
      <c r="R38" s="22"/>
      <c r="S38" s="22" t="str">
        <f t="shared" si="3"/>
        <v/>
      </c>
      <c r="T38" s="22" t="str">
        <f>IF(C38="","",IF(COUNTIF(tTQMReguliDoc[Cheie_regula],S38)&lt;&gt;1,"REGULA NECONFIGURATA",IF(COUNTIFS(tTQMReguliDoc[Cheie_regula],S38,tTQMReguliDoc[Stare],"Confirmata")=1,"Confirmata","De confirmat")))</f>
        <v/>
      </c>
      <c r="U38" s="22">
        <f>IF(OR(C38="",T38&lt;&gt;"Confirmata"),0,IF(COUNTIFS(tTQMReguliDoc[Cheie_regula],S38,tTQMReguliDoc[Aviz],"Da")=1,1,0))</f>
        <v>0</v>
      </c>
      <c r="V38" s="22">
        <f>IF(OR(C38="",T38&lt;&gt;"Confirmata"),0,IF(COUNTIFS(tTQMReguliDoc[Cheie_regula],S38,tTQMReguliDoc[Decl_conformitate],"Da")=1,1,0))</f>
        <v>0</v>
      </c>
      <c r="W38" s="22">
        <f>IF(OR(C38="",T38&lt;&gt;"Confirmata"),0,IF(COUNTIFS(tTQMReguliDoc[Cheie_regula],S38,tTQMReguliDoc[Decl_producator],"Da")=1,1,0))</f>
        <v>0</v>
      </c>
      <c r="X38" s="22">
        <f>IF(OR(C38="",T38&lt;&gt;"Confirmata"),0,IF(COUNTIFS(tTQMReguliDoc[Cheie_regula],S38,tTQMReguliDoc[Fise_tehnice],"Da")=1,1,0))</f>
        <v>0</v>
      </c>
      <c r="Y38" s="22" t="str">
        <f t="shared" si="4"/>
        <v/>
      </c>
      <c r="Z38" s="22"/>
      <c r="AA38" s="22"/>
    </row>
    <row r="39" spans="1:27" ht="15" customHeight="1">
      <c r="A39" s="30"/>
      <c r="B39" s="31"/>
      <c r="C39" s="30"/>
      <c r="D39" s="30"/>
      <c r="E39" s="30"/>
      <c r="F39" s="32" t="str">
        <f t="shared" si="0"/>
        <v/>
      </c>
      <c r="G39" s="30"/>
      <c r="H39" s="30"/>
      <c r="I39" s="30"/>
      <c r="J39" s="32" t="str">
        <f t="shared" si="1"/>
        <v/>
      </c>
      <c r="K39" s="30" t="str">
        <f t="shared" si="2"/>
        <v/>
      </c>
      <c r="L39" s="30"/>
      <c r="M39" s="30"/>
      <c r="N39" s="22"/>
      <c r="O39" s="25"/>
      <c r="P39" s="26"/>
      <c r="Q39" s="22"/>
      <c r="R39" s="22"/>
      <c r="S39" s="22" t="str">
        <f t="shared" si="3"/>
        <v/>
      </c>
      <c r="T39" s="22" t="str">
        <f>IF(C39="","",IF(COUNTIF(tTQMReguliDoc[Cheie_regula],S39)&lt;&gt;1,"REGULA NECONFIGURATA",IF(COUNTIFS(tTQMReguliDoc[Cheie_regula],S39,tTQMReguliDoc[Stare],"Confirmata")=1,"Confirmata","De confirmat")))</f>
        <v/>
      </c>
      <c r="U39" s="22">
        <f>IF(OR(C39="",T39&lt;&gt;"Confirmata"),0,IF(COUNTIFS(tTQMReguliDoc[Cheie_regula],S39,tTQMReguliDoc[Aviz],"Da")=1,1,0))</f>
        <v>0</v>
      </c>
      <c r="V39" s="22">
        <f>IF(OR(C39="",T39&lt;&gt;"Confirmata"),0,IF(COUNTIFS(tTQMReguliDoc[Cheie_regula],S39,tTQMReguliDoc[Decl_conformitate],"Da")=1,1,0))</f>
        <v>0</v>
      </c>
      <c r="W39" s="22">
        <f>IF(OR(C39="",T39&lt;&gt;"Confirmata"),0,IF(COUNTIFS(tTQMReguliDoc[Cheie_regula],S39,tTQMReguliDoc[Decl_producator],"Da")=1,1,0))</f>
        <v>0</v>
      </c>
      <c r="X39" s="22">
        <f>IF(OR(C39="",T39&lt;&gt;"Confirmata"),0,IF(COUNTIFS(tTQMReguliDoc[Cheie_regula],S39,tTQMReguliDoc[Fise_tehnice],"Da")=1,1,0))</f>
        <v>0</v>
      </c>
      <c r="Y39" s="22" t="str">
        <f t="shared" si="4"/>
        <v/>
      </c>
      <c r="Z39" s="22"/>
      <c r="AA39" s="22"/>
    </row>
    <row r="40" spans="1:27" ht="15" customHeight="1">
      <c r="A40" s="30"/>
      <c r="B40" s="31"/>
      <c r="C40" s="30"/>
      <c r="D40" s="30"/>
      <c r="E40" s="30"/>
      <c r="F40" s="32" t="str">
        <f t="shared" si="0"/>
        <v/>
      </c>
      <c r="G40" s="30"/>
      <c r="H40" s="30"/>
      <c r="I40" s="30"/>
      <c r="J40" s="32" t="str">
        <f t="shared" si="1"/>
        <v/>
      </c>
      <c r="K40" s="30" t="str">
        <f t="shared" si="2"/>
        <v/>
      </c>
      <c r="L40" s="30"/>
      <c r="M40" s="30"/>
      <c r="N40" s="22"/>
      <c r="O40" s="25"/>
      <c r="P40" s="26"/>
      <c r="Q40" s="22"/>
      <c r="R40" s="22"/>
      <c r="S40" s="22" t="str">
        <f t="shared" si="3"/>
        <v/>
      </c>
      <c r="T40" s="22" t="str">
        <f>IF(C40="","",IF(COUNTIF(tTQMReguliDoc[Cheie_regula],S40)&lt;&gt;1,"REGULA NECONFIGURATA",IF(COUNTIFS(tTQMReguliDoc[Cheie_regula],S40,tTQMReguliDoc[Stare],"Confirmata")=1,"Confirmata","De confirmat")))</f>
        <v/>
      </c>
      <c r="U40" s="22">
        <f>IF(OR(C40="",T40&lt;&gt;"Confirmata"),0,IF(COUNTIFS(tTQMReguliDoc[Cheie_regula],S40,tTQMReguliDoc[Aviz],"Da")=1,1,0))</f>
        <v>0</v>
      </c>
      <c r="V40" s="22">
        <f>IF(OR(C40="",T40&lt;&gt;"Confirmata"),0,IF(COUNTIFS(tTQMReguliDoc[Cheie_regula],S40,tTQMReguliDoc[Decl_conformitate],"Da")=1,1,0))</f>
        <v>0</v>
      </c>
      <c r="W40" s="22">
        <f>IF(OR(C40="",T40&lt;&gt;"Confirmata"),0,IF(COUNTIFS(tTQMReguliDoc[Cheie_regula],S40,tTQMReguliDoc[Decl_producator],"Da")=1,1,0))</f>
        <v>0</v>
      </c>
      <c r="X40" s="22">
        <f>IF(OR(C40="",T40&lt;&gt;"Confirmata"),0,IF(COUNTIFS(tTQMReguliDoc[Cheie_regula],S40,tTQMReguliDoc[Fise_tehnice],"Da")=1,1,0))</f>
        <v>0</v>
      </c>
      <c r="Y40" s="22" t="str">
        <f t="shared" si="4"/>
        <v/>
      </c>
      <c r="Z40" s="22"/>
      <c r="AA40" s="22"/>
    </row>
    <row r="41" spans="1:27" ht="15" customHeight="1">
      <c r="A41" s="30"/>
      <c r="B41" s="31"/>
      <c r="C41" s="30"/>
      <c r="D41" s="30"/>
      <c r="E41" s="30"/>
      <c r="F41" s="32" t="str">
        <f t="shared" si="0"/>
        <v/>
      </c>
      <c r="G41" s="30"/>
      <c r="H41" s="30"/>
      <c r="I41" s="30"/>
      <c r="J41" s="32" t="str">
        <f t="shared" si="1"/>
        <v/>
      </c>
      <c r="K41" s="30" t="str">
        <f t="shared" si="2"/>
        <v/>
      </c>
      <c r="L41" s="30"/>
      <c r="M41" s="30"/>
      <c r="N41" s="22"/>
      <c r="O41" s="25"/>
      <c r="P41" s="26"/>
      <c r="Q41" s="22"/>
      <c r="R41" s="22"/>
      <c r="S41" s="22" t="str">
        <f t="shared" si="3"/>
        <v/>
      </c>
      <c r="T41" s="22" t="str">
        <f>IF(C41="","",IF(COUNTIF(tTQMReguliDoc[Cheie_regula],S41)&lt;&gt;1,"REGULA NECONFIGURATA",IF(COUNTIFS(tTQMReguliDoc[Cheie_regula],S41,tTQMReguliDoc[Stare],"Confirmata")=1,"Confirmata","De confirmat")))</f>
        <v/>
      </c>
      <c r="U41" s="22">
        <f>IF(OR(C41="",T41&lt;&gt;"Confirmata"),0,IF(COUNTIFS(tTQMReguliDoc[Cheie_regula],S41,tTQMReguliDoc[Aviz],"Da")=1,1,0))</f>
        <v>0</v>
      </c>
      <c r="V41" s="22">
        <f>IF(OR(C41="",T41&lt;&gt;"Confirmata"),0,IF(COUNTIFS(tTQMReguliDoc[Cheie_regula],S41,tTQMReguliDoc[Decl_conformitate],"Da")=1,1,0))</f>
        <v>0</v>
      </c>
      <c r="W41" s="22">
        <f>IF(OR(C41="",T41&lt;&gt;"Confirmata"),0,IF(COUNTIFS(tTQMReguliDoc[Cheie_regula],S41,tTQMReguliDoc[Decl_producator],"Da")=1,1,0))</f>
        <v>0</v>
      </c>
      <c r="X41" s="22">
        <f>IF(OR(C41="",T41&lt;&gt;"Confirmata"),0,IF(COUNTIFS(tTQMReguliDoc[Cheie_regula],S41,tTQMReguliDoc[Fise_tehnice],"Da")=1,1,0))</f>
        <v>0</v>
      </c>
      <c r="Y41" s="22" t="str">
        <f t="shared" si="4"/>
        <v/>
      </c>
      <c r="Z41" s="22"/>
      <c r="AA41" s="22"/>
    </row>
    <row r="42" spans="1:27" ht="15" customHeight="1">
      <c r="A42" s="30"/>
      <c r="B42" s="31"/>
      <c r="C42" s="30"/>
      <c r="D42" s="30"/>
      <c r="E42" s="30"/>
      <c r="F42" s="32" t="str">
        <f t="shared" si="0"/>
        <v/>
      </c>
      <c r="G42" s="30"/>
      <c r="H42" s="30"/>
      <c r="I42" s="30"/>
      <c r="J42" s="32" t="str">
        <f t="shared" si="1"/>
        <v/>
      </c>
      <c r="K42" s="30" t="str">
        <f t="shared" si="2"/>
        <v/>
      </c>
      <c r="L42" s="30"/>
      <c r="M42" s="30"/>
      <c r="N42" s="22"/>
      <c r="O42" s="25"/>
      <c r="P42" s="26"/>
      <c r="Q42" s="22"/>
      <c r="R42" s="22"/>
      <c r="S42" s="22" t="str">
        <f t="shared" si="3"/>
        <v/>
      </c>
      <c r="T42" s="22" t="str">
        <f>IF(C42="","",IF(COUNTIF(tTQMReguliDoc[Cheie_regula],S42)&lt;&gt;1,"REGULA NECONFIGURATA",IF(COUNTIFS(tTQMReguliDoc[Cheie_regula],S42,tTQMReguliDoc[Stare],"Confirmata")=1,"Confirmata","De confirmat")))</f>
        <v/>
      </c>
      <c r="U42" s="22">
        <f>IF(OR(C42="",T42&lt;&gt;"Confirmata"),0,IF(COUNTIFS(tTQMReguliDoc[Cheie_regula],S42,tTQMReguliDoc[Aviz],"Da")=1,1,0))</f>
        <v>0</v>
      </c>
      <c r="V42" s="22">
        <f>IF(OR(C42="",T42&lt;&gt;"Confirmata"),0,IF(COUNTIFS(tTQMReguliDoc[Cheie_regula],S42,tTQMReguliDoc[Decl_conformitate],"Da")=1,1,0))</f>
        <v>0</v>
      </c>
      <c r="W42" s="22">
        <f>IF(OR(C42="",T42&lt;&gt;"Confirmata"),0,IF(COUNTIFS(tTQMReguliDoc[Cheie_regula],S42,tTQMReguliDoc[Decl_producator],"Da")=1,1,0))</f>
        <v>0</v>
      </c>
      <c r="X42" s="22">
        <f>IF(OR(C42="",T42&lt;&gt;"Confirmata"),0,IF(COUNTIFS(tTQMReguliDoc[Cheie_regula],S42,tTQMReguliDoc[Fise_tehnice],"Da")=1,1,0))</f>
        <v>0</v>
      </c>
      <c r="Y42" s="22" t="str">
        <f t="shared" si="4"/>
        <v/>
      </c>
      <c r="Z42" s="22"/>
      <c r="AA42" s="22"/>
    </row>
    <row r="43" spans="1:27" ht="15" customHeight="1">
      <c r="A43" s="30"/>
      <c r="B43" s="31"/>
      <c r="C43" s="30"/>
      <c r="D43" s="30"/>
      <c r="E43" s="30"/>
      <c r="F43" s="32" t="str">
        <f t="shared" si="0"/>
        <v/>
      </c>
      <c r="G43" s="30"/>
      <c r="H43" s="30"/>
      <c r="I43" s="30"/>
      <c r="J43" s="32" t="str">
        <f t="shared" si="1"/>
        <v/>
      </c>
      <c r="K43" s="30" t="str">
        <f t="shared" si="2"/>
        <v/>
      </c>
      <c r="L43" s="30"/>
      <c r="M43" s="30"/>
      <c r="N43" s="22"/>
      <c r="O43" s="25"/>
      <c r="P43" s="26"/>
      <c r="Q43" s="22"/>
      <c r="R43" s="22"/>
      <c r="S43" s="22" t="str">
        <f t="shared" si="3"/>
        <v/>
      </c>
      <c r="T43" s="22" t="str">
        <f>IF(C43="","",IF(COUNTIF(tTQMReguliDoc[Cheie_regula],S43)&lt;&gt;1,"REGULA NECONFIGURATA",IF(COUNTIFS(tTQMReguliDoc[Cheie_regula],S43,tTQMReguliDoc[Stare],"Confirmata")=1,"Confirmata","De confirmat")))</f>
        <v/>
      </c>
      <c r="U43" s="22">
        <f>IF(OR(C43="",T43&lt;&gt;"Confirmata"),0,IF(COUNTIFS(tTQMReguliDoc[Cheie_regula],S43,tTQMReguliDoc[Aviz],"Da")=1,1,0))</f>
        <v>0</v>
      </c>
      <c r="V43" s="22">
        <f>IF(OR(C43="",T43&lt;&gt;"Confirmata"),0,IF(COUNTIFS(tTQMReguliDoc[Cheie_regula],S43,tTQMReguliDoc[Decl_conformitate],"Da")=1,1,0))</f>
        <v>0</v>
      </c>
      <c r="W43" s="22">
        <f>IF(OR(C43="",T43&lt;&gt;"Confirmata"),0,IF(COUNTIFS(tTQMReguliDoc[Cheie_regula],S43,tTQMReguliDoc[Decl_producator],"Da")=1,1,0))</f>
        <v>0</v>
      </c>
      <c r="X43" s="22">
        <f>IF(OR(C43="",T43&lt;&gt;"Confirmata"),0,IF(COUNTIFS(tTQMReguliDoc[Cheie_regula],S43,tTQMReguliDoc[Fise_tehnice],"Da")=1,1,0))</f>
        <v>0</v>
      </c>
      <c r="Y43" s="22" t="str">
        <f t="shared" si="4"/>
        <v/>
      </c>
      <c r="Z43" s="22"/>
      <c r="AA43" s="22"/>
    </row>
    <row r="44" spans="1:27" ht="15" customHeight="1">
      <c r="A44" s="30"/>
      <c r="B44" s="31"/>
      <c r="C44" s="30"/>
      <c r="D44" s="30"/>
      <c r="E44" s="30"/>
      <c r="F44" s="32" t="str">
        <f t="shared" si="0"/>
        <v/>
      </c>
      <c r="G44" s="30"/>
      <c r="H44" s="30"/>
      <c r="I44" s="30"/>
      <c r="J44" s="32" t="str">
        <f t="shared" si="1"/>
        <v/>
      </c>
      <c r="K44" s="30" t="str">
        <f t="shared" si="2"/>
        <v/>
      </c>
      <c r="L44" s="30"/>
      <c r="M44" s="30"/>
      <c r="N44" s="22"/>
      <c r="O44" s="25"/>
      <c r="P44" s="26"/>
      <c r="Q44" s="22"/>
      <c r="R44" s="22"/>
      <c r="S44" s="22" t="str">
        <f t="shared" si="3"/>
        <v/>
      </c>
      <c r="T44" s="22" t="str">
        <f>IF(C44="","",IF(COUNTIF(tTQMReguliDoc[Cheie_regula],S44)&lt;&gt;1,"REGULA NECONFIGURATA",IF(COUNTIFS(tTQMReguliDoc[Cheie_regula],S44,tTQMReguliDoc[Stare],"Confirmata")=1,"Confirmata","De confirmat")))</f>
        <v/>
      </c>
      <c r="U44" s="22">
        <f>IF(OR(C44="",T44&lt;&gt;"Confirmata"),0,IF(COUNTIFS(tTQMReguliDoc[Cheie_regula],S44,tTQMReguliDoc[Aviz],"Da")=1,1,0))</f>
        <v>0</v>
      </c>
      <c r="V44" s="22">
        <f>IF(OR(C44="",T44&lt;&gt;"Confirmata"),0,IF(COUNTIFS(tTQMReguliDoc[Cheie_regula],S44,tTQMReguliDoc[Decl_conformitate],"Da")=1,1,0))</f>
        <v>0</v>
      </c>
      <c r="W44" s="22">
        <f>IF(OR(C44="",T44&lt;&gt;"Confirmata"),0,IF(COUNTIFS(tTQMReguliDoc[Cheie_regula],S44,tTQMReguliDoc[Decl_producator],"Da")=1,1,0))</f>
        <v>0</v>
      </c>
      <c r="X44" s="22">
        <f>IF(OR(C44="",T44&lt;&gt;"Confirmata"),0,IF(COUNTIFS(tTQMReguliDoc[Cheie_regula],S44,tTQMReguliDoc[Fise_tehnice],"Da")=1,1,0))</f>
        <v>0</v>
      </c>
      <c r="Y44" s="22" t="str">
        <f t="shared" si="4"/>
        <v/>
      </c>
      <c r="Z44" s="22"/>
      <c r="AA44" s="22"/>
    </row>
    <row r="45" spans="1:27" ht="15" customHeight="1">
      <c r="A45" s="30"/>
      <c r="B45" s="31"/>
      <c r="C45" s="30"/>
      <c r="D45" s="30"/>
      <c r="E45" s="30"/>
      <c r="F45" s="32" t="str">
        <f t="shared" si="0"/>
        <v/>
      </c>
      <c r="G45" s="30"/>
      <c r="H45" s="30"/>
      <c r="I45" s="30"/>
      <c r="J45" s="32" t="str">
        <f t="shared" si="1"/>
        <v/>
      </c>
      <c r="K45" s="30" t="str">
        <f t="shared" si="2"/>
        <v/>
      </c>
      <c r="L45" s="30"/>
      <c r="M45" s="30"/>
      <c r="N45" s="22"/>
      <c r="O45" s="25"/>
      <c r="P45" s="26"/>
      <c r="Q45" s="22"/>
      <c r="R45" s="22"/>
      <c r="S45" s="22" t="str">
        <f t="shared" si="3"/>
        <v/>
      </c>
      <c r="T45" s="22" t="str">
        <f>IF(C45="","",IF(COUNTIF(tTQMReguliDoc[Cheie_regula],S45)&lt;&gt;1,"REGULA NECONFIGURATA",IF(COUNTIFS(tTQMReguliDoc[Cheie_regula],S45,tTQMReguliDoc[Stare],"Confirmata")=1,"Confirmata","De confirmat")))</f>
        <v/>
      </c>
      <c r="U45" s="22">
        <f>IF(OR(C45="",T45&lt;&gt;"Confirmata"),0,IF(COUNTIFS(tTQMReguliDoc[Cheie_regula],S45,tTQMReguliDoc[Aviz],"Da")=1,1,0))</f>
        <v>0</v>
      </c>
      <c r="V45" s="22">
        <f>IF(OR(C45="",T45&lt;&gt;"Confirmata"),0,IF(COUNTIFS(tTQMReguliDoc[Cheie_regula],S45,tTQMReguliDoc[Decl_conformitate],"Da")=1,1,0))</f>
        <v>0</v>
      </c>
      <c r="W45" s="22">
        <f>IF(OR(C45="",T45&lt;&gt;"Confirmata"),0,IF(COUNTIFS(tTQMReguliDoc[Cheie_regula],S45,tTQMReguliDoc[Decl_producator],"Da")=1,1,0))</f>
        <v>0</v>
      </c>
      <c r="X45" s="22">
        <f>IF(OR(C45="",T45&lt;&gt;"Confirmata"),0,IF(COUNTIFS(tTQMReguliDoc[Cheie_regula],S45,tTQMReguliDoc[Fise_tehnice],"Da")=1,1,0))</f>
        <v>0</v>
      </c>
      <c r="Y45" s="22" t="str">
        <f t="shared" si="4"/>
        <v/>
      </c>
      <c r="Z45" s="22"/>
      <c r="AA45" s="22"/>
    </row>
    <row r="46" spans="1:27" ht="15" customHeight="1">
      <c r="A46" s="30"/>
      <c r="B46" s="31"/>
      <c r="C46" s="30"/>
      <c r="D46" s="30"/>
      <c r="E46" s="30"/>
      <c r="F46" s="32" t="str">
        <f t="shared" si="0"/>
        <v/>
      </c>
      <c r="G46" s="30"/>
      <c r="H46" s="30"/>
      <c r="I46" s="30"/>
      <c r="J46" s="32" t="str">
        <f t="shared" si="1"/>
        <v/>
      </c>
      <c r="K46" s="30" t="str">
        <f t="shared" si="2"/>
        <v/>
      </c>
      <c r="L46" s="30"/>
      <c r="M46" s="30"/>
      <c r="N46" s="22"/>
      <c r="O46" s="25"/>
      <c r="P46" s="26"/>
      <c r="Q46" s="22"/>
      <c r="R46" s="22"/>
      <c r="S46" s="22" t="str">
        <f t="shared" si="3"/>
        <v/>
      </c>
      <c r="T46" s="22" t="str">
        <f>IF(C46="","",IF(COUNTIF(tTQMReguliDoc[Cheie_regula],S46)&lt;&gt;1,"REGULA NECONFIGURATA",IF(COUNTIFS(tTQMReguliDoc[Cheie_regula],S46,tTQMReguliDoc[Stare],"Confirmata")=1,"Confirmata","De confirmat")))</f>
        <v/>
      </c>
      <c r="U46" s="22">
        <f>IF(OR(C46="",T46&lt;&gt;"Confirmata"),0,IF(COUNTIFS(tTQMReguliDoc[Cheie_regula],S46,tTQMReguliDoc[Aviz],"Da")=1,1,0))</f>
        <v>0</v>
      </c>
      <c r="V46" s="22">
        <f>IF(OR(C46="",T46&lt;&gt;"Confirmata"),0,IF(COUNTIFS(tTQMReguliDoc[Cheie_regula],S46,tTQMReguliDoc[Decl_conformitate],"Da")=1,1,0))</f>
        <v>0</v>
      </c>
      <c r="W46" s="22">
        <f>IF(OR(C46="",T46&lt;&gt;"Confirmata"),0,IF(COUNTIFS(tTQMReguliDoc[Cheie_regula],S46,tTQMReguliDoc[Decl_producator],"Da")=1,1,0))</f>
        <v>0</v>
      </c>
      <c r="X46" s="22">
        <f>IF(OR(C46="",T46&lt;&gt;"Confirmata"),0,IF(COUNTIFS(tTQMReguliDoc[Cheie_regula],S46,tTQMReguliDoc[Fise_tehnice],"Da")=1,1,0))</f>
        <v>0</v>
      </c>
      <c r="Y46" s="22" t="str">
        <f t="shared" si="4"/>
        <v/>
      </c>
      <c r="Z46" s="22"/>
      <c r="AA46" s="22"/>
    </row>
    <row r="47" spans="1:27" ht="15" customHeight="1">
      <c r="A47" s="30"/>
      <c r="B47" s="31"/>
      <c r="C47" s="30"/>
      <c r="D47" s="30"/>
      <c r="E47" s="30"/>
      <c r="F47" s="32" t="str">
        <f t="shared" si="0"/>
        <v/>
      </c>
      <c r="G47" s="30"/>
      <c r="H47" s="30"/>
      <c r="I47" s="30"/>
      <c r="J47" s="32" t="str">
        <f t="shared" si="1"/>
        <v/>
      </c>
      <c r="K47" s="30" t="str">
        <f t="shared" si="2"/>
        <v/>
      </c>
      <c r="L47" s="30"/>
      <c r="M47" s="30"/>
      <c r="N47" s="22"/>
      <c r="O47" s="25"/>
      <c r="P47" s="26"/>
      <c r="Q47" s="22"/>
      <c r="R47" s="22"/>
      <c r="S47" s="22" t="str">
        <f t="shared" si="3"/>
        <v/>
      </c>
      <c r="T47" s="22" t="str">
        <f>IF(C47="","",IF(COUNTIF(tTQMReguliDoc[Cheie_regula],S47)&lt;&gt;1,"REGULA NECONFIGURATA",IF(COUNTIFS(tTQMReguliDoc[Cheie_regula],S47,tTQMReguliDoc[Stare],"Confirmata")=1,"Confirmata","De confirmat")))</f>
        <v/>
      </c>
      <c r="U47" s="22">
        <f>IF(OR(C47="",T47&lt;&gt;"Confirmata"),0,IF(COUNTIFS(tTQMReguliDoc[Cheie_regula],S47,tTQMReguliDoc[Aviz],"Da")=1,1,0))</f>
        <v>0</v>
      </c>
      <c r="V47" s="22">
        <f>IF(OR(C47="",T47&lt;&gt;"Confirmata"),0,IF(COUNTIFS(tTQMReguliDoc[Cheie_regula],S47,tTQMReguliDoc[Decl_conformitate],"Da")=1,1,0))</f>
        <v>0</v>
      </c>
      <c r="W47" s="22">
        <f>IF(OR(C47="",T47&lt;&gt;"Confirmata"),0,IF(COUNTIFS(tTQMReguliDoc[Cheie_regula],S47,tTQMReguliDoc[Decl_producator],"Da")=1,1,0))</f>
        <v>0</v>
      </c>
      <c r="X47" s="22">
        <f>IF(OR(C47="",T47&lt;&gt;"Confirmata"),0,IF(COUNTIFS(tTQMReguliDoc[Cheie_regula],S47,tTQMReguliDoc[Fise_tehnice],"Da")=1,1,0))</f>
        <v>0</v>
      </c>
      <c r="Y47" s="22" t="str">
        <f t="shared" si="4"/>
        <v/>
      </c>
      <c r="Z47" s="22"/>
      <c r="AA47" s="22"/>
    </row>
    <row r="48" spans="1:27" ht="15" customHeight="1">
      <c r="A48" s="30"/>
      <c r="B48" s="31"/>
      <c r="C48" s="30"/>
      <c r="D48" s="30"/>
      <c r="E48" s="30"/>
      <c r="F48" s="32" t="str">
        <f t="shared" si="0"/>
        <v/>
      </c>
      <c r="G48" s="30"/>
      <c r="H48" s="30"/>
      <c r="I48" s="30"/>
      <c r="J48" s="32" t="str">
        <f t="shared" si="1"/>
        <v/>
      </c>
      <c r="K48" s="30" t="str">
        <f t="shared" si="2"/>
        <v/>
      </c>
      <c r="L48" s="30"/>
      <c r="M48" s="30"/>
      <c r="N48" s="22"/>
      <c r="O48" s="25"/>
      <c r="P48" s="26"/>
      <c r="Q48" s="22"/>
      <c r="R48" s="22"/>
      <c r="S48" s="22" t="str">
        <f t="shared" si="3"/>
        <v/>
      </c>
      <c r="T48" s="22" t="str">
        <f>IF(C48="","",IF(COUNTIF(tTQMReguliDoc[Cheie_regula],S48)&lt;&gt;1,"REGULA NECONFIGURATA",IF(COUNTIFS(tTQMReguliDoc[Cheie_regula],S48,tTQMReguliDoc[Stare],"Confirmata")=1,"Confirmata","De confirmat")))</f>
        <v/>
      </c>
      <c r="U48" s="22">
        <f>IF(OR(C48="",T48&lt;&gt;"Confirmata"),0,IF(COUNTIFS(tTQMReguliDoc[Cheie_regula],S48,tTQMReguliDoc[Aviz],"Da")=1,1,0))</f>
        <v>0</v>
      </c>
      <c r="V48" s="22">
        <f>IF(OR(C48="",T48&lt;&gt;"Confirmata"),0,IF(COUNTIFS(tTQMReguliDoc[Cheie_regula],S48,tTQMReguliDoc[Decl_conformitate],"Da")=1,1,0))</f>
        <v>0</v>
      </c>
      <c r="W48" s="22">
        <f>IF(OR(C48="",T48&lt;&gt;"Confirmata"),0,IF(COUNTIFS(tTQMReguliDoc[Cheie_regula],S48,tTQMReguliDoc[Decl_producator],"Da")=1,1,0))</f>
        <v>0</v>
      </c>
      <c r="X48" s="22">
        <f>IF(OR(C48="",T48&lt;&gt;"Confirmata"),0,IF(COUNTIFS(tTQMReguliDoc[Cheie_regula],S48,tTQMReguliDoc[Fise_tehnice],"Da")=1,1,0))</f>
        <v>0</v>
      </c>
      <c r="Y48" s="22" t="str">
        <f t="shared" si="4"/>
        <v/>
      </c>
      <c r="Z48" s="22"/>
      <c r="AA48" s="22"/>
    </row>
    <row r="49" spans="1:27" ht="15" customHeight="1">
      <c r="A49" s="30"/>
      <c r="B49" s="31"/>
      <c r="C49" s="30"/>
      <c r="D49" s="30"/>
      <c r="E49" s="30"/>
      <c r="F49" s="32" t="str">
        <f t="shared" si="0"/>
        <v/>
      </c>
      <c r="G49" s="30"/>
      <c r="H49" s="30"/>
      <c r="I49" s="30"/>
      <c r="J49" s="32" t="str">
        <f t="shared" si="1"/>
        <v/>
      </c>
      <c r="K49" s="30" t="str">
        <f t="shared" si="2"/>
        <v/>
      </c>
      <c r="L49" s="30"/>
      <c r="M49" s="30"/>
      <c r="N49" s="22"/>
      <c r="O49" s="25"/>
      <c r="P49" s="26"/>
      <c r="Q49" s="22"/>
      <c r="R49" s="22"/>
      <c r="S49" s="22" t="str">
        <f t="shared" si="3"/>
        <v/>
      </c>
      <c r="T49" s="22" t="str">
        <f>IF(C49="","",IF(COUNTIF(tTQMReguliDoc[Cheie_regula],S49)&lt;&gt;1,"REGULA NECONFIGURATA",IF(COUNTIFS(tTQMReguliDoc[Cheie_regula],S49,tTQMReguliDoc[Stare],"Confirmata")=1,"Confirmata","De confirmat")))</f>
        <v/>
      </c>
      <c r="U49" s="22">
        <f>IF(OR(C49="",T49&lt;&gt;"Confirmata"),0,IF(COUNTIFS(tTQMReguliDoc[Cheie_regula],S49,tTQMReguliDoc[Aviz],"Da")=1,1,0))</f>
        <v>0</v>
      </c>
      <c r="V49" s="22">
        <f>IF(OR(C49="",T49&lt;&gt;"Confirmata"),0,IF(COUNTIFS(tTQMReguliDoc[Cheie_regula],S49,tTQMReguliDoc[Decl_conformitate],"Da")=1,1,0))</f>
        <v>0</v>
      </c>
      <c r="W49" s="22">
        <f>IF(OR(C49="",T49&lt;&gt;"Confirmata"),0,IF(COUNTIFS(tTQMReguliDoc[Cheie_regula],S49,tTQMReguliDoc[Decl_producator],"Da")=1,1,0))</f>
        <v>0</v>
      </c>
      <c r="X49" s="22">
        <f>IF(OR(C49="",T49&lt;&gt;"Confirmata"),0,IF(COUNTIFS(tTQMReguliDoc[Cheie_regula],S49,tTQMReguliDoc[Fise_tehnice],"Da")=1,1,0))</f>
        <v>0</v>
      </c>
      <c r="Y49" s="22" t="str">
        <f t="shared" si="4"/>
        <v/>
      </c>
      <c r="Z49" s="22"/>
      <c r="AA49" s="22"/>
    </row>
    <row r="50" spans="1:27" ht="15" customHeight="1">
      <c r="A50" s="30"/>
      <c r="B50" s="31"/>
      <c r="C50" s="30"/>
      <c r="D50" s="30"/>
      <c r="E50" s="30"/>
      <c r="F50" s="32" t="str">
        <f t="shared" si="0"/>
        <v/>
      </c>
      <c r="G50" s="30"/>
      <c r="H50" s="30"/>
      <c r="I50" s="30"/>
      <c r="J50" s="32" t="str">
        <f t="shared" si="1"/>
        <v/>
      </c>
      <c r="K50" s="30" t="str">
        <f t="shared" si="2"/>
        <v/>
      </c>
      <c r="L50" s="30"/>
      <c r="M50" s="30"/>
      <c r="N50" s="22"/>
      <c r="O50" s="25"/>
      <c r="P50" s="26"/>
      <c r="Q50" s="22"/>
      <c r="R50" s="22"/>
      <c r="S50" s="22" t="str">
        <f t="shared" si="3"/>
        <v/>
      </c>
      <c r="T50" s="22" t="str">
        <f>IF(C50="","",IF(COUNTIF(tTQMReguliDoc[Cheie_regula],S50)&lt;&gt;1,"REGULA NECONFIGURATA",IF(COUNTIFS(tTQMReguliDoc[Cheie_regula],S50,tTQMReguliDoc[Stare],"Confirmata")=1,"Confirmata","De confirmat")))</f>
        <v/>
      </c>
      <c r="U50" s="22">
        <f>IF(OR(C50="",T50&lt;&gt;"Confirmata"),0,IF(COUNTIFS(tTQMReguliDoc[Cheie_regula],S50,tTQMReguliDoc[Aviz],"Da")=1,1,0))</f>
        <v>0</v>
      </c>
      <c r="V50" s="22">
        <f>IF(OR(C50="",T50&lt;&gt;"Confirmata"),0,IF(COUNTIFS(tTQMReguliDoc[Cheie_regula],S50,tTQMReguliDoc[Decl_conformitate],"Da")=1,1,0))</f>
        <v>0</v>
      </c>
      <c r="W50" s="22">
        <f>IF(OR(C50="",T50&lt;&gt;"Confirmata"),0,IF(COUNTIFS(tTQMReguliDoc[Cheie_regula],S50,tTQMReguliDoc[Decl_producator],"Da")=1,1,0))</f>
        <v>0</v>
      </c>
      <c r="X50" s="22">
        <f>IF(OR(C50="",T50&lt;&gt;"Confirmata"),0,IF(COUNTIFS(tTQMReguliDoc[Cheie_regula],S50,tTQMReguliDoc[Fise_tehnice],"Da")=1,1,0))</f>
        <v>0</v>
      </c>
      <c r="Y50" s="22" t="str">
        <f t="shared" si="4"/>
        <v/>
      </c>
      <c r="Z50" s="22"/>
      <c r="AA50" s="22"/>
    </row>
    <row r="51" spans="1:27" ht="15" customHeight="1">
      <c r="A51" s="30"/>
      <c r="B51" s="31"/>
      <c r="C51" s="30"/>
      <c r="D51" s="30"/>
      <c r="E51" s="30"/>
      <c r="F51" s="32" t="str">
        <f t="shared" si="0"/>
        <v/>
      </c>
      <c r="G51" s="30"/>
      <c r="H51" s="30"/>
      <c r="I51" s="30"/>
      <c r="J51" s="32" t="str">
        <f t="shared" si="1"/>
        <v/>
      </c>
      <c r="K51" s="30" t="str">
        <f t="shared" si="2"/>
        <v/>
      </c>
      <c r="L51" s="30"/>
      <c r="M51" s="30"/>
      <c r="N51" s="22"/>
      <c r="O51" s="25"/>
      <c r="P51" s="26"/>
      <c r="Q51" s="22"/>
      <c r="R51" s="22"/>
      <c r="S51" s="22" t="str">
        <f t="shared" si="3"/>
        <v/>
      </c>
      <c r="T51" s="22" t="str">
        <f>IF(C51="","",IF(COUNTIF(tTQMReguliDoc[Cheie_regula],S51)&lt;&gt;1,"REGULA NECONFIGURATA",IF(COUNTIFS(tTQMReguliDoc[Cheie_regula],S51,tTQMReguliDoc[Stare],"Confirmata")=1,"Confirmata","De confirmat")))</f>
        <v/>
      </c>
      <c r="U51" s="22">
        <f>IF(OR(C51="",T51&lt;&gt;"Confirmata"),0,IF(COUNTIFS(tTQMReguliDoc[Cheie_regula],S51,tTQMReguliDoc[Aviz],"Da")=1,1,0))</f>
        <v>0</v>
      </c>
      <c r="V51" s="22">
        <f>IF(OR(C51="",T51&lt;&gt;"Confirmata"),0,IF(COUNTIFS(tTQMReguliDoc[Cheie_regula],S51,tTQMReguliDoc[Decl_conformitate],"Da")=1,1,0))</f>
        <v>0</v>
      </c>
      <c r="W51" s="22">
        <f>IF(OR(C51="",T51&lt;&gt;"Confirmata"),0,IF(COUNTIFS(tTQMReguliDoc[Cheie_regula],S51,tTQMReguliDoc[Decl_producator],"Da")=1,1,0))</f>
        <v>0</v>
      </c>
      <c r="X51" s="22">
        <f>IF(OR(C51="",T51&lt;&gt;"Confirmata"),0,IF(COUNTIFS(tTQMReguliDoc[Cheie_regula],S51,tTQMReguliDoc[Fise_tehnice],"Da")=1,1,0))</f>
        <v>0</v>
      </c>
      <c r="Y51" s="22" t="str">
        <f t="shared" si="4"/>
        <v/>
      </c>
      <c r="Z51" s="22"/>
      <c r="AA51" s="22"/>
    </row>
    <row r="52" spans="1:27" ht="15" customHeight="1">
      <c r="A52" s="30"/>
      <c r="B52" s="31"/>
      <c r="C52" s="30"/>
      <c r="D52" s="30"/>
      <c r="E52" s="30"/>
      <c r="F52" s="32" t="str">
        <f t="shared" si="0"/>
        <v/>
      </c>
      <c r="G52" s="30"/>
      <c r="H52" s="30"/>
      <c r="I52" s="30"/>
      <c r="J52" s="32" t="str">
        <f t="shared" si="1"/>
        <v/>
      </c>
      <c r="K52" s="30" t="str">
        <f t="shared" si="2"/>
        <v/>
      </c>
      <c r="L52" s="30"/>
      <c r="M52" s="30"/>
      <c r="N52" s="22"/>
      <c r="O52" s="25"/>
      <c r="P52" s="26"/>
      <c r="Q52" s="22"/>
      <c r="R52" s="22"/>
      <c r="S52" s="22" t="str">
        <f t="shared" si="3"/>
        <v/>
      </c>
      <c r="T52" s="22" t="str">
        <f>IF(C52="","",IF(COUNTIF(tTQMReguliDoc[Cheie_regula],S52)&lt;&gt;1,"REGULA NECONFIGURATA",IF(COUNTIFS(tTQMReguliDoc[Cheie_regula],S52,tTQMReguliDoc[Stare],"Confirmata")=1,"Confirmata","De confirmat")))</f>
        <v/>
      </c>
      <c r="U52" s="22">
        <f>IF(OR(C52="",T52&lt;&gt;"Confirmata"),0,IF(COUNTIFS(tTQMReguliDoc[Cheie_regula],S52,tTQMReguliDoc[Aviz],"Da")=1,1,0))</f>
        <v>0</v>
      </c>
      <c r="V52" s="22">
        <f>IF(OR(C52="",T52&lt;&gt;"Confirmata"),0,IF(COUNTIFS(tTQMReguliDoc[Cheie_regula],S52,tTQMReguliDoc[Decl_conformitate],"Da")=1,1,0))</f>
        <v>0</v>
      </c>
      <c r="W52" s="22">
        <f>IF(OR(C52="",T52&lt;&gt;"Confirmata"),0,IF(COUNTIFS(tTQMReguliDoc[Cheie_regula],S52,tTQMReguliDoc[Decl_producator],"Da")=1,1,0))</f>
        <v>0</v>
      </c>
      <c r="X52" s="22">
        <f>IF(OR(C52="",T52&lt;&gt;"Confirmata"),0,IF(COUNTIFS(tTQMReguliDoc[Cheie_regula],S52,tTQMReguliDoc[Fise_tehnice],"Da")=1,1,0))</f>
        <v>0</v>
      </c>
      <c r="Y52" s="22" t="str">
        <f t="shared" si="4"/>
        <v/>
      </c>
      <c r="Z52" s="22"/>
      <c r="AA52" s="22"/>
    </row>
    <row r="53" spans="1:27" ht="15" customHeight="1">
      <c r="A53" s="30"/>
      <c r="B53" s="31"/>
      <c r="C53" s="30"/>
      <c r="D53" s="30"/>
      <c r="E53" s="30"/>
      <c r="F53" s="32" t="str">
        <f t="shared" si="0"/>
        <v/>
      </c>
      <c r="G53" s="30"/>
      <c r="H53" s="30"/>
      <c r="I53" s="30"/>
      <c r="J53" s="32" t="str">
        <f t="shared" si="1"/>
        <v/>
      </c>
      <c r="K53" s="30" t="str">
        <f t="shared" si="2"/>
        <v/>
      </c>
      <c r="L53" s="30"/>
      <c r="M53" s="30"/>
      <c r="N53" s="22"/>
      <c r="O53" s="25"/>
      <c r="P53" s="26"/>
      <c r="Q53" s="22"/>
      <c r="R53" s="22"/>
      <c r="S53" s="22" t="str">
        <f t="shared" si="3"/>
        <v/>
      </c>
      <c r="T53" s="22" t="str">
        <f>IF(C53="","",IF(COUNTIF(tTQMReguliDoc[Cheie_regula],S53)&lt;&gt;1,"REGULA NECONFIGURATA",IF(COUNTIFS(tTQMReguliDoc[Cheie_regula],S53,tTQMReguliDoc[Stare],"Confirmata")=1,"Confirmata","De confirmat")))</f>
        <v/>
      </c>
      <c r="U53" s="22">
        <f>IF(OR(C53="",T53&lt;&gt;"Confirmata"),0,IF(COUNTIFS(tTQMReguliDoc[Cheie_regula],S53,tTQMReguliDoc[Aviz],"Da")=1,1,0))</f>
        <v>0</v>
      </c>
      <c r="V53" s="22">
        <f>IF(OR(C53="",T53&lt;&gt;"Confirmata"),0,IF(COUNTIFS(tTQMReguliDoc[Cheie_regula],S53,tTQMReguliDoc[Decl_conformitate],"Da")=1,1,0))</f>
        <v>0</v>
      </c>
      <c r="W53" s="22">
        <f>IF(OR(C53="",T53&lt;&gt;"Confirmata"),0,IF(COUNTIFS(tTQMReguliDoc[Cheie_regula],S53,tTQMReguliDoc[Decl_producator],"Da")=1,1,0))</f>
        <v>0</v>
      </c>
      <c r="X53" s="22">
        <f>IF(OR(C53="",T53&lt;&gt;"Confirmata"),0,IF(COUNTIFS(tTQMReguliDoc[Cheie_regula],S53,tTQMReguliDoc[Fise_tehnice],"Da")=1,1,0))</f>
        <v>0</v>
      </c>
      <c r="Y53" s="22" t="str">
        <f t="shared" si="4"/>
        <v/>
      </c>
      <c r="Z53" s="22"/>
      <c r="AA53" s="22"/>
    </row>
    <row r="54" spans="1:27" ht="15" customHeight="1">
      <c r="A54" s="30"/>
      <c r="B54" s="31"/>
      <c r="C54" s="30"/>
      <c r="D54" s="30"/>
      <c r="E54" s="30"/>
      <c r="F54" s="32" t="str">
        <f t="shared" si="0"/>
        <v/>
      </c>
      <c r="G54" s="30"/>
      <c r="H54" s="30"/>
      <c r="I54" s="30"/>
      <c r="J54" s="32" t="str">
        <f t="shared" si="1"/>
        <v/>
      </c>
      <c r="K54" s="30" t="str">
        <f t="shared" si="2"/>
        <v/>
      </c>
      <c r="L54" s="30"/>
      <c r="M54" s="30"/>
      <c r="N54" s="22"/>
      <c r="O54" s="25"/>
      <c r="P54" s="26"/>
      <c r="Q54" s="22"/>
      <c r="R54" s="22"/>
      <c r="S54" s="22" t="str">
        <f t="shared" si="3"/>
        <v/>
      </c>
      <c r="T54" s="22" t="str">
        <f>IF(C54="","",IF(COUNTIF(tTQMReguliDoc[Cheie_regula],S54)&lt;&gt;1,"REGULA NECONFIGURATA",IF(COUNTIFS(tTQMReguliDoc[Cheie_regula],S54,tTQMReguliDoc[Stare],"Confirmata")=1,"Confirmata","De confirmat")))</f>
        <v/>
      </c>
      <c r="U54" s="22">
        <f>IF(OR(C54="",T54&lt;&gt;"Confirmata"),0,IF(COUNTIFS(tTQMReguliDoc[Cheie_regula],S54,tTQMReguliDoc[Aviz],"Da")=1,1,0))</f>
        <v>0</v>
      </c>
      <c r="V54" s="22">
        <f>IF(OR(C54="",T54&lt;&gt;"Confirmata"),0,IF(COUNTIFS(tTQMReguliDoc[Cheie_regula],S54,tTQMReguliDoc[Decl_conformitate],"Da")=1,1,0))</f>
        <v>0</v>
      </c>
      <c r="W54" s="22">
        <f>IF(OR(C54="",T54&lt;&gt;"Confirmata"),0,IF(COUNTIFS(tTQMReguliDoc[Cheie_regula],S54,tTQMReguliDoc[Decl_producator],"Da")=1,1,0))</f>
        <v>0</v>
      </c>
      <c r="X54" s="22">
        <f>IF(OR(C54="",T54&lt;&gt;"Confirmata"),0,IF(COUNTIFS(tTQMReguliDoc[Cheie_regula],S54,tTQMReguliDoc[Fise_tehnice],"Da")=1,1,0))</f>
        <v>0</v>
      </c>
      <c r="Y54" s="22" t="str">
        <f t="shared" si="4"/>
        <v/>
      </c>
      <c r="Z54" s="22"/>
      <c r="AA54" s="22"/>
    </row>
    <row r="55" spans="1:27" ht="15" customHeight="1">
      <c r="A55" s="30"/>
      <c r="B55" s="31"/>
      <c r="C55" s="30"/>
      <c r="D55" s="30"/>
      <c r="E55" s="30"/>
      <c r="F55" s="32" t="str">
        <f t="shared" si="0"/>
        <v/>
      </c>
      <c r="G55" s="30"/>
      <c r="H55" s="30"/>
      <c r="I55" s="30"/>
      <c r="J55" s="32" t="str">
        <f t="shared" si="1"/>
        <v/>
      </c>
      <c r="K55" s="30" t="str">
        <f t="shared" si="2"/>
        <v/>
      </c>
      <c r="L55" s="30"/>
      <c r="M55" s="30"/>
      <c r="N55" s="22"/>
      <c r="O55" s="25"/>
      <c r="P55" s="26"/>
      <c r="Q55" s="22"/>
      <c r="R55" s="22"/>
      <c r="S55" s="22" t="str">
        <f t="shared" si="3"/>
        <v/>
      </c>
      <c r="T55" s="22" t="str">
        <f>IF(C55="","",IF(COUNTIF(tTQMReguliDoc[Cheie_regula],S55)&lt;&gt;1,"REGULA NECONFIGURATA",IF(COUNTIFS(tTQMReguliDoc[Cheie_regula],S55,tTQMReguliDoc[Stare],"Confirmata")=1,"Confirmata","De confirmat")))</f>
        <v/>
      </c>
      <c r="U55" s="22">
        <f>IF(OR(C55="",T55&lt;&gt;"Confirmata"),0,IF(COUNTIFS(tTQMReguliDoc[Cheie_regula],S55,tTQMReguliDoc[Aviz],"Da")=1,1,0))</f>
        <v>0</v>
      </c>
      <c r="V55" s="22">
        <f>IF(OR(C55="",T55&lt;&gt;"Confirmata"),0,IF(COUNTIFS(tTQMReguliDoc[Cheie_regula],S55,tTQMReguliDoc[Decl_conformitate],"Da")=1,1,0))</f>
        <v>0</v>
      </c>
      <c r="W55" s="22">
        <f>IF(OR(C55="",T55&lt;&gt;"Confirmata"),0,IF(COUNTIFS(tTQMReguliDoc[Cheie_regula],S55,tTQMReguliDoc[Decl_producator],"Da")=1,1,0))</f>
        <v>0</v>
      </c>
      <c r="X55" s="22">
        <f>IF(OR(C55="",T55&lt;&gt;"Confirmata"),0,IF(COUNTIFS(tTQMReguliDoc[Cheie_regula],S55,tTQMReguliDoc[Fise_tehnice],"Da")=1,1,0))</f>
        <v>0</v>
      </c>
      <c r="Y55" s="22" t="str">
        <f t="shared" si="4"/>
        <v/>
      </c>
      <c r="Z55" s="22"/>
      <c r="AA55" s="22"/>
    </row>
    <row r="56" spans="1:27" ht="15" customHeight="1">
      <c r="A56" s="30"/>
      <c r="B56" s="31"/>
      <c r="C56" s="30"/>
      <c r="D56" s="30"/>
      <c r="E56" s="30"/>
      <c r="F56" s="32" t="str">
        <f t="shared" si="0"/>
        <v/>
      </c>
      <c r="G56" s="30"/>
      <c r="H56" s="30"/>
      <c r="I56" s="30"/>
      <c r="J56" s="32" t="str">
        <f t="shared" si="1"/>
        <v/>
      </c>
      <c r="K56" s="30" t="str">
        <f t="shared" si="2"/>
        <v/>
      </c>
      <c r="L56" s="30"/>
      <c r="M56" s="30"/>
      <c r="N56" s="22"/>
      <c r="O56" s="25"/>
      <c r="P56" s="26"/>
      <c r="Q56" s="22"/>
      <c r="R56" s="22"/>
      <c r="S56" s="22" t="str">
        <f t="shared" si="3"/>
        <v/>
      </c>
      <c r="T56" s="22" t="str">
        <f>IF(C56="","",IF(COUNTIF(tTQMReguliDoc[Cheie_regula],S56)&lt;&gt;1,"REGULA NECONFIGURATA",IF(COUNTIFS(tTQMReguliDoc[Cheie_regula],S56,tTQMReguliDoc[Stare],"Confirmata")=1,"Confirmata","De confirmat")))</f>
        <v/>
      </c>
      <c r="U56" s="22">
        <f>IF(OR(C56="",T56&lt;&gt;"Confirmata"),0,IF(COUNTIFS(tTQMReguliDoc[Cheie_regula],S56,tTQMReguliDoc[Aviz],"Da")=1,1,0))</f>
        <v>0</v>
      </c>
      <c r="V56" s="22">
        <f>IF(OR(C56="",T56&lt;&gt;"Confirmata"),0,IF(COUNTIFS(tTQMReguliDoc[Cheie_regula],S56,tTQMReguliDoc[Decl_conformitate],"Da")=1,1,0))</f>
        <v>0</v>
      </c>
      <c r="W56" s="22">
        <f>IF(OR(C56="",T56&lt;&gt;"Confirmata"),0,IF(COUNTIFS(tTQMReguliDoc[Cheie_regula],S56,tTQMReguliDoc[Decl_producator],"Da")=1,1,0))</f>
        <v>0</v>
      </c>
      <c r="X56" s="22">
        <f>IF(OR(C56="",T56&lt;&gt;"Confirmata"),0,IF(COUNTIFS(tTQMReguliDoc[Cheie_regula],S56,tTQMReguliDoc[Fise_tehnice],"Da")=1,1,0))</f>
        <v>0</v>
      </c>
      <c r="Y56" s="22" t="str">
        <f t="shared" si="4"/>
        <v/>
      </c>
      <c r="Z56" s="22"/>
      <c r="AA56" s="22"/>
    </row>
    <row r="57" spans="1:27" ht="15" customHeight="1">
      <c r="A57" s="30"/>
      <c r="B57" s="31"/>
      <c r="C57" s="30"/>
      <c r="D57" s="30"/>
      <c r="E57" s="30"/>
      <c r="F57" s="32" t="str">
        <f t="shared" si="0"/>
        <v/>
      </c>
      <c r="G57" s="30"/>
      <c r="H57" s="30"/>
      <c r="I57" s="30"/>
      <c r="J57" s="32" t="str">
        <f t="shared" si="1"/>
        <v/>
      </c>
      <c r="K57" s="30" t="str">
        <f t="shared" si="2"/>
        <v/>
      </c>
      <c r="L57" s="30"/>
      <c r="M57" s="30"/>
      <c r="N57" s="22"/>
      <c r="O57" s="25"/>
      <c r="P57" s="26"/>
      <c r="Q57" s="22"/>
      <c r="R57" s="22"/>
      <c r="S57" s="22" t="str">
        <f t="shared" si="3"/>
        <v/>
      </c>
      <c r="T57" s="22" t="str">
        <f>IF(C57="","",IF(COUNTIF(tTQMReguliDoc[Cheie_regula],S57)&lt;&gt;1,"REGULA NECONFIGURATA",IF(COUNTIFS(tTQMReguliDoc[Cheie_regula],S57,tTQMReguliDoc[Stare],"Confirmata")=1,"Confirmata","De confirmat")))</f>
        <v/>
      </c>
      <c r="U57" s="22">
        <f>IF(OR(C57="",T57&lt;&gt;"Confirmata"),0,IF(COUNTIFS(tTQMReguliDoc[Cheie_regula],S57,tTQMReguliDoc[Aviz],"Da")=1,1,0))</f>
        <v>0</v>
      </c>
      <c r="V57" s="22">
        <f>IF(OR(C57="",T57&lt;&gt;"Confirmata"),0,IF(COUNTIFS(tTQMReguliDoc[Cheie_regula],S57,tTQMReguliDoc[Decl_conformitate],"Da")=1,1,0))</f>
        <v>0</v>
      </c>
      <c r="W57" s="22">
        <f>IF(OR(C57="",T57&lt;&gt;"Confirmata"),0,IF(COUNTIFS(tTQMReguliDoc[Cheie_regula],S57,tTQMReguliDoc[Decl_producator],"Da")=1,1,0))</f>
        <v>0</v>
      </c>
      <c r="X57" s="22">
        <f>IF(OR(C57="",T57&lt;&gt;"Confirmata"),0,IF(COUNTIFS(tTQMReguliDoc[Cheie_regula],S57,tTQMReguliDoc[Fise_tehnice],"Da")=1,1,0))</f>
        <v>0</v>
      </c>
      <c r="Y57" s="22" t="str">
        <f t="shared" si="4"/>
        <v/>
      </c>
      <c r="Z57" s="22"/>
      <c r="AA57" s="22"/>
    </row>
    <row r="58" spans="1:27" ht="15" customHeight="1">
      <c r="A58" s="30"/>
      <c r="B58" s="31"/>
      <c r="C58" s="30"/>
      <c r="D58" s="30"/>
      <c r="E58" s="30"/>
      <c r="F58" s="32" t="str">
        <f t="shared" si="0"/>
        <v/>
      </c>
      <c r="G58" s="30"/>
      <c r="H58" s="30"/>
      <c r="I58" s="30"/>
      <c r="J58" s="32" t="str">
        <f t="shared" si="1"/>
        <v/>
      </c>
      <c r="K58" s="30" t="str">
        <f t="shared" si="2"/>
        <v/>
      </c>
      <c r="L58" s="30"/>
      <c r="M58" s="30"/>
      <c r="N58" s="22"/>
      <c r="O58" s="25"/>
      <c r="P58" s="26"/>
      <c r="Q58" s="22"/>
      <c r="R58" s="22"/>
      <c r="S58" s="22" t="str">
        <f t="shared" si="3"/>
        <v/>
      </c>
      <c r="T58" s="22" t="str">
        <f>IF(C58="","",IF(COUNTIF(tTQMReguliDoc[Cheie_regula],S58)&lt;&gt;1,"REGULA NECONFIGURATA",IF(COUNTIFS(tTQMReguliDoc[Cheie_regula],S58,tTQMReguliDoc[Stare],"Confirmata")=1,"Confirmata","De confirmat")))</f>
        <v/>
      </c>
      <c r="U58" s="22">
        <f>IF(OR(C58="",T58&lt;&gt;"Confirmata"),0,IF(COUNTIFS(tTQMReguliDoc[Cheie_regula],S58,tTQMReguliDoc[Aviz],"Da")=1,1,0))</f>
        <v>0</v>
      </c>
      <c r="V58" s="22">
        <f>IF(OR(C58="",T58&lt;&gt;"Confirmata"),0,IF(COUNTIFS(tTQMReguliDoc[Cheie_regula],S58,tTQMReguliDoc[Decl_conformitate],"Da")=1,1,0))</f>
        <v>0</v>
      </c>
      <c r="W58" s="22">
        <f>IF(OR(C58="",T58&lt;&gt;"Confirmata"),0,IF(COUNTIFS(tTQMReguliDoc[Cheie_regula],S58,tTQMReguliDoc[Decl_producator],"Da")=1,1,0))</f>
        <v>0</v>
      </c>
      <c r="X58" s="22">
        <f>IF(OR(C58="",T58&lt;&gt;"Confirmata"),0,IF(COUNTIFS(tTQMReguliDoc[Cheie_regula],S58,tTQMReguliDoc[Fise_tehnice],"Da")=1,1,0))</f>
        <v>0</v>
      </c>
      <c r="Y58" s="22" t="str">
        <f t="shared" si="4"/>
        <v/>
      </c>
      <c r="Z58" s="22"/>
      <c r="AA58" s="22"/>
    </row>
    <row r="59" spans="1:27" ht="15" customHeight="1">
      <c r="A59" s="30"/>
      <c r="B59" s="31"/>
      <c r="C59" s="30"/>
      <c r="D59" s="30"/>
      <c r="E59" s="30"/>
      <c r="F59" s="32" t="str">
        <f t="shared" si="0"/>
        <v/>
      </c>
      <c r="G59" s="30"/>
      <c r="H59" s="30"/>
      <c r="I59" s="30"/>
      <c r="J59" s="32" t="str">
        <f t="shared" si="1"/>
        <v/>
      </c>
      <c r="K59" s="30" t="str">
        <f t="shared" si="2"/>
        <v/>
      </c>
      <c r="L59" s="30"/>
      <c r="M59" s="30"/>
      <c r="N59" s="22"/>
      <c r="O59" s="25"/>
      <c r="P59" s="26"/>
      <c r="Q59" s="22"/>
      <c r="R59" s="22"/>
      <c r="S59" s="22" t="str">
        <f t="shared" si="3"/>
        <v/>
      </c>
      <c r="T59" s="22" t="str">
        <f>IF(C59="","",IF(COUNTIF(tTQMReguliDoc[Cheie_regula],S59)&lt;&gt;1,"REGULA NECONFIGURATA",IF(COUNTIFS(tTQMReguliDoc[Cheie_regula],S59,tTQMReguliDoc[Stare],"Confirmata")=1,"Confirmata","De confirmat")))</f>
        <v/>
      </c>
      <c r="U59" s="22">
        <f>IF(OR(C59="",T59&lt;&gt;"Confirmata"),0,IF(COUNTIFS(tTQMReguliDoc[Cheie_regula],S59,tTQMReguliDoc[Aviz],"Da")=1,1,0))</f>
        <v>0</v>
      </c>
      <c r="V59" s="22">
        <f>IF(OR(C59="",T59&lt;&gt;"Confirmata"),0,IF(COUNTIFS(tTQMReguliDoc[Cheie_regula],S59,tTQMReguliDoc[Decl_conformitate],"Da")=1,1,0))</f>
        <v>0</v>
      </c>
      <c r="W59" s="22">
        <f>IF(OR(C59="",T59&lt;&gt;"Confirmata"),0,IF(COUNTIFS(tTQMReguliDoc[Cheie_regula],S59,tTQMReguliDoc[Decl_producator],"Da")=1,1,0))</f>
        <v>0</v>
      </c>
      <c r="X59" s="22">
        <f>IF(OR(C59="",T59&lt;&gt;"Confirmata"),0,IF(COUNTIFS(tTQMReguliDoc[Cheie_regula],S59,tTQMReguliDoc[Fise_tehnice],"Da")=1,1,0))</f>
        <v>0</v>
      </c>
      <c r="Y59" s="22" t="str">
        <f t="shared" si="4"/>
        <v/>
      </c>
      <c r="Z59" s="22"/>
      <c r="AA59" s="22"/>
    </row>
    <row r="60" spans="1:27" ht="15" customHeight="1">
      <c r="A60" s="30"/>
      <c r="B60" s="31"/>
      <c r="C60" s="30"/>
      <c r="D60" s="30"/>
      <c r="E60" s="30"/>
      <c r="F60" s="32" t="str">
        <f t="shared" si="0"/>
        <v/>
      </c>
      <c r="G60" s="30"/>
      <c r="H60" s="30"/>
      <c r="I60" s="30"/>
      <c r="J60" s="32" t="str">
        <f t="shared" si="1"/>
        <v/>
      </c>
      <c r="K60" s="30" t="str">
        <f t="shared" si="2"/>
        <v/>
      </c>
      <c r="L60" s="30"/>
      <c r="M60" s="30"/>
      <c r="N60" s="22"/>
      <c r="O60" s="25"/>
      <c r="P60" s="26"/>
      <c r="Q60" s="22"/>
      <c r="R60" s="22"/>
      <c r="S60" s="22" t="str">
        <f t="shared" si="3"/>
        <v/>
      </c>
      <c r="T60" s="22" t="str">
        <f>IF(C60="","",IF(COUNTIF(tTQMReguliDoc[Cheie_regula],S60)&lt;&gt;1,"REGULA NECONFIGURATA",IF(COUNTIFS(tTQMReguliDoc[Cheie_regula],S60,tTQMReguliDoc[Stare],"Confirmata")=1,"Confirmata","De confirmat")))</f>
        <v/>
      </c>
      <c r="U60" s="22">
        <f>IF(OR(C60="",T60&lt;&gt;"Confirmata"),0,IF(COUNTIFS(tTQMReguliDoc[Cheie_regula],S60,tTQMReguliDoc[Aviz],"Da")=1,1,0))</f>
        <v>0</v>
      </c>
      <c r="V60" s="22">
        <f>IF(OR(C60="",T60&lt;&gt;"Confirmata"),0,IF(COUNTIFS(tTQMReguliDoc[Cheie_regula],S60,tTQMReguliDoc[Decl_conformitate],"Da")=1,1,0))</f>
        <v>0</v>
      </c>
      <c r="W60" s="22">
        <f>IF(OR(C60="",T60&lt;&gt;"Confirmata"),0,IF(COUNTIFS(tTQMReguliDoc[Cheie_regula],S60,tTQMReguliDoc[Decl_producator],"Da")=1,1,0))</f>
        <v>0</v>
      </c>
      <c r="X60" s="22">
        <f>IF(OR(C60="",T60&lt;&gt;"Confirmata"),0,IF(COUNTIFS(tTQMReguliDoc[Cheie_regula],S60,tTQMReguliDoc[Fise_tehnice],"Da")=1,1,0))</f>
        <v>0</v>
      </c>
      <c r="Y60" s="22" t="str">
        <f t="shared" si="4"/>
        <v/>
      </c>
      <c r="Z60" s="22"/>
      <c r="AA60" s="22"/>
    </row>
    <row r="61" spans="1:27" ht="15" customHeight="1">
      <c r="A61" s="30"/>
      <c r="B61" s="31"/>
      <c r="C61" s="30"/>
      <c r="D61" s="30"/>
      <c r="E61" s="30"/>
      <c r="F61" s="32" t="str">
        <f t="shared" si="0"/>
        <v/>
      </c>
      <c r="G61" s="30"/>
      <c r="H61" s="30"/>
      <c r="I61" s="30"/>
      <c r="J61" s="32" t="str">
        <f t="shared" si="1"/>
        <v/>
      </c>
      <c r="K61" s="30" t="str">
        <f t="shared" si="2"/>
        <v/>
      </c>
      <c r="L61" s="30"/>
      <c r="M61" s="30"/>
      <c r="N61" s="22"/>
      <c r="O61" s="25"/>
      <c r="P61" s="26"/>
      <c r="Q61" s="22"/>
      <c r="R61" s="22"/>
      <c r="S61" s="22" t="str">
        <f t="shared" si="3"/>
        <v/>
      </c>
      <c r="T61" s="22" t="str">
        <f>IF(C61="","",IF(COUNTIF(tTQMReguliDoc[Cheie_regula],S61)&lt;&gt;1,"REGULA NECONFIGURATA",IF(COUNTIFS(tTQMReguliDoc[Cheie_regula],S61,tTQMReguliDoc[Stare],"Confirmata")=1,"Confirmata","De confirmat")))</f>
        <v/>
      </c>
      <c r="U61" s="22">
        <f>IF(OR(C61="",T61&lt;&gt;"Confirmata"),0,IF(COUNTIFS(tTQMReguliDoc[Cheie_regula],S61,tTQMReguliDoc[Aviz],"Da")=1,1,0))</f>
        <v>0</v>
      </c>
      <c r="V61" s="22">
        <f>IF(OR(C61="",T61&lt;&gt;"Confirmata"),0,IF(COUNTIFS(tTQMReguliDoc[Cheie_regula],S61,tTQMReguliDoc[Decl_conformitate],"Da")=1,1,0))</f>
        <v>0</v>
      </c>
      <c r="W61" s="22">
        <f>IF(OR(C61="",T61&lt;&gt;"Confirmata"),0,IF(COUNTIFS(tTQMReguliDoc[Cheie_regula],S61,tTQMReguliDoc[Decl_producator],"Da")=1,1,0))</f>
        <v>0</v>
      </c>
      <c r="X61" s="22">
        <f>IF(OR(C61="",T61&lt;&gt;"Confirmata"),0,IF(COUNTIFS(tTQMReguliDoc[Cheie_regula],S61,tTQMReguliDoc[Fise_tehnice],"Da")=1,1,0))</f>
        <v>0</v>
      </c>
      <c r="Y61" s="22" t="str">
        <f t="shared" si="4"/>
        <v/>
      </c>
      <c r="Z61" s="22"/>
      <c r="AA61" s="22"/>
    </row>
    <row r="62" spans="1:27" ht="15" customHeight="1">
      <c r="A62" s="30"/>
      <c r="B62" s="31"/>
      <c r="C62" s="30"/>
      <c r="D62" s="30"/>
      <c r="E62" s="30"/>
      <c r="F62" s="32" t="str">
        <f t="shared" si="0"/>
        <v/>
      </c>
      <c r="G62" s="30"/>
      <c r="H62" s="30"/>
      <c r="I62" s="30"/>
      <c r="J62" s="32" t="str">
        <f t="shared" si="1"/>
        <v/>
      </c>
      <c r="K62" s="30" t="str">
        <f t="shared" si="2"/>
        <v/>
      </c>
      <c r="L62" s="30"/>
      <c r="M62" s="30"/>
      <c r="N62" s="22"/>
      <c r="O62" s="25"/>
      <c r="P62" s="26"/>
      <c r="Q62" s="22"/>
      <c r="R62" s="22"/>
      <c r="S62" s="22" t="str">
        <f t="shared" si="3"/>
        <v/>
      </c>
      <c r="T62" s="22" t="str">
        <f>IF(C62="","",IF(COUNTIF(tTQMReguliDoc[Cheie_regula],S62)&lt;&gt;1,"REGULA NECONFIGURATA",IF(COUNTIFS(tTQMReguliDoc[Cheie_regula],S62,tTQMReguliDoc[Stare],"Confirmata")=1,"Confirmata","De confirmat")))</f>
        <v/>
      </c>
      <c r="U62" s="22">
        <f>IF(OR(C62="",T62&lt;&gt;"Confirmata"),0,IF(COUNTIFS(tTQMReguliDoc[Cheie_regula],S62,tTQMReguliDoc[Aviz],"Da")=1,1,0))</f>
        <v>0</v>
      </c>
      <c r="V62" s="22">
        <f>IF(OR(C62="",T62&lt;&gt;"Confirmata"),0,IF(COUNTIFS(tTQMReguliDoc[Cheie_regula],S62,tTQMReguliDoc[Decl_conformitate],"Da")=1,1,0))</f>
        <v>0</v>
      </c>
      <c r="W62" s="22">
        <f>IF(OR(C62="",T62&lt;&gt;"Confirmata"),0,IF(COUNTIFS(tTQMReguliDoc[Cheie_regula],S62,tTQMReguliDoc[Decl_producator],"Da")=1,1,0))</f>
        <v>0</v>
      </c>
      <c r="X62" s="22">
        <f>IF(OR(C62="",T62&lt;&gt;"Confirmata"),0,IF(COUNTIFS(tTQMReguliDoc[Cheie_regula],S62,tTQMReguliDoc[Fise_tehnice],"Da")=1,1,0))</f>
        <v>0</v>
      </c>
      <c r="Y62" s="22" t="str">
        <f t="shared" si="4"/>
        <v/>
      </c>
      <c r="Z62" s="22"/>
      <c r="AA62" s="22"/>
    </row>
    <row r="63" spans="1:27" ht="15" customHeight="1">
      <c r="A63" s="30"/>
      <c r="B63" s="31"/>
      <c r="C63" s="30"/>
      <c r="D63" s="30"/>
      <c r="E63" s="30"/>
      <c r="F63" s="32" t="str">
        <f t="shared" si="0"/>
        <v/>
      </c>
      <c r="G63" s="30"/>
      <c r="H63" s="30"/>
      <c r="I63" s="30"/>
      <c r="J63" s="32" t="str">
        <f t="shared" si="1"/>
        <v/>
      </c>
      <c r="K63" s="30" t="str">
        <f t="shared" si="2"/>
        <v/>
      </c>
      <c r="L63" s="30"/>
      <c r="M63" s="30"/>
      <c r="N63" s="22"/>
      <c r="O63" s="25"/>
      <c r="P63" s="26"/>
      <c r="Q63" s="22"/>
      <c r="R63" s="22"/>
      <c r="S63" s="22" t="str">
        <f t="shared" si="3"/>
        <v/>
      </c>
      <c r="T63" s="22" t="str">
        <f>IF(C63="","",IF(COUNTIF(tTQMReguliDoc[Cheie_regula],S63)&lt;&gt;1,"REGULA NECONFIGURATA",IF(COUNTIFS(tTQMReguliDoc[Cheie_regula],S63,tTQMReguliDoc[Stare],"Confirmata")=1,"Confirmata","De confirmat")))</f>
        <v/>
      </c>
      <c r="U63" s="22">
        <f>IF(OR(C63="",T63&lt;&gt;"Confirmata"),0,IF(COUNTIFS(tTQMReguliDoc[Cheie_regula],S63,tTQMReguliDoc[Aviz],"Da")=1,1,0))</f>
        <v>0</v>
      </c>
      <c r="V63" s="22">
        <f>IF(OR(C63="",T63&lt;&gt;"Confirmata"),0,IF(COUNTIFS(tTQMReguliDoc[Cheie_regula],S63,tTQMReguliDoc[Decl_conformitate],"Da")=1,1,0))</f>
        <v>0</v>
      </c>
      <c r="W63" s="22">
        <f>IF(OR(C63="",T63&lt;&gt;"Confirmata"),0,IF(COUNTIFS(tTQMReguliDoc[Cheie_regula],S63,tTQMReguliDoc[Decl_producator],"Da")=1,1,0))</f>
        <v>0</v>
      </c>
      <c r="X63" s="22">
        <f>IF(OR(C63="",T63&lt;&gt;"Confirmata"),0,IF(COUNTIFS(tTQMReguliDoc[Cheie_regula],S63,tTQMReguliDoc[Fise_tehnice],"Da")=1,1,0))</f>
        <v>0</v>
      </c>
      <c r="Y63" s="22" t="str">
        <f t="shared" si="4"/>
        <v/>
      </c>
      <c r="Z63" s="22"/>
      <c r="AA63" s="22"/>
    </row>
    <row r="64" spans="1:27" ht="15" customHeight="1">
      <c r="A64" s="30"/>
      <c r="B64" s="31"/>
      <c r="C64" s="30"/>
      <c r="D64" s="30"/>
      <c r="E64" s="30"/>
      <c r="F64" s="32" t="str">
        <f t="shared" si="0"/>
        <v/>
      </c>
      <c r="G64" s="30"/>
      <c r="H64" s="30"/>
      <c r="I64" s="30"/>
      <c r="J64" s="32" t="str">
        <f t="shared" si="1"/>
        <v/>
      </c>
      <c r="K64" s="30" t="str">
        <f t="shared" si="2"/>
        <v/>
      </c>
      <c r="L64" s="30"/>
      <c r="M64" s="30"/>
      <c r="N64" s="22"/>
      <c r="O64" s="25"/>
      <c r="P64" s="26"/>
      <c r="Q64" s="22"/>
      <c r="R64" s="22"/>
      <c r="S64" s="22" t="str">
        <f t="shared" si="3"/>
        <v/>
      </c>
      <c r="T64" s="22" t="str">
        <f>IF(C64="","",IF(COUNTIF(tTQMReguliDoc[Cheie_regula],S64)&lt;&gt;1,"REGULA NECONFIGURATA",IF(COUNTIFS(tTQMReguliDoc[Cheie_regula],S64,tTQMReguliDoc[Stare],"Confirmata")=1,"Confirmata","De confirmat")))</f>
        <v/>
      </c>
      <c r="U64" s="22">
        <f>IF(OR(C64="",T64&lt;&gt;"Confirmata"),0,IF(COUNTIFS(tTQMReguliDoc[Cheie_regula],S64,tTQMReguliDoc[Aviz],"Da")=1,1,0))</f>
        <v>0</v>
      </c>
      <c r="V64" s="22">
        <f>IF(OR(C64="",T64&lt;&gt;"Confirmata"),0,IF(COUNTIFS(tTQMReguliDoc[Cheie_regula],S64,tTQMReguliDoc[Decl_conformitate],"Da")=1,1,0))</f>
        <v>0</v>
      </c>
      <c r="W64" s="22">
        <f>IF(OR(C64="",T64&lt;&gt;"Confirmata"),0,IF(COUNTIFS(tTQMReguliDoc[Cheie_regula],S64,tTQMReguliDoc[Decl_producator],"Da")=1,1,0))</f>
        <v>0</v>
      </c>
      <c r="X64" s="22">
        <f>IF(OR(C64="",T64&lt;&gt;"Confirmata"),0,IF(COUNTIFS(tTQMReguliDoc[Cheie_regula],S64,tTQMReguliDoc[Fise_tehnice],"Da")=1,1,0))</f>
        <v>0</v>
      </c>
      <c r="Y64" s="22" t="str">
        <f t="shared" si="4"/>
        <v/>
      </c>
      <c r="Z64" s="22"/>
      <c r="AA64" s="22"/>
    </row>
    <row r="65" spans="1:27" ht="15" customHeight="1">
      <c r="A65" s="30"/>
      <c r="B65" s="31"/>
      <c r="C65" s="30"/>
      <c r="D65" s="30"/>
      <c r="E65" s="30"/>
      <c r="F65" s="32" t="str">
        <f t="shared" si="0"/>
        <v/>
      </c>
      <c r="G65" s="30"/>
      <c r="H65" s="30"/>
      <c r="I65" s="30"/>
      <c r="J65" s="32" t="str">
        <f t="shared" si="1"/>
        <v/>
      </c>
      <c r="K65" s="30" t="str">
        <f t="shared" si="2"/>
        <v/>
      </c>
      <c r="L65" s="30"/>
      <c r="M65" s="30"/>
      <c r="N65" s="22"/>
      <c r="O65" s="25"/>
      <c r="P65" s="26"/>
      <c r="Q65" s="22"/>
      <c r="R65" s="22"/>
      <c r="S65" s="22" t="str">
        <f t="shared" si="3"/>
        <v/>
      </c>
      <c r="T65" s="22" t="str">
        <f>IF(C65="","",IF(COUNTIF(tTQMReguliDoc[Cheie_regula],S65)&lt;&gt;1,"REGULA NECONFIGURATA",IF(COUNTIFS(tTQMReguliDoc[Cheie_regula],S65,tTQMReguliDoc[Stare],"Confirmata")=1,"Confirmata","De confirmat")))</f>
        <v/>
      </c>
      <c r="U65" s="22">
        <f>IF(OR(C65="",T65&lt;&gt;"Confirmata"),0,IF(COUNTIFS(tTQMReguliDoc[Cheie_regula],S65,tTQMReguliDoc[Aviz],"Da")=1,1,0))</f>
        <v>0</v>
      </c>
      <c r="V65" s="22">
        <f>IF(OR(C65="",T65&lt;&gt;"Confirmata"),0,IF(COUNTIFS(tTQMReguliDoc[Cheie_regula],S65,tTQMReguliDoc[Decl_conformitate],"Da")=1,1,0))</f>
        <v>0</v>
      </c>
      <c r="W65" s="22">
        <f>IF(OR(C65="",T65&lt;&gt;"Confirmata"),0,IF(COUNTIFS(tTQMReguliDoc[Cheie_regula],S65,tTQMReguliDoc[Decl_producator],"Da")=1,1,0))</f>
        <v>0</v>
      </c>
      <c r="X65" s="22">
        <f>IF(OR(C65="",T65&lt;&gt;"Confirmata"),0,IF(COUNTIFS(tTQMReguliDoc[Cheie_regula],S65,tTQMReguliDoc[Fise_tehnice],"Da")=1,1,0))</f>
        <v>0</v>
      </c>
      <c r="Y65" s="22" t="str">
        <f t="shared" si="4"/>
        <v/>
      </c>
      <c r="Z65" s="22"/>
      <c r="AA65" s="22"/>
    </row>
    <row r="66" spans="1:27" ht="15" customHeight="1">
      <c r="A66" s="30"/>
      <c r="B66" s="31"/>
      <c r="C66" s="30"/>
      <c r="D66" s="30"/>
      <c r="E66" s="30"/>
      <c r="F66" s="32" t="str">
        <f t="shared" si="0"/>
        <v/>
      </c>
      <c r="G66" s="30"/>
      <c r="H66" s="30"/>
      <c r="I66" s="30"/>
      <c r="J66" s="32" t="str">
        <f t="shared" si="1"/>
        <v/>
      </c>
      <c r="K66" s="30" t="str">
        <f t="shared" si="2"/>
        <v/>
      </c>
      <c r="L66" s="30"/>
      <c r="M66" s="30"/>
      <c r="N66" s="22"/>
      <c r="O66" s="25"/>
      <c r="P66" s="26"/>
      <c r="Q66" s="22"/>
      <c r="R66" s="22"/>
      <c r="S66" s="22" t="str">
        <f t="shared" si="3"/>
        <v/>
      </c>
      <c r="T66" s="22" t="str">
        <f>IF(C66="","",IF(COUNTIF(tTQMReguliDoc[Cheie_regula],S66)&lt;&gt;1,"REGULA NECONFIGURATA",IF(COUNTIFS(tTQMReguliDoc[Cheie_regula],S66,tTQMReguliDoc[Stare],"Confirmata")=1,"Confirmata","De confirmat")))</f>
        <v/>
      </c>
      <c r="U66" s="22">
        <f>IF(OR(C66="",T66&lt;&gt;"Confirmata"),0,IF(COUNTIFS(tTQMReguliDoc[Cheie_regula],S66,tTQMReguliDoc[Aviz],"Da")=1,1,0))</f>
        <v>0</v>
      </c>
      <c r="V66" s="22">
        <f>IF(OR(C66="",T66&lt;&gt;"Confirmata"),0,IF(COUNTIFS(tTQMReguliDoc[Cheie_regula],S66,tTQMReguliDoc[Decl_conformitate],"Da")=1,1,0))</f>
        <v>0</v>
      </c>
      <c r="W66" s="22">
        <f>IF(OR(C66="",T66&lt;&gt;"Confirmata"),0,IF(COUNTIFS(tTQMReguliDoc[Cheie_regula],S66,tTQMReguliDoc[Decl_producator],"Da")=1,1,0))</f>
        <v>0</v>
      </c>
      <c r="X66" s="22">
        <f>IF(OR(C66="",T66&lt;&gt;"Confirmata"),0,IF(COUNTIFS(tTQMReguliDoc[Cheie_regula],S66,tTQMReguliDoc[Fise_tehnice],"Da")=1,1,0))</f>
        <v>0</v>
      </c>
      <c r="Y66" s="22" t="str">
        <f t="shared" si="4"/>
        <v/>
      </c>
      <c r="Z66" s="22"/>
      <c r="AA66" s="22"/>
    </row>
    <row r="67" spans="1:27" ht="15" customHeight="1">
      <c r="A67" s="30"/>
      <c r="B67" s="31"/>
      <c r="C67" s="30"/>
      <c r="D67" s="30"/>
      <c r="E67" s="30"/>
      <c r="F67" s="32" t="str">
        <f t="shared" si="0"/>
        <v/>
      </c>
      <c r="G67" s="30"/>
      <c r="H67" s="30"/>
      <c r="I67" s="30"/>
      <c r="J67" s="32" t="str">
        <f t="shared" si="1"/>
        <v/>
      </c>
      <c r="K67" s="30" t="str">
        <f t="shared" si="2"/>
        <v/>
      </c>
      <c r="L67" s="30"/>
      <c r="M67" s="30"/>
      <c r="N67" s="22"/>
      <c r="O67" s="25"/>
      <c r="P67" s="26"/>
      <c r="Q67" s="22"/>
      <c r="R67" s="22"/>
      <c r="S67" s="22" t="str">
        <f t="shared" si="3"/>
        <v/>
      </c>
      <c r="T67" s="22" t="str">
        <f>IF(C67="","",IF(COUNTIF(tTQMReguliDoc[Cheie_regula],S67)&lt;&gt;1,"REGULA NECONFIGURATA",IF(COUNTIFS(tTQMReguliDoc[Cheie_regula],S67,tTQMReguliDoc[Stare],"Confirmata")=1,"Confirmata","De confirmat")))</f>
        <v/>
      </c>
      <c r="U67" s="22">
        <f>IF(OR(C67="",T67&lt;&gt;"Confirmata"),0,IF(COUNTIFS(tTQMReguliDoc[Cheie_regula],S67,tTQMReguliDoc[Aviz],"Da")=1,1,0))</f>
        <v>0</v>
      </c>
      <c r="V67" s="22">
        <f>IF(OR(C67="",T67&lt;&gt;"Confirmata"),0,IF(COUNTIFS(tTQMReguliDoc[Cheie_regula],S67,tTQMReguliDoc[Decl_conformitate],"Da")=1,1,0))</f>
        <v>0</v>
      </c>
      <c r="W67" s="22">
        <f>IF(OR(C67="",T67&lt;&gt;"Confirmata"),0,IF(COUNTIFS(tTQMReguliDoc[Cheie_regula],S67,tTQMReguliDoc[Decl_producator],"Da")=1,1,0))</f>
        <v>0</v>
      </c>
      <c r="X67" s="22">
        <f>IF(OR(C67="",T67&lt;&gt;"Confirmata"),0,IF(COUNTIFS(tTQMReguliDoc[Cheie_regula],S67,tTQMReguliDoc[Fise_tehnice],"Da")=1,1,0))</f>
        <v>0</v>
      </c>
      <c r="Y67" s="22" t="str">
        <f t="shared" si="4"/>
        <v/>
      </c>
      <c r="Z67" s="22"/>
      <c r="AA67" s="22"/>
    </row>
    <row r="68" spans="1:27" ht="15" customHeight="1">
      <c r="A68" s="30"/>
      <c r="B68" s="31"/>
      <c r="C68" s="30"/>
      <c r="D68" s="30"/>
      <c r="E68" s="30"/>
      <c r="F68" s="32" t="str">
        <f t="shared" si="0"/>
        <v/>
      </c>
      <c r="G68" s="30"/>
      <c r="H68" s="30"/>
      <c r="I68" s="30"/>
      <c r="J68" s="32" t="str">
        <f t="shared" si="1"/>
        <v/>
      </c>
      <c r="K68" s="30" t="str">
        <f t="shared" si="2"/>
        <v/>
      </c>
      <c r="L68" s="30"/>
      <c r="M68" s="30"/>
      <c r="N68" s="22"/>
      <c r="O68" s="25"/>
      <c r="P68" s="26"/>
      <c r="Q68" s="22"/>
      <c r="R68" s="22"/>
      <c r="S68" s="22" t="str">
        <f t="shared" si="3"/>
        <v/>
      </c>
      <c r="T68" s="22" t="str">
        <f>IF(C68="","",IF(COUNTIF(tTQMReguliDoc[Cheie_regula],S68)&lt;&gt;1,"REGULA NECONFIGURATA",IF(COUNTIFS(tTQMReguliDoc[Cheie_regula],S68,tTQMReguliDoc[Stare],"Confirmata")=1,"Confirmata","De confirmat")))</f>
        <v/>
      </c>
      <c r="U68" s="22">
        <f>IF(OR(C68="",T68&lt;&gt;"Confirmata"),0,IF(COUNTIFS(tTQMReguliDoc[Cheie_regula],S68,tTQMReguliDoc[Aviz],"Da")=1,1,0))</f>
        <v>0</v>
      </c>
      <c r="V68" s="22">
        <f>IF(OR(C68="",T68&lt;&gt;"Confirmata"),0,IF(COUNTIFS(tTQMReguliDoc[Cheie_regula],S68,tTQMReguliDoc[Decl_conformitate],"Da")=1,1,0))</f>
        <v>0</v>
      </c>
      <c r="W68" s="22">
        <f>IF(OR(C68="",T68&lt;&gt;"Confirmata"),0,IF(COUNTIFS(tTQMReguliDoc[Cheie_regula],S68,tTQMReguliDoc[Decl_producator],"Da")=1,1,0))</f>
        <v>0</v>
      </c>
      <c r="X68" s="22">
        <f>IF(OR(C68="",T68&lt;&gt;"Confirmata"),0,IF(COUNTIFS(tTQMReguliDoc[Cheie_regula],S68,tTQMReguliDoc[Fise_tehnice],"Da")=1,1,0))</f>
        <v>0</v>
      </c>
      <c r="Y68" s="22" t="str">
        <f t="shared" si="4"/>
        <v/>
      </c>
      <c r="Z68" s="22"/>
      <c r="AA68" s="22"/>
    </row>
    <row r="69" spans="1:27" ht="15" customHeight="1">
      <c r="A69" s="30"/>
      <c r="B69" s="31"/>
      <c r="C69" s="30"/>
      <c r="D69" s="30"/>
      <c r="E69" s="30"/>
      <c r="F69" s="32" t="str">
        <f t="shared" si="0"/>
        <v/>
      </c>
      <c r="G69" s="30"/>
      <c r="H69" s="30"/>
      <c r="I69" s="30"/>
      <c r="J69" s="32" t="str">
        <f t="shared" si="1"/>
        <v/>
      </c>
      <c r="K69" s="30" t="str">
        <f t="shared" si="2"/>
        <v/>
      </c>
      <c r="L69" s="30"/>
      <c r="M69" s="30"/>
      <c r="N69" s="22"/>
      <c r="O69" s="25"/>
      <c r="P69" s="26"/>
      <c r="Q69" s="22"/>
      <c r="R69" s="22"/>
      <c r="S69" s="22" t="str">
        <f t="shared" si="3"/>
        <v/>
      </c>
      <c r="T69" s="22" t="str">
        <f>IF(C69="","",IF(COUNTIF(tTQMReguliDoc[Cheie_regula],S69)&lt;&gt;1,"REGULA NECONFIGURATA",IF(COUNTIFS(tTQMReguliDoc[Cheie_regula],S69,tTQMReguliDoc[Stare],"Confirmata")=1,"Confirmata","De confirmat")))</f>
        <v/>
      </c>
      <c r="U69" s="22">
        <f>IF(OR(C69="",T69&lt;&gt;"Confirmata"),0,IF(COUNTIFS(tTQMReguliDoc[Cheie_regula],S69,tTQMReguliDoc[Aviz],"Da")=1,1,0))</f>
        <v>0</v>
      </c>
      <c r="V69" s="22">
        <f>IF(OR(C69="",T69&lt;&gt;"Confirmata"),0,IF(COUNTIFS(tTQMReguliDoc[Cheie_regula],S69,tTQMReguliDoc[Decl_conformitate],"Da")=1,1,0))</f>
        <v>0</v>
      </c>
      <c r="W69" s="22">
        <f>IF(OR(C69="",T69&lt;&gt;"Confirmata"),0,IF(COUNTIFS(tTQMReguliDoc[Cheie_regula],S69,tTQMReguliDoc[Decl_producator],"Da")=1,1,0))</f>
        <v>0</v>
      </c>
      <c r="X69" s="22">
        <f>IF(OR(C69="",T69&lt;&gt;"Confirmata"),0,IF(COUNTIFS(tTQMReguliDoc[Cheie_regula],S69,tTQMReguliDoc[Fise_tehnice],"Da")=1,1,0))</f>
        <v>0</v>
      </c>
      <c r="Y69" s="22" t="str">
        <f t="shared" si="4"/>
        <v/>
      </c>
      <c r="Z69" s="22"/>
      <c r="AA69" s="22"/>
    </row>
    <row r="70" spans="1:27" ht="15" customHeight="1">
      <c r="A70" s="30"/>
      <c r="B70" s="31"/>
      <c r="C70" s="30"/>
      <c r="D70" s="30"/>
      <c r="E70" s="30"/>
      <c r="F70" s="32" t="str">
        <f t="shared" si="0"/>
        <v/>
      </c>
      <c r="G70" s="30"/>
      <c r="H70" s="30"/>
      <c r="I70" s="30"/>
      <c r="J70" s="32" t="str">
        <f t="shared" si="1"/>
        <v/>
      </c>
      <c r="K70" s="30" t="str">
        <f t="shared" si="2"/>
        <v/>
      </c>
      <c r="L70" s="30"/>
      <c r="M70" s="30"/>
      <c r="N70" s="22"/>
      <c r="O70" s="25"/>
      <c r="P70" s="26"/>
      <c r="Q70" s="22"/>
      <c r="R70" s="22"/>
      <c r="S70" s="22" t="str">
        <f t="shared" si="3"/>
        <v/>
      </c>
      <c r="T70" s="22" t="str">
        <f>IF(C70="","",IF(COUNTIF(tTQMReguliDoc[Cheie_regula],S70)&lt;&gt;1,"REGULA NECONFIGURATA",IF(COUNTIFS(tTQMReguliDoc[Cheie_regula],S70,tTQMReguliDoc[Stare],"Confirmata")=1,"Confirmata","De confirmat")))</f>
        <v/>
      </c>
      <c r="U70" s="22">
        <f>IF(OR(C70="",T70&lt;&gt;"Confirmata"),0,IF(COUNTIFS(tTQMReguliDoc[Cheie_regula],S70,tTQMReguliDoc[Aviz],"Da")=1,1,0))</f>
        <v>0</v>
      </c>
      <c r="V70" s="22">
        <f>IF(OR(C70="",T70&lt;&gt;"Confirmata"),0,IF(COUNTIFS(tTQMReguliDoc[Cheie_regula],S70,tTQMReguliDoc[Decl_conformitate],"Da")=1,1,0))</f>
        <v>0</v>
      </c>
      <c r="W70" s="22">
        <f>IF(OR(C70="",T70&lt;&gt;"Confirmata"),0,IF(COUNTIFS(tTQMReguliDoc[Cheie_regula],S70,tTQMReguliDoc[Decl_producator],"Da")=1,1,0))</f>
        <v>0</v>
      </c>
      <c r="X70" s="22">
        <f>IF(OR(C70="",T70&lt;&gt;"Confirmata"),0,IF(COUNTIFS(tTQMReguliDoc[Cheie_regula],S70,tTQMReguliDoc[Fise_tehnice],"Da")=1,1,0))</f>
        <v>0</v>
      </c>
      <c r="Y70" s="22" t="str">
        <f t="shared" si="4"/>
        <v/>
      </c>
      <c r="Z70" s="22"/>
      <c r="AA70" s="22"/>
    </row>
    <row r="71" spans="1:27" ht="15" customHeight="1">
      <c r="A71" s="30"/>
      <c r="B71" s="31"/>
      <c r="C71" s="30"/>
      <c r="D71" s="30"/>
      <c r="E71" s="30"/>
      <c r="F71" s="32" t="str">
        <f t="shared" si="0"/>
        <v/>
      </c>
      <c r="G71" s="30"/>
      <c r="H71" s="30"/>
      <c r="I71" s="30"/>
      <c r="J71" s="32" t="str">
        <f t="shared" si="1"/>
        <v/>
      </c>
      <c r="K71" s="30" t="str">
        <f t="shared" si="2"/>
        <v/>
      </c>
      <c r="L71" s="30"/>
      <c r="M71" s="30"/>
      <c r="N71" s="22"/>
      <c r="O71" s="25"/>
      <c r="P71" s="26"/>
      <c r="Q71" s="22"/>
      <c r="R71" s="22"/>
      <c r="S71" s="22" t="str">
        <f t="shared" si="3"/>
        <v/>
      </c>
      <c r="T71" s="22" t="str">
        <f>IF(C71="","",IF(COUNTIF(tTQMReguliDoc[Cheie_regula],S71)&lt;&gt;1,"REGULA NECONFIGURATA",IF(COUNTIFS(tTQMReguliDoc[Cheie_regula],S71,tTQMReguliDoc[Stare],"Confirmata")=1,"Confirmata","De confirmat")))</f>
        <v/>
      </c>
      <c r="U71" s="22">
        <f>IF(OR(C71="",T71&lt;&gt;"Confirmata"),0,IF(COUNTIFS(tTQMReguliDoc[Cheie_regula],S71,tTQMReguliDoc[Aviz],"Da")=1,1,0))</f>
        <v>0</v>
      </c>
      <c r="V71" s="22">
        <f>IF(OR(C71="",T71&lt;&gt;"Confirmata"),0,IF(COUNTIFS(tTQMReguliDoc[Cheie_regula],S71,tTQMReguliDoc[Decl_conformitate],"Da")=1,1,0))</f>
        <v>0</v>
      </c>
      <c r="W71" s="22">
        <f>IF(OR(C71="",T71&lt;&gt;"Confirmata"),0,IF(COUNTIFS(tTQMReguliDoc[Cheie_regula],S71,tTQMReguliDoc[Decl_producator],"Da")=1,1,0))</f>
        <v>0</v>
      </c>
      <c r="X71" s="22">
        <f>IF(OR(C71="",T71&lt;&gt;"Confirmata"),0,IF(COUNTIFS(tTQMReguliDoc[Cheie_regula],S71,tTQMReguliDoc[Fise_tehnice],"Da")=1,1,0))</f>
        <v>0</v>
      </c>
      <c r="Y71" s="22" t="str">
        <f t="shared" si="4"/>
        <v/>
      </c>
      <c r="Z71" s="22"/>
      <c r="AA71" s="22"/>
    </row>
    <row r="72" spans="1:27" ht="15" customHeight="1">
      <c r="A72" s="30"/>
      <c r="B72" s="31"/>
      <c r="C72" s="30"/>
      <c r="D72" s="30"/>
      <c r="E72" s="30"/>
      <c r="F72" s="32" t="str">
        <f t="shared" si="0"/>
        <v/>
      </c>
      <c r="G72" s="30"/>
      <c r="H72" s="30"/>
      <c r="I72" s="30"/>
      <c r="J72" s="32" t="str">
        <f t="shared" si="1"/>
        <v/>
      </c>
      <c r="K72" s="30" t="str">
        <f t="shared" si="2"/>
        <v/>
      </c>
      <c r="L72" s="30"/>
      <c r="M72" s="30"/>
      <c r="N72" s="22"/>
      <c r="O72" s="25"/>
      <c r="P72" s="26"/>
      <c r="Q72" s="22"/>
      <c r="R72" s="22"/>
      <c r="S72" s="22" t="str">
        <f t="shared" si="3"/>
        <v/>
      </c>
      <c r="T72" s="22" t="str">
        <f>IF(C72="","",IF(COUNTIF(tTQMReguliDoc[Cheie_regula],S72)&lt;&gt;1,"REGULA NECONFIGURATA",IF(COUNTIFS(tTQMReguliDoc[Cheie_regula],S72,tTQMReguliDoc[Stare],"Confirmata")=1,"Confirmata","De confirmat")))</f>
        <v/>
      </c>
      <c r="U72" s="22">
        <f>IF(OR(C72="",T72&lt;&gt;"Confirmata"),0,IF(COUNTIFS(tTQMReguliDoc[Cheie_regula],S72,tTQMReguliDoc[Aviz],"Da")=1,1,0))</f>
        <v>0</v>
      </c>
      <c r="V72" s="22">
        <f>IF(OR(C72="",T72&lt;&gt;"Confirmata"),0,IF(COUNTIFS(tTQMReguliDoc[Cheie_regula],S72,tTQMReguliDoc[Decl_conformitate],"Da")=1,1,0))</f>
        <v>0</v>
      </c>
      <c r="W72" s="22">
        <f>IF(OR(C72="",T72&lt;&gt;"Confirmata"),0,IF(COUNTIFS(tTQMReguliDoc[Cheie_regula],S72,tTQMReguliDoc[Decl_producator],"Da")=1,1,0))</f>
        <v>0</v>
      </c>
      <c r="X72" s="22">
        <f>IF(OR(C72="",T72&lt;&gt;"Confirmata"),0,IF(COUNTIFS(tTQMReguliDoc[Cheie_regula],S72,tTQMReguliDoc[Fise_tehnice],"Da")=1,1,0))</f>
        <v>0</v>
      </c>
      <c r="Y72" s="22" t="str">
        <f t="shared" si="4"/>
        <v/>
      </c>
      <c r="Z72" s="22"/>
      <c r="AA72" s="22"/>
    </row>
    <row r="73" spans="1:27" ht="15" customHeight="1">
      <c r="A73" s="30"/>
      <c r="B73" s="31"/>
      <c r="C73" s="30"/>
      <c r="D73" s="30"/>
      <c r="E73" s="30"/>
      <c r="F73" s="32" t="str">
        <f t="shared" si="0"/>
        <v/>
      </c>
      <c r="G73" s="30"/>
      <c r="H73" s="30"/>
      <c r="I73" s="30"/>
      <c r="J73" s="32" t="str">
        <f t="shared" si="1"/>
        <v/>
      </c>
      <c r="K73" s="30" t="str">
        <f t="shared" si="2"/>
        <v/>
      </c>
      <c r="L73" s="30"/>
      <c r="M73" s="30"/>
      <c r="N73" s="22"/>
      <c r="O73" s="25"/>
      <c r="P73" s="26"/>
      <c r="Q73" s="22"/>
      <c r="R73" s="22"/>
      <c r="S73" s="22" t="str">
        <f t="shared" si="3"/>
        <v/>
      </c>
      <c r="T73" s="22" t="str">
        <f>IF(C73="","",IF(COUNTIF(tTQMReguliDoc[Cheie_regula],S73)&lt;&gt;1,"REGULA NECONFIGURATA",IF(COUNTIFS(tTQMReguliDoc[Cheie_regula],S73,tTQMReguliDoc[Stare],"Confirmata")=1,"Confirmata","De confirmat")))</f>
        <v/>
      </c>
      <c r="U73" s="22">
        <f>IF(OR(C73="",T73&lt;&gt;"Confirmata"),0,IF(COUNTIFS(tTQMReguliDoc[Cheie_regula],S73,tTQMReguliDoc[Aviz],"Da")=1,1,0))</f>
        <v>0</v>
      </c>
      <c r="V73" s="22">
        <f>IF(OR(C73="",T73&lt;&gt;"Confirmata"),0,IF(COUNTIFS(tTQMReguliDoc[Cheie_regula],S73,tTQMReguliDoc[Decl_conformitate],"Da")=1,1,0))</f>
        <v>0</v>
      </c>
      <c r="W73" s="22">
        <f>IF(OR(C73="",T73&lt;&gt;"Confirmata"),0,IF(COUNTIFS(tTQMReguliDoc[Cheie_regula],S73,tTQMReguliDoc[Decl_producator],"Da")=1,1,0))</f>
        <v>0</v>
      </c>
      <c r="X73" s="22">
        <f>IF(OR(C73="",T73&lt;&gt;"Confirmata"),0,IF(COUNTIFS(tTQMReguliDoc[Cheie_regula],S73,tTQMReguliDoc[Fise_tehnice],"Da")=1,1,0))</f>
        <v>0</v>
      </c>
      <c r="Y73" s="22" t="str">
        <f t="shared" si="4"/>
        <v/>
      </c>
      <c r="Z73" s="22"/>
      <c r="AA73" s="22"/>
    </row>
    <row r="74" spans="1:27" ht="15" customHeight="1">
      <c r="A74" s="30"/>
      <c r="B74" s="31"/>
      <c r="C74" s="30"/>
      <c r="D74" s="30"/>
      <c r="E74" s="30"/>
      <c r="F74" s="32" t="str">
        <f t="shared" si="0"/>
        <v/>
      </c>
      <c r="G74" s="30"/>
      <c r="H74" s="30"/>
      <c r="I74" s="30"/>
      <c r="J74" s="32" t="str">
        <f t="shared" si="1"/>
        <v/>
      </c>
      <c r="K74" s="30" t="str">
        <f t="shared" si="2"/>
        <v/>
      </c>
      <c r="L74" s="30"/>
      <c r="M74" s="30"/>
      <c r="N74" s="22"/>
      <c r="O74" s="25"/>
      <c r="P74" s="26"/>
      <c r="Q74" s="22"/>
      <c r="R74" s="22"/>
      <c r="S74" s="22" t="str">
        <f t="shared" si="3"/>
        <v/>
      </c>
      <c r="T74" s="22" t="str">
        <f>IF(C74="","",IF(COUNTIF(tTQMReguliDoc[Cheie_regula],S74)&lt;&gt;1,"REGULA NECONFIGURATA",IF(COUNTIFS(tTQMReguliDoc[Cheie_regula],S74,tTQMReguliDoc[Stare],"Confirmata")=1,"Confirmata","De confirmat")))</f>
        <v/>
      </c>
      <c r="U74" s="22">
        <f>IF(OR(C74="",T74&lt;&gt;"Confirmata"),0,IF(COUNTIFS(tTQMReguliDoc[Cheie_regula],S74,tTQMReguliDoc[Aviz],"Da")=1,1,0))</f>
        <v>0</v>
      </c>
      <c r="V74" s="22">
        <f>IF(OR(C74="",T74&lt;&gt;"Confirmata"),0,IF(COUNTIFS(tTQMReguliDoc[Cheie_regula],S74,tTQMReguliDoc[Decl_conformitate],"Da")=1,1,0))</f>
        <v>0</v>
      </c>
      <c r="W74" s="22">
        <f>IF(OR(C74="",T74&lt;&gt;"Confirmata"),0,IF(COUNTIFS(tTQMReguliDoc[Cheie_regula],S74,tTQMReguliDoc[Decl_producator],"Da")=1,1,0))</f>
        <v>0</v>
      </c>
      <c r="X74" s="22">
        <f>IF(OR(C74="",T74&lt;&gt;"Confirmata"),0,IF(COUNTIFS(tTQMReguliDoc[Cheie_regula],S74,tTQMReguliDoc[Fise_tehnice],"Da")=1,1,0))</f>
        <v>0</v>
      </c>
      <c r="Y74" s="22" t="str">
        <f t="shared" si="4"/>
        <v/>
      </c>
      <c r="Z74" s="22"/>
      <c r="AA74" s="22"/>
    </row>
    <row r="75" spans="1:27" ht="15" customHeight="1">
      <c r="A75" s="30"/>
      <c r="B75" s="31"/>
      <c r="C75" s="30"/>
      <c r="D75" s="30"/>
      <c r="E75" s="30"/>
      <c r="F75" s="32" t="str">
        <f t="shared" si="0"/>
        <v/>
      </c>
      <c r="G75" s="30"/>
      <c r="H75" s="30"/>
      <c r="I75" s="30"/>
      <c r="J75" s="32" t="str">
        <f t="shared" si="1"/>
        <v/>
      </c>
      <c r="K75" s="30" t="str">
        <f t="shared" si="2"/>
        <v/>
      </c>
      <c r="L75" s="30"/>
      <c r="M75" s="30"/>
      <c r="N75" s="22"/>
      <c r="O75" s="25"/>
      <c r="P75" s="26"/>
      <c r="Q75" s="22"/>
      <c r="R75" s="22"/>
      <c r="S75" s="22" t="str">
        <f t="shared" si="3"/>
        <v/>
      </c>
      <c r="T75" s="22" t="str">
        <f>IF(C75="","",IF(COUNTIF(tTQMReguliDoc[Cheie_regula],S75)&lt;&gt;1,"REGULA NECONFIGURATA",IF(COUNTIFS(tTQMReguliDoc[Cheie_regula],S75,tTQMReguliDoc[Stare],"Confirmata")=1,"Confirmata","De confirmat")))</f>
        <v/>
      </c>
      <c r="U75" s="22">
        <f>IF(OR(C75="",T75&lt;&gt;"Confirmata"),0,IF(COUNTIFS(tTQMReguliDoc[Cheie_regula],S75,tTQMReguliDoc[Aviz],"Da")=1,1,0))</f>
        <v>0</v>
      </c>
      <c r="V75" s="22">
        <f>IF(OR(C75="",T75&lt;&gt;"Confirmata"),0,IF(COUNTIFS(tTQMReguliDoc[Cheie_regula],S75,tTQMReguliDoc[Decl_conformitate],"Da")=1,1,0))</f>
        <v>0</v>
      </c>
      <c r="W75" s="22">
        <f>IF(OR(C75="",T75&lt;&gt;"Confirmata"),0,IF(COUNTIFS(tTQMReguliDoc[Cheie_regula],S75,tTQMReguliDoc[Decl_producator],"Da")=1,1,0))</f>
        <v>0</v>
      </c>
      <c r="X75" s="22">
        <f>IF(OR(C75="",T75&lt;&gt;"Confirmata"),0,IF(COUNTIFS(tTQMReguliDoc[Cheie_regula],S75,tTQMReguliDoc[Fise_tehnice],"Da")=1,1,0))</f>
        <v>0</v>
      </c>
      <c r="Y75" s="22" t="str">
        <f t="shared" si="4"/>
        <v/>
      </c>
      <c r="Z75" s="22"/>
      <c r="AA75" s="22"/>
    </row>
    <row r="76" spans="1:27" ht="15" customHeight="1">
      <c r="A76" s="30"/>
      <c r="B76" s="31"/>
      <c r="C76" s="30"/>
      <c r="D76" s="30"/>
      <c r="E76" s="30"/>
      <c r="F76" s="32" t="str">
        <f t="shared" si="0"/>
        <v/>
      </c>
      <c r="G76" s="30"/>
      <c r="H76" s="30"/>
      <c r="I76" s="30"/>
      <c r="J76" s="32" t="str">
        <f t="shared" si="1"/>
        <v/>
      </c>
      <c r="K76" s="30" t="str">
        <f t="shared" si="2"/>
        <v/>
      </c>
      <c r="L76" s="30"/>
      <c r="M76" s="30"/>
      <c r="N76" s="22"/>
      <c r="O76" s="25"/>
      <c r="P76" s="26"/>
      <c r="Q76" s="22"/>
      <c r="R76" s="22"/>
      <c r="S76" s="22" t="str">
        <f t="shared" si="3"/>
        <v/>
      </c>
      <c r="T76" s="22" t="str">
        <f>IF(C76="","",IF(COUNTIF(tTQMReguliDoc[Cheie_regula],S76)&lt;&gt;1,"REGULA NECONFIGURATA",IF(COUNTIFS(tTQMReguliDoc[Cheie_regula],S76,tTQMReguliDoc[Stare],"Confirmata")=1,"Confirmata","De confirmat")))</f>
        <v/>
      </c>
      <c r="U76" s="22">
        <f>IF(OR(C76="",T76&lt;&gt;"Confirmata"),0,IF(COUNTIFS(tTQMReguliDoc[Cheie_regula],S76,tTQMReguliDoc[Aviz],"Da")=1,1,0))</f>
        <v>0</v>
      </c>
      <c r="V76" s="22">
        <f>IF(OR(C76="",T76&lt;&gt;"Confirmata"),0,IF(COUNTIFS(tTQMReguliDoc[Cheie_regula],S76,tTQMReguliDoc[Decl_conformitate],"Da")=1,1,0))</f>
        <v>0</v>
      </c>
      <c r="W76" s="22">
        <f>IF(OR(C76="",T76&lt;&gt;"Confirmata"),0,IF(COUNTIFS(tTQMReguliDoc[Cheie_regula],S76,tTQMReguliDoc[Decl_producator],"Da")=1,1,0))</f>
        <v>0</v>
      </c>
      <c r="X76" s="22">
        <f>IF(OR(C76="",T76&lt;&gt;"Confirmata"),0,IF(COUNTIFS(tTQMReguliDoc[Cheie_regula],S76,tTQMReguliDoc[Fise_tehnice],"Da")=1,1,0))</f>
        <v>0</v>
      </c>
      <c r="Y76" s="22" t="str">
        <f t="shared" si="4"/>
        <v/>
      </c>
      <c r="Z76" s="22"/>
      <c r="AA76" s="22"/>
    </row>
    <row r="77" spans="1:27" ht="15" customHeight="1">
      <c r="A77" s="30"/>
      <c r="B77" s="31"/>
      <c r="C77" s="30"/>
      <c r="D77" s="30"/>
      <c r="E77" s="30"/>
      <c r="F77" s="32" t="str">
        <f t="shared" si="0"/>
        <v/>
      </c>
      <c r="G77" s="30"/>
      <c r="H77" s="30"/>
      <c r="I77" s="30"/>
      <c r="J77" s="32" t="str">
        <f t="shared" si="1"/>
        <v/>
      </c>
      <c r="K77" s="30" t="str">
        <f t="shared" si="2"/>
        <v/>
      </c>
      <c r="L77" s="30"/>
      <c r="M77" s="30"/>
      <c r="N77" s="22"/>
      <c r="O77" s="25"/>
      <c r="P77" s="26"/>
      <c r="Q77" s="22"/>
      <c r="R77" s="22"/>
      <c r="S77" s="22" t="str">
        <f t="shared" si="3"/>
        <v/>
      </c>
      <c r="T77" s="22" t="str">
        <f>IF(C77="","",IF(COUNTIF(tTQMReguliDoc[Cheie_regula],S77)&lt;&gt;1,"REGULA NECONFIGURATA",IF(COUNTIFS(tTQMReguliDoc[Cheie_regula],S77,tTQMReguliDoc[Stare],"Confirmata")=1,"Confirmata","De confirmat")))</f>
        <v/>
      </c>
      <c r="U77" s="22">
        <f>IF(OR(C77="",T77&lt;&gt;"Confirmata"),0,IF(COUNTIFS(tTQMReguliDoc[Cheie_regula],S77,tTQMReguliDoc[Aviz],"Da")=1,1,0))</f>
        <v>0</v>
      </c>
      <c r="V77" s="22">
        <f>IF(OR(C77="",T77&lt;&gt;"Confirmata"),0,IF(COUNTIFS(tTQMReguliDoc[Cheie_regula],S77,tTQMReguliDoc[Decl_conformitate],"Da")=1,1,0))</f>
        <v>0</v>
      </c>
      <c r="W77" s="22">
        <f>IF(OR(C77="",T77&lt;&gt;"Confirmata"),0,IF(COUNTIFS(tTQMReguliDoc[Cheie_regula],S77,tTQMReguliDoc[Decl_producator],"Da")=1,1,0))</f>
        <v>0</v>
      </c>
      <c r="X77" s="22">
        <f>IF(OR(C77="",T77&lt;&gt;"Confirmata"),0,IF(COUNTIFS(tTQMReguliDoc[Cheie_regula],S77,tTQMReguliDoc[Fise_tehnice],"Da")=1,1,0))</f>
        <v>0</v>
      </c>
      <c r="Y77" s="22" t="str">
        <f t="shared" si="4"/>
        <v/>
      </c>
      <c r="Z77" s="22"/>
      <c r="AA77" s="22"/>
    </row>
    <row r="78" spans="1:27" ht="15" customHeight="1">
      <c r="A78" s="30"/>
      <c r="B78" s="31"/>
      <c r="C78" s="30"/>
      <c r="D78" s="30"/>
      <c r="E78" s="30"/>
      <c r="F78" s="32" t="str">
        <f t="shared" ref="F78:F141" si="5">IF(C78="","",IF(T78&lt;&gt;"Confirmata","DE CONFIRMAT",IF(U78=1,"OBLIGATORIU AVIZ","NU")))</f>
        <v/>
      </c>
      <c r="G78" s="30"/>
      <c r="H78" s="30"/>
      <c r="I78" s="30"/>
      <c r="J78" s="32" t="str">
        <f t="shared" ref="J78:J141" si="6">IF(C78="","",IF(K78="","DOSAR COMPLET","INCOMPLET - VERIFICARE DOCUMENTE"))</f>
        <v/>
      </c>
      <c r="K78" s="30" t="str">
        <f t="shared" ref="K78:K141" si="7">IF(C78="","",IF(Y78="","",LEFT(Y78,LEN(Y78)-2)))</f>
        <v/>
      </c>
      <c r="L78" s="30"/>
      <c r="M78" s="30"/>
      <c r="N78" s="22"/>
      <c r="O78" s="25"/>
      <c r="P78" s="26"/>
      <c r="Q78" s="22"/>
      <c r="R78" s="22"/>
      <c r="S78" s="22" t="str">
        <f t="shared" ref="S78:S141" si="8">IF(C78="","",IF(LEFT(LOWER(D78),4)="furn","Furnizor",IF(LEFT(LOWER(D78),4)="prod","Producator",IF(LEFT(LOWER(D78),4)="pres","Prestator",IF(LEFT(LOWER(D78),3)="alt","Alt partener",D78))))&amp;"|"&amp;IF(LEFT(LOWER(E78),4)="doar","Doar Aviz",IF(LEFT(LOWER(E78),4)="fact","Factura",E78)))</f>
        <v/>
      </c>
      <c r="T78" s="22" t="str">
        <f>IF(C78="","",IF(COUNTIF(tTQMReguliDoc[Cheie_regula],S78)&lt;&gt;1,"REGULA NECONFIGURATA",IF(COUNTIFS(tTQMReguliDoc[Cheie_regula],S78,tTQMReguliDoc[Stare],"Confirmata")=1,"Confirmata","De confirmat")))</f>
        <v/>
      </c>
      <c r="U78" s="22">
        <f>IF(OR(C78="",T78&lt;&gt;"Confirmata"),0,IF(COUNTIFS(tTQMReguliDoc[Cheie_regula],S78,tTQMReguliDoc[Aviz],"Da")=1,1,0))</f>
        <v>0</v>
      </c>
      <c r="V78" s="22">
        <f>IF(OR(C78="",T78&lt;&gt;"Confirmata"),0,IF(COUNTIFS(tTQMReguliDoc[Cheie_regula],S78,tTQMReguliDoc[Decl_conformitate],"Da")=1,1,0))</f>
        <v>0</v>
      </c>
      <c r="W78" s="22">
        <f>IF(OR(C78="",T78&lt;&gt;"Confirmata"),0,IF(COUNTIFS(tTQMReguliDoc[Cheie_regula],S78,tTQMReguliDoc[Decl_producator],"Da")=1,1,0))</f>
        <v>0</v>
      </c>
      <c r="X78" s="22">
        <f>IF(OR(C78="",T78&lt;&gt;"Confirmata"),0,IF(COUNTIFS(tTQMReguliDoc[Cheie_regula],S78,tTQMReguliDoc[Fise_tehnice],"Da")=1,1,0))</f>
        <v>0</v>
      </c>
      <c r="Y78" s="22" t="str">
        <f t="shared" ref="Y78:Y141" si="9">IF(C78="","",IF(T78&lt;&gt;"Confirmata","Confirmati regulile documentelor; ",IF(AND(U78=1,Z78&lt;&gt;"Primit"),"Aviz; ","")&amp;IF(AND(V78=1,G78&lt;&gt;"Primit"),"Declaratie conformitate; ","")&amp;IF(AND(W78=1,H78&lt;&gt;"Primit"),"Declaratie producator; ","")&amp;IF(AND(X78=1,I78&lt;&gt;"Primit"),"Fise tehnice; ","")))</f>
        <v/>
      </c>
      <c r="Z78" s="22"/>
      <c r="AA78" s="22"/>
    </row>
    <row r="79" spans="1:27" ht="15" customHeight="1">
      <c r="A79" s="30"/>
      <c r="B79" s="31"/>
      <c r="C79" s="30"/>
      <c r="D79" s="30"/>
      <c r="E79" s="30"/>
      <c r="F79" s="32" t="str">
        <f t="shared" si="5"/>
        <v/>
      </c>
      <c r="G79" s="30"/>
      <c r="H79" s="30"/>
      <c r="I79" s="30"/>
      <c r="J79" s="32" t="str">
        <f t="shared" si="6"/>
        <v/>
      </c>
      <c r="K79" s="30" t="str">
        <f t="shared" si="7"/>
        <v/>
      </c>
      <c r="L79" s="30"/>
      <c r="M79" s="30"/>
      <c r="N79" s="22"/>
      <c r="O79" s="25"/>
      <c r="P79" s="26"/>
      <c r="Q79" s="22"/>
      <c r="R79" s="22"/>
      <c r="S79" s="22" t="str">
        <f t="shared" si="8"/>
        <v/>
      </c>
      <c r="T79" s="22" t="str">
        <f>IF(C79="","",IF(COUNTIF(tTQMReguliDoc[Cheie_regula],S79)&lt;&gt;1,"REGULA NECONFIGURATA",IF(COUNTIFS(tTQMReguliDoc[Cheie_regula],S79,tTQMReguliDoc[Stare],"Confirmata")=1,"Confirmata","De confirmat")))</f>
        <v/>
      </c>
      <c r="U79" s="22">
        <f>IF(OR(C79="",T79&lt;&gt;"Confirmata"),0,IF(COUNTIFS(tTQMReguliDoc[Cheie_regula],S79,tTQMReguliDoc[Aviz],"Da")=1,1,0))</f>
        <v>0</v>
      </c>
      <c r="V79" s="22">
        <f>IF(OR(C79="",T79&lt;&gt;"Confirmata"),0,IF(COUNTIFS(tTQMReguliDoc[Cheie_regula],S79,tTQMReguliDoc[Decl_conformitate],"Da")=1,1,0))</f>
        <v>0</v>
      </c>
      <c r="W79" s="22">
        <f>IF(OR(C79="",T79&lt;&gt;"Confirmata"),0,IF(COUNTIFS(tTQMReguliDoc[Cheie_regula],S79,tTQMReguliDoc[Decl_producator],"Da")=1,1,0))</f>
        <v>0</v>
      </c>
      <c r="X79" s="22">
        <f>IF(OR(C79="",T79&lt;&gt;"Confirmata"),0,IF(COUNTIFS(tTQMReguliDoc[Cheie_regula],S79,tTQMReguliDoc[Fise_tehnice],"Da")=1,1,0))</f>
        <v>0</v>
      </c>
      <c r="Y79" s="22" t="str">
        <f t="shared" si="9"/>
        <v/>
      </c>
      <c r="Z79" s="22"/>
      <c r="AA79" s="22"/>
    </row>
    <row r="80" spans="1:27" ht="15" customHeight="1">
      <c r="A80" s="30"/>
      <c r="B80" s="31"/>
      <c r="C80" s="30"/>
      <c r="D80" s="30"/>
      <c r="E80" s="30"/>
      <c r="F80" s="32" t="str">
        <f t="shared" si="5"/>
        <v/>
      </c>
      <c r="G80" s="30"/>
      <c r="H80" s="30"/>
      <c r="I80" s="30"/>
      <c r="J80" s="32" t="str">
        <f t="shared" si="6"/>
        <v/>
      </c>
      <c r="K80" s="30" t="str">
        <f t="shared" si="7"/>
        <v/>
      </c>
      <c r="L80" s="30"/>
      <c r="M80" s="30"/>
      <c r="N80" s="22"/>
      <c r="O80" s="25"/>
      <c r="P80" s="26"/>
      <c r="Q80" s="22"/>
      <c r="R80" s="22"/>
      <c r="S80" s="22" t="str">
        <f t="shared" si="8"/>
        <v/>
      </c>
      <c r="T80" s="22" t="str">
        <f>IF(C80="","",IF(COUNTIF(tTQMReguliDoc[Cheie_regula],S80)&lt;&gt;1,"REGULA NECONFIGURATA",IF(COUNTIFS(tTQMReguliDoc[Cheie_regula],S80,tTQMReguliDoc[Stare],"Confirmata")=1,"Confirmata","De confirmat")))</f>
        <v/>
      </c>
      <c r="U80" s="22">
        <f>IF(OR(C80="",T80&lt;&gt;"Confirmata"),0,IF(COUNTIFS(tTQMReguliDoc[Cheie_regula],S80,tTQMReguliDoc[Aviz],"Da")=1,1,0))</f>
        <v>0</v>
      </c>
      <c r="V80" s="22">
        <f>IF(OR(C80="",T80&lt;&gt;"Confirmata"),0,IF(COUNTIFS(tTQMReguliDoc[Cheie_regula],S80,tTQMReguliDoc[Decl_conformitate],"Da")=1,1,0))</f>
        <v>0</v>
      </c>
      <c r="W80" s="22">
        <f>IF(OR(C80="",T80&lt;&gt;"Confirmata"),0,IF(COUNTIFS(tTQMReguliDoc[Cheie_regula],S80,tTQMReguliDoc[Decl_producator],"Da")=1,1,0))</f>
        <v>0</v>
      </c>
      <c r="X80" s="22">
        <f>IF(OR(C80="",T80&lt;&gt;"Confirmata"),0,IF(COUNTIFS(tTQMReguliDoc[Cheie_regula],S80,tTQMReguliDoc[Fise_tehnice],"Da")=1,1,0))</f>
        <v>0</v>
      </c>
      <c r="Y80" s="22" t="str">
        <f t="shared" si="9"/>
        <v/>
      </c>
      <c r="Z80" s="22"/>
      <c r="AA80" s="22"/>
    </row>
    <row r="81" spans="1:27" ht="15" customHeight="1">
      <c r="A81" s="30"/>
      <c r="B81" s="31"/>
      <c r="C81" s="30"/>
      <c r="D81" s="30"/>
      <c r="E81" s="30"/>
      <c r="F81" s="32" t="str">
        <f t="shared" si="5"/>
        <v/>
      </c>
      <c r="G81" s="30"/>
      <c r="H81" s="30"/>
      <c r="I81" s="30"/>
      <c r="J81" s="32" t="str">
        <f t="shared" si="6"/>
        <v/>
      </c>
      <c r="K81" s="30" t="str">
        <f t="shared" si="7"/>
        <v/>
      </c>
      <c r="L81" s="30"/>
      <c r="M81" s="30"/>
      <c r="N81" s="22"/>
      <c r="O81" s="25"/>
      <c r="P81" s="26"/>
      <c r="Q81" s="22"/>
      <c r="R81" s="22"/>
      <c r="S81" s="22" t="str">
        <f t="shared" si="8"/>
        <v/>
      </c>
      <c r="T81" s="22" t="str">
        <f>IF(C81="","",IF(COUNTIF(tTQMReguliDoc[Cheie_regula],S81)&lt;&gt;1,"REGULA NECONFIGURATA",IF(COUNTIFS(tTQMReguliDoc[Cheie_regula],S81,tTQMReguliDoc[Stare],"Confirmata")=1,"Confirmata","De confirmat")))</f>
        <v/>
      </c>
      <c r="U81" s="22">
        <f>IF(OR(C81="",T81&lt;&gt;"Confirmata"),0,IF(COUNTIFS(tTQMReguliDoc[Cheie_regula],S81,tTQMReguliDoc[Aviz],"Da")=1,1,0))</f>
        <v>0</v>
      </c>
      <c r="V81" s="22">
        <f>IF(OR(C81="",T81&lt;&gt;"Confirmata"),0,IF(COUNTIFS(tTQMReguliDoc[Cheie_regula],S81,tTQMReguliDoc[Decl_conformitate],"Da")=1,1,0))</f>
        <v>0</v>
      </c>
      <c r="W81" s="22">
        <f>IF(OR(C81="",T81&lt;&gt;"Confirmata"),0,IF(COUNTIFS(tTQMReguliDoc[Cheie_regula],S81,tTQMReguliDoc[Decl_producator],"Da")=1,1,0))</f>
        <v>0</v>
      </c>
      <c r="X81" s="22">
        <f>IF(OR(C81="",T81&lt;&gt;"Confirmata"),0,IF(COUNTIFS(tTQMReguliDoc[Cheie_regula],S81,tTQMReguliDoc[Fise_tehnice],"Da")=1,1,0))</f>
        <v>0</v>
      </c>
      <c r="Y81" s="22" t="str">
        <f t="shared" si="9"/>
        <v/>
      </c>
      <c r="Z81" s="22"/>
      <c r="AA81" s="22"/>
    </row>
    <row r="82" spans="1:27" ht="15" customHeight="1">
      <c r="A82" s="30"/>
      <c r="B82" s="31"/>
      <c r="C82" s="30"/>
      <c r="D82" s="30"/>
      <c r="E82" s="30"/>
      <c r="F82" s="32" t="str">
        <f t="shared" si="5"/>
        <v/>
      </c>
      <c r="G82" s="30"/>
      <c r="H82" s="30"/>
      <c r="I82" s="30"/>
      <c r="J82" s="32" t="str">
        <f t="shared" si="6"/>
        <v/>
      </c>
      <c r="K82" s="30" t="str">
        <f t="shared" si="7"/>
        <v/>
      </c>
      <c r="L82" s="30"/>
      <c r="M82" s="30"/>
      <c r="N82" s="22"/>
      <c r="O82" s="25"/>
      <c r="P82" s="26"/>
      <c r="Q82" s="22"/>
      <c r="R82" s="22"/>
      <c r="S82" s="22" t="str">
        <f t="shared" si="8"/>
        <v/>
      </c>
      <c r="T82" s="22" t="str">
        <f>IF(C82="","",IF(COUNTIF(tTQMReguliDoc[Cheie_regula],S82)&lt;&gt;1,"REGULA NECONFIGURATA",IF(COUNTIFS(tTQMReguliDoc[Cheie_regula],S82,tTQMReguliDoc[Stare],"Confirmata")=1,"Confirmata","De confirmat")))</f>
        <v/>
      </c>
      <c r="U82" s="22">
        <f>IF(OR(C82="",T82&lt;&gt;"Confirmata"),0,IF(COUNTIFS(tTQMReguliDoc[Cheie_regula],S82,tTQMReguliDoc[Aviz],"Da")=1,1,0))</f>
        <v>0</v>
      </c>
      <c r="V82" s="22">
        <f>IF(OR(C82="",T82&lt;&gt;"Confirmata"),0,IF(COUNTIFS(tTQMReguliDoc[Cheie_regula],S82,tTQMReguliDoc[Decl_conformitate],"Da")=1,1,0))</f>
        <v>0</v>
      </c>
      <c r="W82" s="22">
        <f>IF(OR(C82="",T82&lt;&gt;"Confirmata"),0,IF(COUNTIFS(tTQMReguliDoc[Cheie_regula],S82,tTQMReguliDoc[Decl_producator],"Da")=1,1,0))</f>
        <v>0</v>
      </c>
      <c r="X82" s="22">
        <f>IF(OR(C82="",T82&lt;&gt;"Confirmata"),0,IF(COUNTIFS(tTQMReguliDoc[Cheie_regula],S82,tTQMReguliDoc[Fise_tehnice],"Da")=1,1,0))</f>
        <v>0</v>
      </c>
      <c r="Y82" s="22" t="str">
        <f t="shared" si="9"/>
        <v/>
      </c>
      <c r="Z82" s="22"/>
      <c r="AA82" s="22"/>
    </row>
    <row r="83" spans="1:27" ht="15" customHeight="1">
      <c r="A83" s="30"/>
      <c r="B83" s="31"/>
      <c r="C83" s="30"/>
      <c r="D83" s="30"/>
      <c r="E83" s="30"/>
      <c r="F83" s="32" t="str">
        <f t="shared" si="5"/>
        <v/>
      </c>
      <c r="G83" s="30"/>
      <c r="H83" s="30"/>
      <c r="I83" s="30"/>
      <c r="J83" s="32" t="str">
        <f t="shared" si="6"/>
        <v/>
      </c>
      <c r="K83" s="30" t="str">
        <f t="shared" si="7"/>
        <v/>
      </c>
      <c r="L83" s="30"/>
      <c r="M83" s="30"/>
      <c r="N83" s="22"/>
      <c r="O83" s="25"/>
      <c r="P83" s="26"/>
      <c r="Q83" s="22"/>
      <c r="R83" s="22"/>
      <c r="S83" s="22" t="str">
        <f t="shared" si="8"/>
        <v/>
      </c>
      <c r="T83" s="22" t="str">
        <f>IF(C83="","",IF(COUNTIF(tTQMReguliDoc[Cheie_regula],S83)&lt;&gt;1,"REGULA NECONFIGURATA",IF(COUNTIFS(tTQMReguliDoc[Cheie_regula],S83,tTQMReguliDoc[Stare],"Confirmata")=1,"Confirmata","De confirmat")))</f>
        <v/>
      </c>
      <c r="U83" s="22">
        <f>IF(OR(C83="",T83&lt;&gt;"Confirmata"),0,IF(COUNTIFS(tTQMReguliDoc[Cheie_regula],S83,tTQMReguliDoc[Aviz],"Da")=1,1,0))</f>
        <v>0</v>
      </c>
      <c r="V83" s="22">
        <f>IF(OR(C83="",T83&lt;&gt;"Confirmata"),0,IF(COUNTIFS(tTQMReguliDoc[Cheie_regula],S83,tTQMReguliDoc[Decl_conformitate],"Da")=1,1,0))</f>
        <v>0</v>
      </c>
      <c r="W83" s="22">
        <f>IF(OR(C83="",T83&lt;&gt;"Confirmata"),0,IF(COUNTIFS(tTQMReguliDoc[Cheie_regula],S83,tTQMReguliDoc[Decl_producator],"Da")=1,1,0))</f>
        <v>0</v>
      </c>
      <c r="X83" s="22">
        <f>IF(OR(C83="",T83&lt;&gt;"Confirmata"),0,IF(COUNTIFS(tTQMReguliDoc[Cheie_regula],S83,tTQMReguliDoc[Fise_tehnice],"Da")=1,1,0))</f>
        <v>0</v>
      </c>
      <c r="Y83" s="22" t="str">
        <f t="shared" si="9"/>
        <v/>
      </c>
      <c r="Z83" s="22"/>
      <c r="AA83" s="22"/>
    </row>
    <row r="84" spans="1:27" ht="15" customHeight="1">
      <c r="A84" s="30"/>
      <c r="B84" s="31"/>
      <c r="C84" s="30"/>
      <c r="D84" s="30"/>
      <c r="E84" s="30"/>
      <c r="F84" s="32" t="str">
        <f t="shared" si="5"/>
        <v/>
      </c>
      <c r="G84" s="30"/>
      <c r="H84" s="30"/>
      <c r="I84" s="30"/>
      <c r="J84" s="32" t="str">
        <f t="shared" si="6"/>
        <v/>
      </c>
      <c r="K84" s="30" t="str">
        <f t="shared" si="7"/>
        <v/>
      </c>
      <c r="L84" s="30"/>
      <c r="M84" s="30"/>
      <c r="N84" s="22"/>
      <c r="O84" s="25"/>
      <c r="P84" s="26"/>
      <c r="Q84" s="22"/>
      <c r="R84" s="22"/>
      <c r="S84" s="22" t="str">
        <f t="shared" si="8"/>
        <v/>
      </c>
      <c r="T84" s="22" t="str">
        <f>IF(C84="","",IF(COUNTIF(tTQMReguliDoc[Cheie_regula],S84)&lt;&gt;1,"REGULA NECONFIGURATA",IF(COUNTIFS(tTQMReguliDoc[Cheie_regula],S84,tTQMReguliDoc[Stare],"Confirmata")=1,"Confirmata","De confirmat")))</f>
        <v/>
      </c>
      <c r="U84" s="22">
        <f>IF(OR(C84="",T84&lt;&gt;"Confirmata"),0,IF(COUNTIFS(tTQMReguliDoc[Cheie_regula],S84,tTQMReguliDoc[Aviz],"Da")=1,1,0))</f>
        <v>0</v>
      </c>
      <c r="V84" s="22">
        <f>IF(OR(C84="",T84&lt;&gt;"Confirmata"),0,IF(COUNTIFS(tTQMReguliDoc[Cheie_regula],S84,tTQMReguliDoc[Decl_conformitate],"Da")=1,1,0))</f>
        <v>0</v>
      </c>
      <c r="W84" s="22">
        <f>IF(OR(C84="",T84&lt;&gt;"Confirmata"),0,IF(COUNTIFS(tTQMReguliDoc[Cheie_regula],S84,tTQMReguliDoc[Decl_producator],"Da")=1,1,0))</f>
        <v>0</v>
      </c>
      <c r="X84" s="22">
        <f>IF(OR(C84="",T84&lt;&gt;"Confirmata"),0,IF(COUNTIFS(tTQMReguliDoc[Cheie_regula],S84,tTQMReguliDoc[Fise_tehnice],"Da")=1,1,0))</f>
        <v>0</v>
      </c>
      <c r="Y84" s="22" t="str">
        <f t="shared" si="9"/>
        <v/>
      </c>
      <c r="Z84" s="22"/>
      <c r="AA84" s="22"/>
    </row>
    <row r="85" spans="1:27" ht="15" customHeight="1">
      <c r="A85" s="30"/>
      <c r="B85" s="31"/>
      <c r="C85" s="30"/>
      <c r="D85" s="30"/>
      <c r="E85" s="30"/>
      <c r="F85" s="32" t="str">
        <f t="shared" si="5"/>
        <v/>
      </c>
      <c r="G85" s="30"/>
      <c r="H85" s="30"/>
      <c r="I85" s="30"/>
      <c r="J85" s="32" t="str">
        <f t="shared" si="6"/>
        <v/>
      </c>
      <c r="K85" s="30" t="str">
        <f t="shared" si="7"/>
        <v/>
      </c>
      <c r="L85" s="30"/>
      <c r="M85" s="30"/>
      <c r="N85" s="22"/>
      <c r="O85" s="25"/>
      <c r="P85" s="26"/>
      <c r="Q85" s="22"/>
      <c r="R85" s="22"/>
      <c r="S85" s="22" t="str">
        <f t="shared" si="8"/>
        <v/>
      </c>
      <c r="T85" s="22" t="str">
        <f>IF(C85="","",IF(COUNTIF(tTQMReguliDoc[Cheie_regula],S85)&lt;&gt;1,"REGULA NECONFIGURATA",IF(COUNTIFS(tTQMReguliDoc[Cheie_regula],S85,tTQMReguliDoc[Stare],"Confirmata")=1,"Confirmata","De confirmat")))</f>
        <v/>
      </c>
      <c r="U85" s="22">
        <f>IF(OR(C85="",T85&lt;&gt;"Confirmata"),0,IF(COUNTIFS(tTQMReguliDoc[Cheie_regula],S85,tTQMReguliDoc[Aviz],"Da")=1,1,0))</f>
        <v>0</v>
      </c>
      <c r="V85" s="22">
        <f>IF(OR(C85="",T85&lt;&gt;"Confirmata"),0,IF(COUNTIFS(tTQMReguliDoc[Cheie_regula],S85,tTQMReguliDoc[Decl_conformitate],"Da")=1,1,0))</f>
        <v>0</v>
      </c>
      <c r="W85" s="22">
        <f>IF(OR(C85="",T85&lt;&gt;"Confirmata"),0,IF(COUNTIFS(tTQMReguliDoc[Cheie_regula],S85,tTQMReguliDoc[Decl_producator],"Da")=1,1,0))</f>
        <v>0</v>
      </c>
      <c r="X85" s="22">
        <f>IF(OR(C85="",T85&lt;&gt;"Confirmata"),0,IF(COUNTIFS(tTQMReguliDoc[Cheie_regula],S85,tTQMReguliDoc[Fise_tehnice],"Da")=1,1,0))</f>
        <v>0</v>
      </c>
      <c r="Y85" s="22" t="str">
        <f t="shared" si="9"/>
        <v/>
      </c>
      <c r="Z85" s="22"/>
      <c r="AA85" s="22"/>
    </row>
    <row r="86" spans="1:27" ht="15" customHeight="1">
      <c r="A86" s="30"/>
      <c r="B86" s="31"/>
      <c r="C86" s="30"/>
      <c r="D86" s="30"/>
      <c r="E86" s="30"/>
      <c r="F86" s="32" t="str">
        <f t="shared" si="5"/>
        <v/>
      </c>
      <c r="G86" s="30"/>
      <c r="H86" s="30"/>
      <c r="I86" s="30"/>
      <c r="J86" s="32" t="str">
        <f t="shared" si="6"/>
        <v/>
      </c>
      <c r="K86" s="30" t="str">
        <f t="shared" si="7"/>
        <v/>
      </c>
      <c r="L86" s="30"/>
      <c r="M86" s="30"/>
      <c r="N86" s="22"/>
      <c r="O86" s="25"/>
      <c r="P86" s="26"/>
      <c r="Q86" s="22"/>
      <c r="R86" s="22"/>
      <c r="S86" s="22" t="str">
        <f t="shared" si="8"/>
        <v/>
      </c>
      <c r="T86" s="22" t="str">
        <f>IF(C86="","",IF(COUNTIF(tTQMReguliDoc[Cheie_regula],S86)&lt;&gt;1,"REGULA NECONFIGURATA",IF(COUNTIFS(tTQMReguliDoc[Cheie_regula],S86,tTQMReguliDoc[Stare],"Confirmata")=1,"Confirmata","De confirmat")))</f>
        <v/>
      </c>
      <c r="U86" s="22">
        <f>IF(OR(C86="",T86&lt;&gt;"Confirmata"),0,IF(COUNTIFS(tTQMReguliDoc[Cheie_regula],S86,tTQMReguliDoc[Aviz],"Da")=1,1,0))</f>
        <v>0</v>
      </c>
      <c r="V86" s="22">
        <f>IF(OR(C86="",T86&lt;&gt;"Confirmata"),0,IF(COUNTIFS(tTQMReguliDoc[Cheie_regula],S86,tTQMReguliDoc[Decl_conformitate],"Da")=1,1,0))</f>
        <v>0</v>
      </c>
      <c r="W86" s="22">
        <f>IF(OR(C86="",T86&lt;&gt;"Confirmata"),0,IF(COUNTIFS(tTQMReguliDoc[Cheie_regula],S86,tTQMReguliDoc[Decl_producator],"Da")=1,1,0))</f>
        <v>0</v>
      </c>
      <c r="X86" s="22">
        <f>IF(OR(C86="",T86&lt;&gt;"Confirmata"),0,IF(COUNTIFS(tTQMReguliDoc[Cheie_regula],S86,tTQMReguliDoc[Fise_tehnice],"Da")=1,1,0))</f>
        <v>0</v>
      </c>
      <c r="Y86" s="22" t="str">
        <f t="shared" si="9"/>
        <v/>
      </c>
      <c r="Z86" s="22"/>
      <c r="AA86" s="22"/>
    </row>
    <row r="87" spans="1:27" ht="15" customHeight="1">
      <c r="A87" s="30"/>
      <c r="B87" s="31"/>
      <c r="C87" s="30"/>
      <c r="D87" s="30"/>
      <c r="E87" s="30"/>
      <c r="F87" s="32" t="str">
        <f t="shared" si="5"/>
        <v/>
      </c>
      <c r="G87" s="30"/>
      <c r="H87" s="30"/>
      <c r="I87" s="30"/>
      <c r="J87" s="32" t="str">
        <f t="shared" si="6"/>
        <v/>
      </c>
      <c r="K87" s="30" t="str">
        <f t="shared" si="7"/>
        <v/>
      </c>
      <c r="L87" s="30"/>
      <c r="M87" s="30"/>
      <c r="N87" s="22"/>
      <c r="O87" s="25"/>
      <c r="P87" s="26"/>
      <c r="Q87" s="22"/>
      <c r="R87" s="22"/>
      <c r="S87" s="22" t="str">
        <f t="shared" si="8"/>
        <v/>
      </c>
      <c r="T87" s="22" t="str">
        <f>IF(C87="","",IF(COUNTIF(tTQMReguliDoc[Cheie_regula],S87)&lt;&gt;1,"REGULA NECONFIGURATA",IF(COUNTIFS(tTQMReguliDoc[Cheie_regula],S87,tTQMReguliDoc[Stare],"Confirmata")=1,"Confirmata","De confirmat")))</f>
        <v/>
      </c>
      <c r="U87" s="22">
        <f>IF(OR(C87="",T87&lt;&gt;"Confirmata"),0,IF(COUNTIFS(tTQMReguliDoc[Cheie_regula],S87,tTQMReguliDoc[Aviz],"Da")=1,1,0))</f>
        <v>0</v>
      </c>
      <c r="V87" s="22">
        <f>IF(OR(C87="",T87&lt;&gt;"Confirmata"),0,IF(COUNTIFS(tTQMReguliDoc[Cheie_regula],S87,tTQMReguliDoc[Decl_conformitate],"Da")=1,1,0))</f>
        <v>0</v>
      </c>
      <c r="W87" s="22">
        <f>IF(OR(C87="",T87&lt;&gt;"Confirmata"),0,IF(COUNTIFS(tTQMReguliDoc[Cheie_regula],S87,tTQMReguliDoc[Decl_producator],"Da")=1,1,0))</f>
        <v>0</v>
      </c>
      <c r="X87" s="22">
        <f>IF(OR(C87="",T87&lt;&gt;"Confirmata"),0,IF(COUNTIFS(tTQMReguliDoc[Cheie_regula],S87,tTQMReguliDoc[Fise_tehnice],"Da")=1,1,0))</f>
        <v>0</v>
      </c>
      <c r="Y87" s="22" t="str">
        <f t="shared" si="9"/>
        <v/>
      </c>
      <c r="Z87" s="22"/>
      <c r="AA87" s="22"/>
    </row>
    <row r="88" spans="1:27" ht="15" customHeight="1">
      <c r="A88" s="30"/>
      <c r="B88" s="31"/>
      <c r="C88" s="30"/>
      <c r="D88" s="30"/>
      <c r="E88" s="30"/>
      <c r="F88" s="32" t="str">
        <f t="shared" si="5"/>
        <v/>
      </c>
      <c r="G88" s="30"/>
      <c r="H88" s="30"/>
      <c r="I88" s="30"/>
      <c r="J88" s="32" t="str">
        <f t="shared" si="6"/>
        <v/>
      </c>
      <c r="K88" s="30" t="str">
        <f t="shared" si="7"/>
        <v/>
      </c>
      <c r="L88" s="30"/>
      <c r="M88" s="30"/>
      <c r="N88" s="22"/>
      <c r="O88" s="25"/>
      <c r="P88" s="26"/>
      <c r="Q88" s="22"/>
      <c r="R88" s="22"/>
      <c r="S88" s="22" t="str">
        <f t="shared" si="8"/>
        <v/>
      </c>
      <c r="T88" s="22" t="str">
        <f>IF(C88="","",IF(COUNTIF(tTQMReguliDoc[Cheie_regula],S88)&lt;&gt;1,"REGULA NECONFIGURATA",IF(COUNTIFS(tTQMReguliDoc[Cheie_regula],S88,tTQMReguliDoc[Stare],"Confirmata")=1,"Confirmata","De confirmat")))</f>
        <v/>
      </c>
      <c r="U88" s="22">
        <f>IF(OR(C88="",T88&lt;&gt;"Confirmata"),0,IF(COUNTIFS(tTQMReguliDoc[Cheie_regula],S88,tTQMReguliDoc[Aviz],"Da")=1,1,0))</f>
        <v>0</v>
      </c>
      <c r="V88" s="22">
        <f>IF(OR(C88="",T88&lt;&gt;"Confirmata"),0,IF(COUNTIFS(tTQMReguliDoc[Cheie_regula],S88,tTQMReguliDoc[Decl_conformitate],"Da")=1,1,0))</f>
        <v>0</v>
      </c>
      <c r="W88" s="22">
        <f>IF(OR(C88="",T88&lt;&gt;"Confirmata"),0,IF(COUNTIFS(tTQMReguliDoc[Cheie_regula],S88,tTQMReguliDoc[Decl_producator],"Da")=1,1,0))</f>
        <v>0</v>
      </c>
      <c r="X88" s="22">
        <f>IF(OR(C88="",T88&lt;&gt;"Confirmata"),0,IF(COUNTIFS(tTQMReguliDoc[Cheie_regula],S88,tTQMReguliDoc[Fise_tehnice],"Da")=1,1,0))</f>
        <v>0</v>
      </c>
      <c r="Y88" s="22" t="str">
        <f t="shared" si="9"/>
        <v/>
      </c>
      <c r="Z88" s="22"/>
      <c r="AA88" s="22"/>
    </row>
    <row r="89" spans="1:27" ht="15" customHeight="1">
      <c r="A89" s="30"/>
      <c r="B89" s="31"/>
      <c r="C89" s="30"/>
      <c r="D89" s="30"/>
      <c r="E89" s="30"/>
      <c r="F89" s="32" t="str">
        <f t="shared" si="5"/>
        <v/>
      </c>
      <c r="G89" s="30"/>
      <c r="H89" s="30"/>
      <c r="I89" s="30"/>
      <c r="J89" s="32" t="str">
        <f t="shared" si="6"/>
        <v/>
      </c>
      <c r="K89" s="30" t="str">
        <f t="shared" si="7"/>
        <v/>
      </c>
      <c r="L89" s="30"/>
      <c r="M89" s="30"/>
      <c r="N89" s="22"/>
      <c r="O89" s="25"/>
      <c r="P89" s="26"/>
      <c r="Q89" s="22"/>
      <c r="R89" s="22"/>
      <c r="S89" s="22" t="str">
        <f t="shared" si="8"/>
        <v/>
      </c>
      <c r="T89" s="22" t="str">
        <f>IF(C89="","",IF(COUNTIF(tTQMReguliDoc[Cheie_regula],S89)&lt;&gt;1,"REGULA NECONFIGURATA",IF(COUNTIFS(tTQMReguliDoc[Cheie_regula],S89,tTQMReguliDoc[Stare],"Confirmata")=1,"Confirmata","De confirmat")))</f>
        <v/>
      </c>
      <c r="U89" s="22">
        <f>IF(OR(C89="",T89&lt;&gt;"Confirmata"),0,IF(COUNTIFS(tTQMReguliDoc[Cheie_regula],S89,tTQMReguliDoc[Aviz],"Da")=1,1,0))</f>
        <v>0</v>
      </c>
      <c r="V89" s="22">
        <f>IF(OR(C89="",T89&lt;&gt;"Confirmata"),0,IF(COUNTIFS(tTQMReguliDoc[Cheie_regula],S89,tTQMReguliDoc[Decl_conformitate],"Da")=1,1,0))</f>
        <v>0</v>
      </c>
      <c r="W89" s="22">
        <f>IF(OR(C89="",T89&lt;&gt;"Confirmata"),0,IF(COUNTIFS(tTQMReguliDoc[Cheie_regula],S89,tTQMReguliDoc[Decl_producator],"Da")=1,1,0))</f>
        <v>0</v>
      </c>
      <c r="X89" s="22">
        <f>IF(OR(C89="",T89&lt;&gt;"Confirmata"),0,IF(COUNTIFS(tTQMReguliDoc[Cheie_regula],S89,tTQMReguliDoc[Fise_tehnice],"Da")=1,1,0))</f>
        <v>0</v>
      </c>
      <c r="Y89" s="22" t="str">
        <f t="shared" si="9"/>
        <v/>
      </c>
      <c r="Z89" s="22"/>
      <c r="AA89" s="22"/>
    </row>
    <row r="90" spans="1:27" ht="15" customHeight="1">
      <c r="A90" s="30"/>
      <c r="B90" s="31"/>
      <c r="C90" s="30"/>
      <c r="D90" s="30"/>
      <c r="E90" s="30"/>
      <c r="F90" s="32" t="str">
        <f t="shared" si="5"/>
        <v/>
      </c>
      <c r="G90" s="30"/>
      <c r="H90" s="30"/>
      <c r="I90" s="30"/>
      <c r="J90" s="32" t="str">
        <f t="shared" si="6"/>
        <v/>
      </c>
      <c r="K90" s="30" t="str">
        <f t="shared" si="7"/>
        <v/>
      </c>
      <c r="L90" s="30"/>
      <c r="M90" s="30"/>
      <c r="N90" s="22"/>
      <c r="O90" s="25"/>
      <c r="P90" s="26"/>
      <c r="Q90" s="22"/>
      <c r="R90" s="22"/>
      <c r="S90" s="22" t="str">
        <f t="shared" si="8"/>
        <v/>
      </c>
      <c r="T90" s="22" t="str">
        <f>IF(C90="","",IF(COUNTIF(tTQMReguliDoc[Cheie_regula],S90)&lt;&gt;1,"REGULA NECONFIGURATA",IF(COUNTIFS(tTQMReguliDoc[Cheie_regula],S90,tTQMReguliDoc[Stare],"Confirmata")=1,"Confirmata","De confirmat")))</f>
        <v/>
      </c>
      <c r="U90" s="22">
        <f>IF(OR(C90="",T90&lt;&gt;"Confirmata"),0,IF(COUNTIFS(tTQMReguliDoc[Cheie_regula],S90,tTQMReguliDoc[Aviz],"Da")=1,1,0))</f>
        <v>0</v>
      </c>
      <c r="V90" s="22">
        <f>IF(OR(C90="",T90&lt;&gt;"Confirmata"),0,IF(COUNTIFS(tTQMReguliDoc[Cheie_regula],S90,tTQMReguliDoc[Decl_conformitate],"Da")=1,1,0))</f>
        <v>0</v>
      </c>
      <c r="W90" s="22">
        <f>IF(OR(C90="",T90&lt;&gt;"Confirmata"),0,IF(COUNTIFS(tTQMReguliDoc[Cheie_regula],S90,tTQMReguliDoc[Decl_producator],"Da")=1,1,0))</f>
        <v>0</v>
      </c>
      <c r="X90" s="22">
        <f>IF(OR(C90="",T90&lt;&gt;"Confirmata"),0,IF(COUNTIFS(tTQMReguliDoc[Cheie_regula],S90,tTQMReguliDoc[Fise_tehnice],"Da")=1,1,0))</f>
        <v>0</v>
      </c>
      <c r="Y90" s="22" t="str">
        <f t="shared" si="9"/>
        <v/>
      </c>
      <c r="Z90" s="22"/>
      <c r="AA90" s="22"/>
    </row>
    <row r="91" spans="1:27" ht="15" customHeight="1">
      <c r="A91" s="30"/>
      <c r="B91" s="31"/>
      <c r="C91" s="30"/>
      <c r="D91" s="30"/>
      <c r="E91" s="30"/>
      <c r="F91" s="32" t="str">
        <f t="shared" si="5"/>
        <v/>
      </c>
      <c r="G91" s="30"/>
      <c r="H91" s="30"/>
      <c r="I91" s="30"/>
      <c r="J91" s="32" t="str">
        <f t="shared" si="6"/>
        <v/>
      </c>
      <c r="K91" s="30" t="str">
        <f t="shared" si="7"/>
        <v/>
      </c>
      <c r="L91" s="30"/>
      <c r="M91" s="30"/>
      <c r="N91" s="22"/>
      <c r="O91" s="25"/>
      <c r="P91" s="26"/>
      <c r="Q91" s="22"/>
      <c r="R91" s="22"/>
      <c r="S91" s="22" t="str">
        <f t="shared" si="8"/>
        <v/>
      </c>
      <c r="T91" s="22" t="str">
        <f>IF(C91="","",IF(COUNTIF(tTQMReguliDoc[Cheie_regula],S91)&lt;&gt;1,"REGULA NECONFIGURATA",IF(COUNTIFS(tTQMReguliDoc[Cheie_regula],S91,tTQMReguliDoc[Stare],"Confirmata")=1,"Confirmata","De confirmat")))</f>
        <v/>
      </c>
      <c r="U91" s="22">
        <f>IF(OR(C91="",T91&lt;&gt;"Confirmata"),0,IF(COUNTIFS(tTQMReguliDoc[Cheie_regula],S91,tTQMReguliDoc[Aviz],"Da")=1,1,0))</f>
        <v>0</v>
      </c>
      <c r="V91" s="22">
        <f>IF(OR(C91="",T91&lt;&gt;"Confirmata"),0,IF(COUNTIFS(tTQMReguliDoc[Cheie_regula],S91,tTQMReguliDoc[Decl_conformitate],"Da")=1,1,0))</f>
        <v>0</v>
      </c>
      <c r="W91" s="22">
        <f>IF(OR(C91="",T91&lt;&gt;"Confirmata"),0,IF(COUNTIFS(tTQMReguliDoc[Cheie_regula],S91,tTQMReguliDoc[Decl_producator],"Da")=1,1,0))</f>
        <v>0</v>
      </c>
      <c r="X91" s="22">
        <f>IF(OR(C91="",T91&lt;&gt;"Confirmata"),0,IF(COUNTIFS(tTQMReguliDoc[Cheie_regula],S91,tTQMReguliDoc[Fise_tehnice],"Da")=1,1,0))</f>
        <v>0</v>
      </c>
      <c r="Y91" s="22" t="str">
        <f t="shared" si="9"/>
        <v/>
      </c>
      <c r="Z91" s="22"/>
      <c r="AA91" s="22"/>
    </row>
    <row r="92" spans="1:27" ht="15" customHeight="1">
      <c r="A92" s="30"/>
      <c r="B92" s="31"/>
      <c r="C92" s="30"/>
      <c r="D92" s="30"/>
      <c r="E92" s="30"/>
      <c r="F92" s="32" t="str">
        <f t="shared" si="5"/>
        <v/>
      </c>
      <c r="G92" s="30"/>
      <c r="H92" s="30"/>
      <c r="I92" s="30"/>
      <c r="J92" s="32" t="str">
        <f t="shared" si="6"/>
        <v/>
      </c>
      <c r="K92" s="30" t="str">
        <f t="shared" si="7"/>
        <v/>
      </c>
      <c r="L92" s="30"/>
      <c r="M92" s="30"/>
      <c r="N92" s="22"/>
      <c r="O92" s="25"/>
      <c r="P92" s="26"/>
      <c r="Q92" s="22"/>
      <c r="R92" s="22"/>
      <c r="S92" s="22" t="str">
        <f t="shared" si="8"/>
        <v/>
      </c>
      <c r="T92" s="22" t="str">
        <f>IF(C92="","",IF(COUNTIF(tTQMReguliDoc[Cheie_regula],S92)&lt;&gt;1,"REGULA NECONFIGURATA",IF(COUNTIFS(tTQMReguliDoc[Cheie_regula],S92,tTQMReguliDoc[Stare],"Confirmata")=1,"Confirmata","De confirmat")))</f>
        <v/>
      </c>
      <c r="U92" s="22">
        <f>IF(OR(C92="",T92&lt;&gt;"Confirmata"),0,IF(COUNTIFS(tTQMReguliDoc[Cheie_regula],S92,tTQMReguliDoc[Aviz],"Da")=1,1,0))</f>
        <v>0</v>
      </c>
      <c r="V92" s="22">
        <f>IF(OR(C92="",T92&lt;&gt;"Confirmata"),0,IF(COUNTIFS(tTQMReguliDoc[Cheie_regula],S92,tTQMReguliDoc[Decl_conformitate],"Da")=1,1,0))</f>
        <v>0</v>
      </c>
      <c r="W92" s="22">
        <f>IF(OR(C92="",T92&lt;&gt;"Confirmata"),0,IF(COUNTIFS(tTQMReguliDoc[Cheie_regula],S92,tTQMReguliDoc[Decl_producator],"Da")=1,1,0))</f>
        <v>0</v>
      </c>
      <c r="X92" s="22">
        <f>IF(OR(C92="",T92&lt;&gt;"Confirmata"),0,IF(COUNTIFS(tTQMReguliDoc[Cheie_regula],S92,tTQMReguliDoc[Fise_tehnice],"Da")=1,1,0))</f>
        <v>0</v>
      </c>
      <c r="Y92" s="22" t="str">
        <f t="shared" si="9"/>
        <v/>
      </c>
      <c r="Z92" s="22"/>
      <c r="AA92" s="22"/>
    </row>
    <row r="93" spans="1:27" ht="15" customHeight="1">
      <c r="A93" s="30"/>
      <c r="B93" s="31"/>
      <c r="C93" s="30"/>
      <c r="D93" s="30"/>
      <c r="E93" s="30"/>
      <c r="F93" s="32" t="str">
        <f t="shared" si="5"/>
        <v/>
      </c>
      <c r="G93" s="30"/>
      <c r="H93" s="30"/>
      <c r="I93" s="30"/>
      <c r="J93" s="32" t="str">
        <f t="shared" si="6"/>
        <v/>
      </c>
      <c r="K93" s="30" t="str">
        <f t="shared" si="7"/>
        <v/>
      </c>
      <c r="L93" s="30"/>
      <c r="M93" s="30"/>
      <c r="N93" s="22"/>
      <c r="O93" s="25"/>
      <c r="P93" s="26"/>
      <c r="Q93" s="22"/>
      <c r="R93" s="22"/>
      <c r="S93" s="22" t="str">
        <f t="shared" si="8"/>
        <v/>
      </c>
      <c r="T93" s="22" t="str">
        <f>IF(C93="","",IF(COUNTIF(tTQMReguliDoc[Cheie_regula],S93)&lt;&gt;1,"REGULA NECONFIGURATA",IF(COUNTIFS(tTQMReguliDoc[Cheie_regula],S93,tTQMReguliDoc[Stare],"Confirmata")=1,"Confirmata","De confirmat")))</f>
        <v/>
      </c>
      <c r="U93" s="22">
        <f>IF(OR(C93="",T93&lt;&gt;"Confirmata"),0,IF(COUNTIFS(tTQMReguliDoc[Cheie_regula],S93,tTQMReguliDoc[Aviz],"Da")=1,1,0))</f>
        <v>0</v>
      </c>
      <c r="V93" s="22">
        <f>IF(OR(C93="",T93&lt;&gt;"Confirmata"),0,IF(COUNTIFS(tTQMReguliDoc[Cheie_regula],S93,tTQMReguliDoc[Decl_conformitate],"Da")=1,1,0))</f>
        <v>0</v>
      </c>
      <c r="W93" s="22">
        <f>IF(OR(C93="",T93&lt;&gt;"Confirmata"),0,IF(COUNTIFS(tTQMReguliDoc[Cheie_regula],S93,tTQMReguliDoc[Decl_producator],"Da")=1,1,0))</f>
        <v>0</v>
      </c>
      <c r="X93" s="22">
        <f>IF(OR(C93="",T93&lt;&gt;"Confirmata"),0,IF(COUNTIFS(tTQMReguliDoc[Cheie_regula],S93,tTQMReguliDoc[Fise_tehnice],"Da")=1,1,0))</f>
        <v>0</v>
      </c>
      <c r="Y93" s="22" t="str">
        <f t="shared" si="9"/>
        <v/>
      </c>
      <c r="Z93" s="22"/>
      <c r="AA93" s="22"/>
    </row>
    <row r="94" spans="1:27" ht="15" customHeight="1">
      <c r="A94" s="30"/>
      <c r="B94" s="31"/>
      <c r="C94" s="30"/>
      <c r="D94" s="30"/>
      <c r="E94" s="30"/>
      <c r="F94" s="32" t="str">
        <f t="shared" si="5"/>
        <v/>
      </c>
      <c r="G94" s="30"/>
      <c r="H94" s="30"/>
      <c r="I94" s="30"/>
      <c r="J94" s="32" t="str">
        <f t="shared" si="6"/>
        <v/>
      </c>
      <c r="K94" s="30" t="str">
        <f t="shared" si="7"/>
        <v/>
      </c>
      <c r="L94" s="30"/>
      <c r="M94" s="30"/>
      <c r="N94" s="22"/>
      <c r="O94" s="25"/>
      <c r="P94" s="26"/>
      <c r="Q94" s="22"/>
      <c r="R94" s="22"/>
      <c r="S94" s="22" t="str">
        <f t="shared" si="8"/>
        <v/>
      </c>
      <c r="T94" s="22" t="str">
        <f>IF(C94="","",IF(COUNTIF(tTQMReguliDoc[Cheie_regula],S94)&lt;&gt;1,"REGULA NECONFIGURATA",IF(COUNTIFS(tTQMReguliDoc[Cheie_regula],S94,tTQMReguliDoc[Stare],"Confirmata")=1,"Confirmata","De confirmat")))</f>
        <v/>
      </c>
      <c r="U94" s="22">
        <f>IF(OR(C94="",T94&lt;&gt;"Confirmata"),0,IF(COUNTIFS(tTQMReguliDoc[Cheie_regula],S94,tTQMReguliDoc[Aviz],"Da")=1,1,0))</f>
        <v>0</v>
      </c>
      <c r="V94" s="22">
        <f>IF(OR(C94="",T94&lt;&gt;"Confirmata"),0,IF(COUNTIFS(tTQMReguliDoc[Cheie_regula],S94,tTQMReguliDoc[Decl_conformitate],"Da")=1,1,0))</f>
        <v>0</v>
      </c>
      <c r="W94" s="22">
        <f>IF(OR(C94="",T94&lt;&gt;"Confirmata"),0,IF(COUNTIFS(tTQMReguliDoc[Cheie_regula],S94,tTQMReguliDoc[Decl_producator],"Da")=1,1,0))</f>
        <v>0</v>
      </c>
      <c r="X94" s="22">
        <f>IF(OR(C94="",T94&lt;&gt;"Confirmata"),0,IF(COUNTIFS(tTQMReguliDoc[Cheie_regula],S94,tTQMReguliDoc[Fise_tehnice],"Da")=1,1,0))</f>
        <v>0</v>
      </c>
      <c r="Y94" s="22" t="str">
        <f t="shared" si="9"/>
        <v/>
      </c>
      <c r="Z94" s="22"/>
      <c r="AA94" s="22"/>
    </row>
    <row r="95" spans="1:27" ht="15" customHeight="1">
      <c r="A95" s="30"/>
      <c r="B95" s="31"/>
      <c r="C95" s="30"/>
      <c r="D95" s="30"/>
      <c r="E95" s="30"/>
      <c r="F95" s="32" t="str">
        <f t="shared" si="5"/>
        <v/>
      </c>
      <c r="G95" s="30"/>
      <c r="H95" s="30"/>
      <c r="I95" s="30"/>
      <c r="J95" s="32" t="str">
        <f t="shared" si="6"/>
        <v/>
      </c>
      <c r="K95" s="30" t="str">
        <f t="shared" si="7"/>
        <v/>
      </c>
      <c r="L95" s="30"/>
      <c r="M95" s="30"/>
      <c r="N95" s="22"/>
      <c r="O95" s="25"/>
      <c r="P95" s="26"/>
      <c r="Q95" s="22"/>
      <c r="R95" s="22"/>
      <c r="S95" s="22" t="str">
        <f t="shared" si="8"/>
        <v/>
      </c>
      <c r="T95" s="22" t="str">
        <f>IF(C95="","",IF(COUNTIF(tTQMReguliDoc[Cheie_regula],S95)&lt;&gt;1,"REGULA NECONFIGURATA",IF(COUNTIFS(tTQMReguliDoc[Cheie_regula],S95,tTQMReguliDoc[Stare],"Confirmata")=1,"Confirmata","De confirmat")))</f>
        <v/>
      </c>
      <c r="U95" s="22">
        <f>IF(OR(C95="",T95&lt;&gt;"Confirmata"),0,IF(COUNTIFS(tTQMReguliDoc[Cheie_regula],S95,tTQMReguliDoc[Aviz],"Da")=1,1,0))</f>
        <v>0</v>
      </c>
      <c r="V95" s="22">
        <f>IF(OR(C95="",T95&lt;&gt;"Confirmata"),0,IF(COUNTIFS(tTQMReguliDoc[Cheie_regula],S95,tTQMReguliDoc[Decl_conformitate],"Da")=1,1,0))</f>
        <v>0</v>
      </c>
      <c r="W95" s="22">
        <f>IF(OR(C95="",T95&lt;&gt;"Confirmata"),0,IF(COUNTIFS(tTQMReguliDoc[Cheie_regula],S95,tTQMReguliDoc[Decl_producator],"Da")=1,1,0))</f>
        <v>0</v>
      </c>
      <c r="X95" s="22">
        <f>IF(OR(C95="",T95&lt;&gt;"Confirmata"),0,IF(COUNTIFS(tTQMReguliDoc[Cheie_regula],S95,tTQMReguliDoc[Fise_tehnice],"Da")=1,1,0))</f>
        <v>0</v>
      </c>
      <c r="Y95" s="22" t="str">
        <f t="shared" si="9"/>
        <v/>
      </c>
      <c r="Z95" s="22"/>
      <c r="AA95" s="22"/>
    </row>
    <row r="96" spans="1:27" ht="15" customHeight="1">
      <c r="A96" s="30"/>
      <c r="B96" s="31"/>
      <c r="C96" s="30"/>
      <c r="D96" s="30"/>
      <c r="E96" s="30"/>
      <c r="F96" s="32" t="str">
        <f t="shared" si="5"/>
        <v/>
      </c>
      <c r="G96" s="30"/>
      <c r="H96" s="30"/>
      <c r="I96" s="30"/>
      <c r="J96" s="32" t="str">
        <f t="shared" si="6"/>
        <v/>
      </c>
      <c r="K96" s="30" t="str">
        <f t="shared" si="7"/>
        <v/>
      </c>
      <c r="L96" s="30"/>
      <c r="M96" s="30"/>
      <c r="N96" s="22"/>
      <c r="O96" s="25"/>
      <c r="P96" s="26"/>
      <c r="Q96" s="22"/>
      <c r="R96" s="22"/>
      <c r="S96" s="22" t="str">
        <f t="shared" si="8"/>
        <v/>
      </c>
      <c r="T96" s="22" t="str">
        <f>IF(C96="","",IF(COUNTIF(tTQMReguliDoc[Cheie_regula],S96)&lt;&gt;1,"REGULA NECONFIGURATA",IF(COUNTIFS(tTQMReguliDoc[Cheie_regula],S96,tTQMReguliDoc[Stare],"Confirmata")=1,"Confirmata","De confirmat")))</f>
        <v/>
      </c>
      <c r="U96" s="22">
        <f>IF(OR(C96="",T96&lt;&gt;"Confirmata"),0,IF(COUNTIFS(tTQMReguliDoc[Cheie_regula],S96,tTQMReguliDoc[Aviz],"Da")=1,1,0))</f>
        <v>0</v>
      </c>
      <c r="V96" s="22">
        <f>IF(OR(C96="",T96&lt;&gt;"Confirmata"),0,IF(COUNTIFS(tTQMReguliDoc[Cheie_regula],S96,tTQMReguliDoc[Decl_conformitate],"Da")=1,1,0))</f>
        <v>0</v>
      </c>
      <c r="W96" s="22">
        <f>IF(OR(C96="",T96&lt;&gt;"Confirmata"),0,IF(COUNTIFS(tTQMReguliDoc[Cheie_regula],S96,tTQMReguliDoc[Decl_producator],"Da")=1,1,0))</f>
        <v>0</v>
      </c>
      <c r="X96" s="22">
        <f>IF(OR(C96="",T96&lt;&gt;"Confirmata"),0,IF(COUNTIFS(tTQMReguliDoc[Cheie_regula],S96,tTQMReguliDoc[Fise_tehnice],"Da")=1,1,0))</f>
        <v>0</v>
      </c>
      <c r="Y96" s="22" t="str">
        <f t="shared" si="9"/>
        <v/>
      </c>
      <c r="Z96" s="22"/>
      <c r="AA96" s="22"/>
    </row>
    <row r="97" spans="1:27" ht="15" customHeight="1">
      <c r="A97" s="30"/>
      <c r="B97" s="31"/>
      <c r="C97" s="30"/>
      <c r="D97" s="30"/>
      <c r="E97" s="30"/>
      <c r="F97" s="32" t="str">
        <f t="shared" si="5"/>
        <v/>
      </c>
      <c r="G97" s="30"/>
      <c r="H97" s="30"/>
      <c r="I97" s="30"/>
      <c r="J97" s="32" t="str">
        <f t="shared" si="6"/>
        <v/>
      </c>
      <c r="K97" s="30" t="str">
        <f t="shared" si="7"/>
        <v/>
      </c>
      <c r="L97" s="30"/>
      <c r="M97" s="30"/>
      <c r="N97" s="22"/>
      <c r="O97" s="25"/>
      <c r="P97" s="26"/>
      <c r="Q97" s="22"/>
      <c r="R97" s="22"/>
      <c r="S97" s="22" t="str">
        <f t="shared" si="8"/>
        <v/>
      </c>
      <c r="T97" s="22" t="str">
        <f>IF(C97="","",IF(COUNTIF(tTQMReguliDoc[Cheie_regula],S97)&lt;&gt;1,"REGULA NECONFIGURATA",IF(COUNTIFS(tTQMReguliDoc[Cheie_regula],S97,tTQMReguliDoc[Stare],"Confirmata")=1,"Confirmata","De confirmat")))</f>
        <v/>
      </c>
      <c r="U97" s="22">
        <f>IF(OR(C97="",T97&lt;&gt;"Confirmata"),0,IF(COUNTIFS(tTQMReguliDoc[Cheie_regula],S97,tTQMReguliDoc[Aviz],"Da")=1,1,0))</f>
        <v>0</v>
      </c>
      <c r="V97" s="22">
        <f>IF(OR(C97="",T97&lt;&gt;"Confirmata"),0,IF(COUNTIFS(tTQMReguliDoc[Cheie_regula],S97,tTQMReguliDoc[Decl_conformitate],"Da")=1,1,0))</f>
        <v>0</v>
      </c>
      <c r="W97" s="22">
        <f>IF(OR(C97="",T97&lt;&gt;"Confirmata"),0,IF(COUNTIFS(tTQMReguliDoc[Cheie_regula],S97,tTQMReguliDoc[Decl_producator],"Da")=1,1,0))</f>
        <v>0</v>
      </c>
      <c r="X97" s="22">
        <f>IF(OR(C97="",T97&lt;&gt;"Confirmata"),0,IF(COUNTIFS(tTQMReguliDoc[Cheie_regula],S97,tTQMReguliDoc[Fise_tehnice],"Da")=1,1,0))</f>
        <v>0</v>
      </c>
      <c r="Y97" s="22" t="str">
        <f t="shared" si="9"/>
        <v/>
      </c>
      <c r="Z97" s="22"/>
      <c r="AA97" s="22"/>
    </row>
    <row r="98" spans="1:27" ht="15" customHeight="1">
      <c r="A98" s="30"/>
      <c r="B98" s="31"/>
      <c r="C98" s="30"/>
      <c r="D98" s="30"/>
      <c r="E98" s="30"/>
      <c r="F98" s="32" t="str">
        <f t="shared" si="5"/>
        <v/>
      </c>
      <c r="G98" s="30"/>
      <c r="H98" s="30"/>
      <c r="I98" s="30"/>
      <c r="J98" s="32" t="str">
        <f t="shared" si="6"/>
        <v/>
      </c>
      <c r="K98" s="30" t="str">
        <f t="shared" si="7"/>
        <v/>
      </c>
      <c r="L98" s="30"/>
      <c r="M98" s="30"/>
      <c r="N98" s="22"/>
      <c r="O98" s="25"/>
      <c r="P98" s="26"/>
      <c r="Q98" s="22"/>
      <c r="R98" s="22"/>
      <c r="S98" s="22" t="str">
        <f t="shared" si="8"/>
        <v/>
      </c>
      <c r="T98" s="22" t="str">
        <f>IF(C98="","",IF(COUNTIF(tTQMReguliDoc[Cheie_regula],S98)&lt;&gt;1,"REGULA NECONFIGURATA",IF(COUNTIFS(tTQMReguliDoc[Cheie_regula],S98,tTQMReguliDoc[Stare],"Confirmata")=1,"Confirmata","De confirmat")))</f>
        <v/>
      </c>
      <c r="U98" s="22">
        <f>IF(OR(C98="",T98&lt;&gt;"Confirmata"),0,IF(COUNTIFS(tTQMReguliDoc[Cheie_regula],S98,tTQMReguliDoc[Aviz],"Da")=1,1,0))</f>
        <v>0</v>
      </c>
      <c r="V98" s="22">
        <f>IF(OR(C98="",T98&lt;&gt;"Confirmata"),0,IF(COUNTIFS(tTQMReguliDoc[Cheie_regula],S98,tTQMReguliDoc[Decl_conformitate],"Da")=1,1,0))</f>
        <v>0</v>
      </c>
      <c r="W98" s="22">
        <f>IF(OR(C98="",T98&lt;&gt;"Confirmata"),0,IF(COUNTIFS(tTQMReguliDoc[Cheie_regula],S98,tTQMReguliDoc[Decl_producator],"Da")=1,1,0))</f>
        <v>0</v>
      </c>
      <c r="X98" s="22">
        <f>IF(OR(C98="",T98&lt;&gt;"Confirmata"),0,IF(COUNTIFS(tTQMReguliDoc[Cheie_regula],S98,tTQMReguliDoc[Fise_tehnice],"Da")=1,1,0))</f>
        <v>0</v>
      </c>
      <c r="Y98" s="22" t="str">
        <f t="shared" si="9"/>
        <v/>
      </c>
      <c r="Z98" s="22"/>
      <c r="AA98" s="22"/>
    </row>
    <row r="99" spans="1:27" ht="15" customHeight="1">
      <c r="A99" s="30"/>
      <c r="B99" s="31"/>
      <c r="C99" s="30"/>
      <c r="D99" s="30"/>
      <c r="E99" s="30"/>
      <c r="F99" s="32" t="str">
        <f t="shared" si="5"/>
        <v/>
      </c>
      <c r="G99" s="30"/>
      <c r="H99" s="30"/>
      <c r="I99" s="30"/>
      <c r="J99" s="32" t="str">
        <f t="shared" si="6"/>
        <v/>
      </c>
      <c r="K99" s="30" t="str">
        <f t="shared" si="7"/>
        <v/>
      </c>
      <c r="L99" s="30"/>
      <c r="M99" s="30"/>
      <c r="N99" s="22"/>
      <c r="O99" s="25"/>
      <c r="P99" s="26"/>
      <c r="Q99" s="22"/>
      <c r="R99" s="22"/>
      <c r="S99" s="22" t="str">
        <f t="shared" si="8"/>
        <v/>
      </c>
      <c r="T99" s="22" t="str">
        <f>IF(C99="","",IF(COUNTIF(tTQMReguliDoc[Cheie_regula],S99)&lt;&gt;1,"REGULA NECONFIGURATA",IF(COUNTIFS(tTQMReguliDoc[Cheie_regula],S99,tTQMReguliDoc[Stare],"Confirmata")=1,"Confirmata","De confirmat")))</f>
        <v/>
      </c>
      <c r="U99" s="22">
        <f>IF(OR(C99="",T99&lt;&gt;"Confirmata"),0,IF(COUNTIFS(tTQMReguliDoc[Cheie_regula],S99,tTQMReguliDoc[Aviz],"Da")=1,1,0))</f>
        <v>0</v>
      </c>
      <c r="V99" s="22">
        <f>IF(OR(C99="",T99&lt;&gt;"Confirmata"),0,IF(COUNTIFS(tTQMReguliDoc[Cheie_regula],S99,tTQMReguliDoc[Decl_conformitate],"Da")=1,1,0))</f>
        <v>0</v>
      </c>
      <c r="W99" s="22">
        <f>IF(OR(C99="",T99&lt;&gt;"Confirmata"),0,IF(COUNTIFS(tTQMReguliDoc[Cheie_regula],S99,tTQMReguliDoc[Decl_producator],"Da")=1,1,0))</f>
        <v>0</v>
      </c>
      <c r="X99" s="22">
        <f>IF(OR(C99="",T99&lt;&gt;"Confirmata"),0,IF(COUNTIFS(tTQMReguliDoc[Cheie_regula],S99,tTQMReguliDoc[Fise_tehnice],"Da")=1,1,0))</f>
        <v>0</v>
      </c>
      <c r="Y99" s="22" t="str">
        <f t="shared" si="9"/>
        <v/>
      </c>
      <c r="Z99" s="22"/>
      <c r="AA99" s="22"/>
    </row>
    <row r="100" spans="1:27" ht="15" customHeight="1">
      <c r="A100" s="30"/>
      <c r="B100" s="31"/>
      <c r="C100" s="30"/>
      <c r="D100" s="30"/>
      <c r="E100" s="30"/>
      <c r="F100" s="32" t="str">
        <f t="shared" si="5"/>
        <v/>
      </c>
      <c r="G100" s="30"/>
      <c r="H100" s="30"/>
      <c r="I100" s="30"/>
      <c r="J100" s="32" t="str">
        <f t="shared" si="6"/>
        <v/>
      </c>
      <c r="K100" s="30" t="str">
        <f t="shared" si="7"/>
        <v/>
      </c>
      <c r="L100" s="30"/>
      <c r="M100" s="30"/>
      <c r="N100" s="22"/>
      <c r="O100" s="25"/>
      <c r="P100" s="26"/>
      <c r="Q100" s="22"/>
      <c r="R100" s="22"/>
      <c r="S100" s="22" t="str">
        <f t="shared" si="8"/>
        <v/>
      </c>
      <c r="T100" s="22" t="str">
        <f>IF(C100="","",IF(COUNTIF(tTQMReguliDoc[Cheie_regula],S100)&lt;&gt;1,"REGULA NECONFIGURATA",IF(COUNTIFS(tTQMReguliDoc[Cheie_regula],S100,tTQMReguliDoc[Stare],"Confirmata")=1,"Confirmata","De confirmat")))</f>
        <v/>
      </c>
      <c r="U100" s="22">
        <f>IF(OR(C100="",T100&lt;&gt;"Confirmata"),0,IF(COUNTIFS(tTQMReguliDoc[Cheie_regula],S100,tTQMReguliDoc[Aviz],"Da")=1,1,0))</f>
        <v>0</v>
      </c>
      <c r="V100" s="22">
        <f>IF(OR(C100="",T100&lt;&gt;"Confirmata"),0,IF(COUNTIFS(tTQMReguliDoc[Cheie_regula],S100,tTQMReguliDoc[Decl_conformitate],"Da")=1,1,0))</f>
        <v>0</v>
      </c>
      <c r="W100" s="22">
        <f>IF(OR(C100="",T100&lt;&gt;"Confirmata"),0,IF(COUNTIFS(tTQMReguliDoc[Cheie_regula],S100,tTQMReguliDoc[Decl_producator],"Da")=1,1,0))</f>
        <v>0</v>
      </c>
      <c r="X100" s="22">
        <f>IF(OR(C100="",T100&lt;&gt;"Confirmata"),0,IF(COUNTIFS(tTQMReguliDoc[Cheie_regula],S100,tTQMReguliDoc[Fise_tehnice],"Da")=1,1,0))</f>
        <v>0</v>
      </c>
      <c r="Y100" s="22" t="str">
        <f t="shared" si="9"/>
        <v/>
      </c>
      <c r="Z100" s="22"/>
      <c r="AA100" s="22"/>
    </row>
    <row r="101" spans="1:27" ht="15" customHeight="1">
      <c r="A101" s="30"/>
      <c r="B101" s="31"/>
      <c r="C101" s="30"/>
      <c r="D101" s="30"/>
      <c r="E101" s="30"/>
      <c r="F101" s="32" t="str">
        <f t="shared" si="5"/>
        <v/>
      </c>
      <c r="G101" s="30"/>
      <c r="H101" s="30"/>
      <c r="I101" s="30"/>
      <c r="J101" s="32" t="str">
        <f t="shared" si="6"/>
        <v/>
      </c>
      <c r="K101" s="30" t="str">
        <f t="shared" si="7"/>
        <v/>
      </c>
      <c r="L101" s="30"/>
      <c r="M101" s="30"/>
      <c r="N101" s="22"/>
      <c r="O101" s="25"/>
      <c r="P101" s="26"/>
      <c r="Q101" s="22"/>
      <c r="R101" s="22"/>
      <c r="S101" s="22" t="str">
        <f t="shared" si="8"/>
        <v/>
      </c>
      <c r="T101" s="22" t="str">
        <f>IF(C101="","",IF(COUNTIF(tTQMReguliDoc[Cheie_regula],S101)&lt;&gt;1,"REGULA NECONFIGURATA",IF(COUNTIFS(tTQMReguliDoc[Cheie_regula],S101,tTQMReguliDoc[Stare],"Confirmata")=1,"Confirmata","De confirmat")))</f>
        <v/>
      </c>
      <c r="U101" s="22">
        <f>IF(OR(C101="",T101&lt;&gt;"Confirmata"),0,IF(COUNTIFS(tTQMReguliDoc[Cheie_regula],S101,tTQMReguliDoc[Aviz],"Da")=1,1,0))</f>
        <v>0</v>
      </c>
      <c r="V101" s="22">
        <f>IF(OR(C101="",T101&lt;&gt;"Confirmata"),0,IF(COUNTIFS(tTQMReguliDoc[Cheie_regula],S101,tTQMReguliDoc[Decl_conformitate],"Da")=1,1,0))</f>
        <v>0</v>
      </c>
      <c r="W101" s="22">
        <f>IF(OR(C101="",T101&lt;&gt;"Confirmata"),0,IF(COUNTIFS(tTQMReguliDoc[Cheie_regula],S101,tTQMReguliDoc[Decl_producator],"Da")=1,1,0))</f>
        <v>0</v>
      </c>
      <c r="X101" s="22">
        <f>IF(OR(C101="",T101&lt;&gt;"Confirmata"),0,IF(COUNTIFS(tTQMReguliDoc[Cheie_regula],S101,tTQMReguliDoc[Fise_tehnice],"Da")=1,1,0))</f>
        <v>0</v>
      </c>
      <c r="Y101" s="22" t="str">
        <f t="shared" si="9"/>
        <v/>
      </c>
      <c r="Z101" s="22"/>
      <c r="AA101" s="22"/>
    </row>
    <row r="102" spans="1:27" ht="15" customHeight="1">
      <c r="A102" s="30"/>
      <c r="B102" s="31"/>
      <c r="C102" s="30"/>
      <c r="D102" s="30"/>
      <c r="E102" s="30"/>
      <c r="F102" s="32" t="str">
        <f t="shared" si="5"/>
        <v/>
      </c>
      <c r="G102" s="30"/>
      <c r="H102" s="30"/>
      <c r="I102" s="30"/>
      <c r="J102" s="32" t="str">
        <f t="shared" si="6"/>
        <v/>
      </c>
      <c r="K102" s="30" t="str">
        <f t="shared" si="7"/>
        <v/>
      </c>
      <c r="L102" s="30"/>
      <c r="M102" s="30"/>
      <c r="N102" s="22"/>
      <c r="O102" s="25"/>
      <c r="P102" s="26"/>
      <c r="Q102" s="22"/>
      <c r="R102" s="22"/>
      <c r="S102" s="22" t="str">
        <f t="shared" si="8"/>
        <v/>
      </c>
      <c r="T102" s="22" t="str">
        <f>IF(C102="","",IF(COUNTIF(tTQMReguliDoc[Cheie_regula],S102)&lt;&gt;1,"REGULA NECONFIGURATA",IF(COUNTIFS(tTQMReguliDoc[Cheie_regula],S102,tTQMReguliDoc[Stare],"Confirmata")=1,"Confirmata","De confirmat")))</f>
        <v/>
      </c>
      <c r="U102" s="22">
        <f>IF(OR(C102="",T102&lt;&gt;"Confirmata"),0,IF(COUNTIFS(tTQMReguliDoc[Cheie_regula],S102,tTQMReguliDoc[Aviz],"Da")=1,1,0))</f>
        <v>0</v>
      </c>
      <c r="V102" s="22">
        <f>IF(OR(C102="",T102&lt;&gt;"Confirmata"),0,IF(COUNTIFS(tTQMReguliDoc[Cheie_regula],S102,tTQMReguliDoc[Decl_conformitate],"Da")=1,1,0))</f>
        <v>0</v>
      </c>
      <c r="W102" s="22">
        <f>IF(OR(C102="",T102&lt;&gt;"Confirmata"),0,IF(COUNTIFS(tTQMReguliDoc[Cheie_regula],S102,tTQMReguliDoc[Decl_producator],"Da")=1,1,0))</f>
        <v>0</v>
      </c>
      <c r="X102" s="22">
        <f>IF(OR(C102="",T102&lt;&gt;"Confirmata"),0,IF(COUNTIFS(tTQMReguliDoc[Cheie_regula],S102,tTQMReguliDoc[Fise_tehnice],"Da")=1,1,0))</f>
        <v>0</v>
      </c>
      <c r="Y102" s="22" t="str">
        <f t="shared" si="9"/>
        <v/>
      </c>
      <c r="Z102" s="22"/>
      <c r="AA102" s="22"/>
    </row>
    <row r="103" spans="1:27" ht="15" customHeight="1">
      <c r="A103" s="30"/>
      <c r="B103" s="31"/>
      <c r="C103" s="30"/>
      <c r="D103" s="30"/>
      <c r="E103" s="30"/>
      <c r="F103" s="32" t="str">
        <f t="shared" si="5"/>
        <v/>
      </c>
      <c r="G103" s="30"/>
      <c r="H103" s="30"/>
      <c r="I103" s="30"/>
      <c r="J103" s="32" t="str">
        <f t="shared" si="6"/>
        <v/>
      </c>
      <c r="K103" s="30" t="str">
        <f t="shared" si="7"/>
        <v/>
      </c>
      <c r="L103" s="30"/>
      <c r="M103" s="30"/>
      <c r="N103" s="22"/>
      <c r="O103" s="25"/>
      <c r="P103" s="26"/>
      <c r="Q103" s="22"/>
      <c r="R103" s="22"/>
      <c r="S103" s="22" t="str">
        <f t="shared" si="8"/>
        <v/>
      </c>
      <c r="T103" s="22" t="str">
        <f>IF(C103="","",IF(COUNTIF(tTQMReguliDoc[Cheie_regula],S103)&lt;&gt;1,"REGULA NECONFIGURATA",IF(COUNTIFS(tTQMReguliDoc[Cheie_regula],S103,tTQMReguliDoc[Stare],"Confirmata")=1,"Confirmata","De confirmat")))</f>
        <v/>
      </c>
      <c r="U103" s="22">
        <f>IF(OR(C103="",T103&lt;&gt;"Confirmata"),0,IF(COUNTIFS(tTQMReguliDoc[Cheie_regula],S103,tTQMReguliDoc[Aviz],"Da")=1,1,0))</f>
        <v>0</v>
      </c>
      <c r="V103" s="22">
        <f>IF(OR(C103="",T103&lt;&gt;"Confirmata"),0,IF(COUNTIFS(tTQMReguliDoc[Cheie_regula],S103,tTQMReguliDoc[Decl_conformitate],"Da")=1,1,0))</f>
        <v>0</v>
      </c>
      <c r="W103" s="22">
        <f>IF(OR(C103="",T103&lt;&gt;"Confirmata"),0,IF(COUNTIFS(tTQMReguliDoc[Cheie_regula],S103,tTQMReguliDoc[Decl_producator],"Da")=1,1,0))</f>
        <v>0</v>
      </c>
      <c r="X103" s="22">
        <f>IF(OR(C103="",T103&lt;&gt;"Confirmata"),0,IF(COUNTIFS(tTQMReguliDoc[Cheie_regula],S103,tTQMReguliDoc[Fise_tehnice],"Da")=1,1,0))</f>
        <v>0</v>
      </c>
      <c r="Y103" s="22" t="str">
        <f t="shared" si="9"/>
        <v/>
      </c>
      <c r="Z103" s="22"/>
      <c r="AA103" s="22"/>
    </row>
    <row r="104" spans="1:27" ht="15" customHeight="1">
      <c r="A104" s="30"/>
      <c r="B104" s="31"/>
      <c r="C104" s="30"/>
      <c r="D104" s="30"/>
      <c r="E104" s="30"/>
      <c r="F104" s="32" t="str">
        <f t="shared" si="5"/>
        <v/>
      </c>
      <c r="G104" s="30"/>
      <c r="H104" s="30"/>
      <c r="I104" s="30"/>
      <c r="J104" s="32" t="str">
        <f t="shared" si="6"/>
        <v/>
      </c>
      <c r="K104" s="30" t="str">
        <f t="shared" si="7"/>
        <v/>
      </c>
      <c r="L104" s="30"/>
      <c r="M104" s="30"/>
      <c r="N104" s="22"/>
      <c r="O104" s="25"/>
      <c r="P104" s="26"/>
      <c r="Q104" s="22"/>
      <c r="R104" s="22"/>
      <c r="S104" s="22" t="str">
        <f t="shared" si="8"/>
        <v/>
      </c>
      <c r="T104" s="22" t="str">
        <f>IF(C104="","",IF(COUNTIF(tTQMReguliDoc[Cheie_regula],S104)&lt;&gt;1,"REGULA NECONFIGURATA",IF(COUNTIFS(tTQMReguliDoc[Cheie_regula],S104,tTQMReguliDoc[Stare],"Confirmata")=1,"Confirmata","De confirmat")))</f>
        <v/>
      </c>
      <c r="U104" s="22">
        <f>IF(OR(C104="",T104&lt;&gt;"Confirmata"),0,IF(COUNTIFS(tTQMReguliDoc[Cheie_regula],S104,tTQMReguliDoc[Aviz],"Da")=1,1,0))</f>
        <v>0</v>
      </c>
      <c r="V104" s="22">
        <f>IF(OR(C104="",T104&lt;&gt;"Confirmata"),0,IF(COUNTIFS(tTQMReguliDoc[Cheie_regula],S104,tTQMReguliDoc[Decl_conformitate],"Da")=1,1,0))</f>
        <v>0</v>
      </c>
      <c r="W104" s="22">
        <f>IF(OR(C104="",T104&lt;&gt;"Confirmata"),0,IF(COUNTIFS(tTQMReguliDoc[Cheie_regula],S104,tTQMReguliDoc[Decl_producator],"Da")=1,1,0))</f>
        <v>0</v>
      </c>
      <c r="X104" s="22">
        <f>IF(OR(C104="",T104&lt;&gt;"Confirmata"),0,IF(COUNTIFS(tTQMReguliDoc[Cheie_regula],S104,tTQMReguliDoc[Fise_tehnice],"Da")=1,1,0))</f>
        <v>0</v>
      </c>
      <c r="Y104" s="22" t="str">
        <f t="shared" si="9"/>
        <v/>
      </c>
      <c r="Z104" s="22"/>
      <c r="AA104" s="22"/>
    </row>
    <row r="105" spans="1:27" ht="15" customHeight="1">
      <c r="A105" s="30"/>
      <c r="B105" s="31"/>
      <c r="C105" s="30"/>
      <c r="D105" s="30"/>
      <c r="E105" s="30"/>
      <c r="F105" s="32" t="str">
        <f t="shared" si="5"/>
        <v/>
      </c>
      <c r="G105" s="30"/>
      <c r="H105" s="30"/>
      <c r="I105" s="30"/>
      <c r="J105" s="32" t="str">
        <f t="shared" si="6"/>
        <v/>
      </c>
      <c r="K105" s="30" t="str">
        <f t="shared" si="7"/>
        <v/>
      </c>
      <c r="L105" s="30"/>
      <c r="M105" s="30"/>
      <c r="N105" s="22"/>
      <c r="O105" s="25"/>
      <c r="P105" s="26"/>
      <c r="Q105" s="22"/>
      <c r="R105" s="22"/>
      <c r="S105" s="22" t="str">
        <f t="shared" si="8"/>
        <v/>
      </c>
      <c r="T105" s="22" t="str">
        <f>IF(C105="","",IF(COUNTIF(tTQMReguliDoc[Cheie_regula],S105)&lt;&gt;1,"REGULA NECONFIGURATA",IF(COUNTIFS(tTQMReguliDoc[Cheie_regula],S105,tTQMReguliDoc[Stare],"Confirmata")=1,"Confirmata","De confirmat")))</f>
        <v/>
      </c>
      <c r="U105" s="22">
        <f>IF(OR(C105="",T105&lt;&gt;"Confirmata"),0,IF(COUNTIFS(tTQMReguliDoc[Cheie_regula],S105,tTQMReguliDoc[Aviz],"Da")=1,1,0))</f>
        <v>0</v>
      </c>
      <c r="V105" s="22">
        <f>IF(OR(C105="",T105&lt;&gt;"Confirmata"),0,IF(COUNTIFS(tTQMReguliDoc[Cheie_regula],S105,tTQMReguliDoc[Decl_conformitate],"Da")=1,1,0))</f>
        <v>0</v>
      </c>
      <c r="W105" s="22">
        <f>IF(OR(C105="",T105&lt;&gt;"Confirmata"),0,IF(COUNTIFS(tTQMReguliDoc[Cheie_regula],S105,tTQMReguliDoc[Decl_producator],"Da")=1,1,0))</f>
        <v>0</v>
      </c>
      <c r="X105" s="22">
        <f>IF(OR(C105="",T105&lt;&gt;"Confirmata"),0,IF(COUNTIFS(tTQMReguliDoc[Cheie_regula],S105,tTQMReguliDoc[Fise_tehnice],"Da")=1,1,0))</f>
        <v>0</v>
      </c>
      <c r="Y105" s="22" t="str">
        <f t="shared" si="9"/>
        <v/>
      </c>
      <c r="Z105" s="22"/>
      <c r="AA105" s="22"/>
    </row>
    <row r="106" spans="1:27" ht="15" customHeight="1">
      <c r="A106" s="30"/>
      <c r="B106" s="31"/>
      <c r="C106" s="30"/>
      <c r="D106" s="30"/>
      <c r="E106" s="30"/>
      <c r="F106" s="32" t="str">
        <f t="shared" si="5"/>
        <v/>
      </c>
      <c r="G106" s="30"/>
      <c r="H106" s="30"/>
      <c r="I106" s="30"/>
      <c r="J106" s="32" t="str">
        <f t="shared" si="6"/>
        <v/>
      </c>
      <c r="K106" s="30" t="str">
        <f t="shared" si="7"/>
        <v/>
      </c>
      <c r="L106" s="30"/>
      <c r="M106" s="30"/>
      <c r="N106" s="22"/>
      <c r="O106" s="25"/>
      <c r="P106" s="26"/>
      <c r="Q106" s="22"/>
      <c r="R106" s="22"/>
      <c r="S106" s="22" t="str">
        <f t="shared" si="8"/>
        <v/>
      </c>
      <c r="T106" s="22" t="str">
        <f>IF(C106="","",IF(COUNTIF(tTQMReguliDoc[Cheie_regula],S106)&lt;&gt;1,"REGULA NECONFIGURATA",IF(COUNTIFS(tTQMReguliDoc[Cheie_regula],S106,tTQMReguliDoc[Stare],"Confirmata")=1,"Confirmata","De confirmat")))</f>
        <v/>
      </c>
      <c r="U106" s="22">
        <f>IF(OR(C106="",T106&lt;&gt;"Confirmata"),0,IF(COUNTIFS(tTQMReguliDoc[Cheie_regula],S106,tTQMReguliDoc[Aviz],"Da")=1,1,0))</f>
        <v>0</v>
      </c>
      <c r="V106" s="22">
        <f>IF(OR(C106="",T106&lt;&gt;"Confirmata"),0,IF(COUNTIFS(tTQMReguliDoc[Cheie_regula],S106,tTQMReguliDoc[Decl_conformitate],"Da")=1,1,0))</f>
        <v>0</v>
      </c>
      <c r="W106" s="22">
        <f>IF(OR(C106="",T106&lt;&gt;"Confirmata"),0,IF(COUNTIFS(tTQMReguliDoc[Cheie_regula],S106,tTQMReguliDoc[Decl_producator],"Da")=1,1,0))</f>
        <v>0</v>
      </c>
      <c r="X106" s="22">
        <f>IF(OR(C106="",T106&lt;&gt;"Confirmata"),0,IF(COUNTIFS(tTQMReguliDoc[Cheie_regula],S106,tTQMReguliDoc[Fise_tehnice],"Da")=1,1,0))</f>
        <v>0</v>
      </c>
      <c r="Y106" s="22" t="str">
        <f t="shared" si="9"/>
        <v/>
      </c>
      <c r="Z106" s="22"/>
      <c r="AA106" s="22"/>
    </row>
    <row r="107" spans="1:27" ht="15" customHeight="1">
      <c r="A107" s="30"/>
      <c r="B107" s="31"/>
      <c r="C107" s="30"/>
      <c r="D107" s="30"/>
      <c r="E107" s="30"/>
      <c r="F107" s="32" t="str">
        <f t="shared" si="5"/>
        <v/>
      </c>
      <c r="G107" s="30"/>
      <c r="H107" s="30"/>
      <c r="I107" s="30"/>
      <c r="J107" s="32" t="str">
        <f t="shared" si="6"/>
        <v/>
      </c>
      <c r="K107" s="30" t="str">
        <f t="shared" si="7"/>
        <v/>
      </c>
      <c r="L107" s="30"/>
      <c r="M107" s="30"/>
      <c r="N107" s="22"/>
      <c r="O107" s="25"/>
      <c r="P107" s="26"/>
      <c r="Q107" s="22"/>
      <c r="R107" s="22"/>
      <c r="S107" s="22" t="str">
        <f t="shared" si="8"/>
        <v/>
      </c>
      <c r="T107" s="22" t="str">
        <f>IF(C107="","",IF(COUNTIF(tTQMReguliDoc[Cheie_regula],S107)&lt;&gt;1,"REGULA NECONFIGURATA",IF(COUNTIFS(tTQMReguliDoc[Cheie_regula],S107,tTQMReguliDoc[Stare],"Confirmata")=1,"Confirmata","De confirmat")))</f>
        <v/>
      </c>
      <c r="U107" s="22">
        <f>IF(OR(C107="",T107&lt;&gt;"Confirmata"),0,IF(COUNTIFS(tTQMReguliDoc[Cheie_regula],S107,tTQMReguliDoc[Aviz],"Da")=1,1,0))</f>
        <v>0</v>
      </c>
      <c r="V107" s="22">
        <f>IF(OR(C107="",T107&lt;&gt;"Confirmata"),0,IF(COUNTIFS(tTQMReguliDoc[Cheie_regula],S107,tTQMReguliDoc[Decl_conformitate],"Da")=1,1,0))</f>
        <v>0</v>
      </c>
      <c r="W107" s="22">
        <f>IF(OR(C107="",T107&lt;&gt;"Confirmata"),0,IF(COUNTIFS(tTQMReguliDoc[Cheie_regula],S107,tTQMReguliDoc[Decl_producator],"Da")=1,1,0))</f>
        <v>0</v>
      </c>
      <c r="X107" s="22">
        <f>IF(OR(C107="",T107&lt;&gt;"Confirmata"),0,IF(COUNTIFS(tTQMReguliDoc[Cheie_regula],S107,tTQMReguliDoc[Fise_tehnice],"Da")=1,1,0))</f>
        <v>0</v>
      </c>
      <c r="Y107" s="22" t="str">
        <f t="shared" si="9"/>
        <v/>
      </c>
      <c r="Z107" s="22"/>
      <c r="AA107" s="22"/>
    </row>
    <row r="108" spans="1:27" ht="15" customHeight="1">
      <c r="A108" s="30"/>
      <c r="B108" s="31"/>
      <c r="C108" s="30"/>
      <c r="D108" s="30"/>
      <c r="E108" s="30"/>
      <c r="F108" s="32" t="str">
        <f t="shared" si="5"/>
        <v/>
      </c>
      <c r="G108" s="30"/>
      <c r="H108" s="30"/>
      <c r="I108" s="30"/>
      <c r="J108" s="32" t="str">
        <f t="shared" si="6"/>
        <v/>
      </c>
      <c r="K108" s="30" t="str">
        <f t="shared" si="7"/>
        <v/>
      </c>
      <c r="L108" s="30"/>
      <c r="M108" s="30"/>
      <c r="N108" s="22"/>
      <c r="O108" s="25"/>
      <c r="P108" s="26"/>
      <c r="Q108" s="22"/>
      <c r="R108" s="22"/>
      <c r="S108" s="22" t="str">
        <f t="shared" si="8"/>
        <v/>
      </c>
      <c r="T108" s="22" t="str">
        <f>IF(C108="","",IF(COUNTIF(tTQMReguliDoc[Cheie_regula],S108)&lt;&gt;1,"REGULA NECONFIGURATA",IF(COUNTIFS(tTQMReguliDoc[Cheie_regula],S108,tTQMReguliDoc[Stare],"Confirmata")=1,"Confirmata","De confirmat")))</f>
        <v/>
      </c>
      <c r="U108" s="22">
        <f>IF(OR(C108="",T108&lt;&gt;"Confirmata"),0,IF(COUNTIFS(tTQMReguliDoc[Cheie_regula],S108,tTQMReguliDoc[Aviz],"Da")=1,1,0))</f>
        <v>0</v>
      </c>
      <c r="V108" s="22">
        <f>IF(OR(C108="",T108&lt;&gt;"Confirmata"),0,IF(COUNTIFS(tTQMReguliDoc[Cheie_regula],S108,tTQMReguliDoc[Decl_conformitate],"Da")=1,1,0))</f>
        <v>0</v>
      </c>
      <c r="W108" s="22">
        <f>IF(OR(C108="",T108&lt;&gt;"Confirmata"),0,IF(COUNTIFS(tTQMReguliDoc[Cheie_regula],S108,tTQMReguliDoc[Decl_producator],"Da")=1,1,0))</f>
        <v>0</v>
      </c>
      <c r="X108" s="22">
        <f>IF(OR(C108="",T108&lt;&gt;"Confirmata"),0,IF(COUNTIFS(tTQMReguliDoc[Cheie_regula],S108,tTQMReguliDoc[Fise_tehnice],"Da")=1,1,0))</f>
        <v>0</v>
      </c>
      <c r="Y108" s="22" t="str">
        <f t="shared" si="9"/>
        <v/>
      </c>
      <c r="Z108" s="22"/>
      <c r="AA108" s="22"/>
    </row>
    <row r="109" spans="1:27" ht="15" customHeight="1">
      <c r="A109" s="30"/>
      <c r="B109" s="31"/>
      <c r="C109" s="30"/>
      <c r="D109" s="30"/>
      <c r="E109" s="30"/>
      <c r="F109" s="32" t="str">
        <f t="shared" si="5"/>
        <v/>
      </c>
      <c r="G109" s="30"/>
      <c r="H109" s="30"/>
      <c r="I109" s="30"/>
      <c r="J109" s="32" t="str">
        <f t="shared" si="6"/>
        <v/>
      </c>
      <c r="K109" s="30" t="str">
        <f t="shared" si="7"/>
        <v/>
      </c>
      <c r="L109" s="30"/>
      <c r="M109" s="30"/>
      <c r="N109" s="22"/>
      <c r="O109" s="25"/>
      <c r="P109" s="26"/>
      <c r="Q109" s="22"/>
      <c r="R109" s="22"/>
      <c r="S109" s="22" t="str">
        <f t="shared" si="8"/>
        <v/>
      </c>
      <c r="T109" s="22" t="str">
        <f>IF(C109="","",IF(COUNTIF(tTQMReguliDoc[Cheie_regula],S109)&lt;&gt;1,"REGULA NECONFIGURATA",IF(COUNTIFS(tTQMReguliDoc[Cheie_regula],S109,tTQMReguliDoc[Stare],"Confirmata")=1,"Confirmata","De confirmat")))</f>
        <v/>
      </c>
      <c r="U109" s="22">
        <f>IF(OR(C109="",T109&lt;&gt;"Confirmata"),0,IF(COUNTIFS(tTQMReguliDoc[Cheie_regula],S109,tTQMReguliDoc[Aviz],"Da")=1,1,0))</f>
        <v>0</v>
      </c>
      <c r="V109" s="22">
        <f>IF(OR(C109="",T109&lt;&gt;"Confirmata"),0,IF(COUNTIFS(tTQMReguliDoc[Cheie_regula],S109,tTQMReguliDoc[Decl_conformitate],"Da")=1,1,0))</f>
        <v>0</v>
      </c>
      <c r="W109" s="22">
        <f>IF(OR(C109="",T109&lt;&gt;"Confirmata"),0,IF(COUNTIFS(tTQMReguliDoc[Cheie_regula],S109,tTQMReguliDoc[Decl_producator],"Da")=1,1,0))</f>
        <v>0</v>
      </c>
      <c r="X109" s="22">
        <f>IF(OR(C109="",T109&lt;&gt;"Confirmata"),0,IF(COUNTIFS(tTQMReguliDoc[Cheie_regula],S109,tTQMReguliDoc[Fise_tehnice],"Da")=1,1,0))</f>
        <v>0</v>
      </c>
      <c r="Y109" s="22" t="str">
        <f t="shared" si="9"/>
        <v/>
      </c>
      <c r="Z109" s="22"/>
      <c r="AA109" s="22"/>
    </row>
    <row r="110" spans="1:27" ht="15" customHeight="1">
      <c r="A110" s="30"/>
      <c r="B110" s="31"/>
      <c r="C110" s="30"/>
      <c r="D110" s="30"/>
      <c r="E110" s="30"/>
      <c r="F110" s="32" t="str">
        <f t="shared" si="5"/>
        <v/>
      </c>
      <c r="G110" s="30"/>
      <c r="H110" s="30"/>
      <c r="I110" s="30"/>
      <c r="J110" s="32" t="str">
        <f t="shared" si="6"/>
        <v/>
      </c>
      <c r="K110" s="30" t="str">
        <f t="shared" si="7"/>
        <v/>
      </c>
      <c r="L110" s="30"/>
      <c r="M110" s="30"/>
      <c r="N110" s="22"/>
      <c r="O110" s="25"/>
      <c r="P110" s="26"/>
      <c r="Q110" s="22"/>
      <c r="R110" s="22"/>
      <c r="S110" s="22" t="str">
        <f t="shared" si="8"/>
        <v/>
      </c>
      <c r="T110" s="22" t="str">
        <f>IF(C110="","",IF(COUNTIF(tTQMReguliDoc[Cheie_regula],S110)&lt;&gt;1,"REGULA NECONFIGURATA",IF(COUNTIFS(tTQMReguliDoc[Cheie_regula],S110,tTQMReguliDoc[Stare],"Confirmata")=1,"Confirmata","De confirmat")))</f>
        <v/>
      </c>
      <c r="U110" s="22">
        <f>IF(OR(C110="",T110&lt;&gt;"Confirmata"),0,IF(COUNTIFS(tTQMReguliDoc[Cheie_regula],S110,tTQMReguliDoc[Aviz],"Da")=1,1,0))</f>
        <v>0</v>
      </c>
      <c r="V110" s="22">
        <f>IF(OR(C110="",T110&lt;&gt;"Confirmata"),0,IF(COUNTIFS(tTQMReguliDoc[Cheie_regula],S110,tTQMReguliDoc[Decl_conformitate],"Da")=1,1,0))</f>
        <v>0</v>
      </c>
      <c r="W110" s="22">
        <f>IF(OR(C110="",T110&lt;&gt;"Confirmata"),0,IF(COUNTIFS(tTQMReguliDoc[Cheie_regula],S110,tTQMReguliDoc[Decl_producator],"Da")=1,1,0))</f>
        <v>0</v>
      </c>
      <c r="X110" s="22">
        <f>IF(OR(C110="",T110&lt;&gt;"Confirmata"),0,IF(COUNTIFS(tTQMReguliDoc[Cheie_regula],S110,tTQMReguliDoc[Fise_tehnice],"Da")=1,1,0))</f>
        <v>0</v>
      </c>
      <c r="Y110" s="22" t="str">
        <f t="shared" si="9"/>
        <v/>
      </c>
      <c r="Z110" s="22"/>
      <c r="AA110" s="22"/>
    </row>
    <row r="111" spans="1:27" ht="15" customHeight="1">
      <c r="A111" s="30"/>
      <c r="B111" s="31"/>
      <c r="C111" s="30"/>
      <c r="D111" s="30"/>
      <c r="E111" s="30"/>
      <c r="F111" s="32" t="str">
        <f t="shared" si="5"/>
        <v/>
      </c>
      <c r="G111" s="30"/>
      <c r="H111" s="30"/>
      <c r="I111" s="30"/>
      <c r="J111" s="32" t="str">
        <f t="shared" si="6"/>
        <v/>
      </c>
      <c r="K111" s="30" t="str">
        <f t="shared" si="7"/>
        <v/>
      </c>
      <c r="L111" s="30"/>
      <c r="M111" s="30"/>
      <c r="N111" s="22"/>
      <c r="O111" s="25"/>
      <c r="P111" s="26"/>
      <c r="Q111" s="22"/>
      <c r="R111" s="22"/>
      <c r="S111" s="22" t="str">
        <f t="shared" si="8"/>
        <v/>
      </c>
      <c r="T111" s="22" t="str">
        <f>IF(C111="","",IF(COUNTIF(tTQMReguliDoc[Cheie_regula],S111)&lt;&gt;1,"REGULA NECONFIGURATA",IF(COUNTIFS(tTQMReguliDoc[Cheie_regula],S111,tTQMReguliDoc[Stare],"Confirmata")=1,"Confirmata","De confirmat")))</f>
        <v/>
      </c>
      <c r="U111" s="22">
        <f>IF(OR(C111="",T111&lt;&gt;"Confirmata"),0,IF(COUNTIFS(tTQMReguliDoc[Cheie_regula],S111,tTQMReguliDoc[Aviz],"Da")=1,1,0))</f>
        <v>0</v>
      </c>
      <c r="V111" s="22">
        <f>IF(OR(C111="",T111&lt;&gt;"Confirmata"),0,IF(COUNTIFS(tTQMReguliDoc[Cheie_regula],S111,tTQMReguliDoc[Decl_conformitate],"Da")=1,1,0))</f>
        <v>0</v>
      </c>
      <c r="W111" s="22">
        <f>IF(OR(C111="",T111&lt;&gt;"Confirmata"),0,IF(COUNTIFS(tTQMReguliDoc[Cheie_regula],S111,tTQMReguliDoc[Decl_producator],"Da")=1,1,0))</f>
        <v>0</v>
      </c>
      <c r="X111" s="22">
        <f>IF(OR(C111="",T111&lt;&gt;"Confirmata"),0,IF(COUNTIFS(tTQMReguliDoc[Cheie_regula],S111,tTQMReguliDoc[Fise_tehnice],"Da")=1,1,0))</f>
        <v>0</v>
      </c>
      <c r="Y111" s="22" t="str">
        <f t="shared" si="9"/>
        <v/>
      </c>
      <c r="Z111" s="22"/>
      <c r="AA111" s="22"/>
    </row>
    <row r="112" spans="1:27" ht="15" customHeight="1">
      <c r="A112" s="30"/>
      <c r="B112" s="31"/>
      <c r="C112" s="30"/>
      <c r="D112" s="30"/>
      <c r="E112" s="30"/>
      <c r="F112" s="32" t="str">
        <f t="shared" si="5"/>
        <v/>
      </c>
      <c r="G112" s="30"/>
      <c r="H112" s="30"/>
      <c r="I112" s="30"/>
      <c r="J112" s="32" t="str">
        <f t="shared" si="6"/>
        <v/>
      </c>
      <c r="K112" s="30" t="str">
        <f t="shared" si="7"/>
        <v/>
      </c>
      <c r="L112" s="30"/>
      <c r="M112" s="30"/>
      <c r="N112" s="22"/>
      <c r="O112" s="25"/>
      <c r="P112" s="26"/>
      <c r="Q112" s="22"/>
      <c r="R112" s="22"/>
      <c r="S112" s="22" t="str">
        <f t="shared" si="8"/>
        <v/>
      </c>
      <c r="T112" s="22" t="str">
        <f>IF(C112="","",IF(COUNTIF(tTQMReguliDoc[Cheie_regula],S112)&lt;&gt;1,"REGULA NECONFIGURATA",IF(COUNTIFS(tTQMReguliDoc[Cheie_regula],S112,tTQMReguliDoc[Stare],"Confirmata")=1,"Confirmata","De confirmat")))</f>
        <v/>
      </c>
      <c r="U112" s="22">
        <f>IF(OR(C112="",T112&lt;&gt;"Confirmata"),0,IF(COUNTIFS(tTQMReguliDoc[Cheie_regula],S112,tTQMReguliDoc[Aviz],"Da")=1,1,0))</f>
        <v>0</v>
      </c>
      <c r="V112" s="22">
        <f>IF(OR(C112="",T112&lt;&gt;"Confirmata"),0,IF(COUNTIFS(tTQMReguliDoc[Cheie_regula],S112,tTQMReguliDoc[Decl_conformitate],"Da")=1,1,0))</f>
        <v>0</v>
      </c>
      <c r="W112" s="22">
        <f>IF(OR(C112="",T112&lt;&gt;"Confirmata"),0,IF(COUNTIFS(tTQMReguliDoc[Cheie_regula],S112,tTQMReguliDoc[Decl_producator],"Da")=1,1,0))</f>
        <v>0</v>
      </c>
      <c r="X112" s="22">
        <f>IF(OR(C112="",T112&lt;&gt;"Confirmata"),0,IF(COUNTIFS(tTQMReguliDoc[Cheie_regula],S112,tTQMReguliDoc[Fise_tehnice],"Da")=1,1,0))</f>
        <v>0</v>
      </c>
      <c r="Y112" s="22" t="str">
        <f t="shared" si="9"/>
        <v/>
      </c>
      <c r="Z112" s="22"/>
      <c r="AA112" s="22"/>
    </row>
    <row r="113" spans="1:27" ht="15" customHeight="1">
      <c r="A113" s="30"/>
      <c r="B113" s="31"/>
      <c r="C113" s="30"/>
      <c r="D113" s="30"/>
      <c r="E113" s="30"/>
      <c r="F113" s="32" t="str">
        <f t="shared" si="5"/>
        <v/>
      </c>
      <c r="G113" s="30"/>
      <c r="H113" s="30"/>
      <c r="I113" s="30"/>
      <c r="J113" s="32" t="str">
        <f t="shared" si="6"/>
        <v/>
      </c>
      <c r="K113" s="30" t="str">
        <f t="shared" si="7"/>
        <v/>
      </c>
      <c r="L113" s="30"/>
      <c r="M113" s="30"/>
      <c r="N113" s="22"/>
      <c r="O113" s="25"/>
      <c r="P113" s="26"/>
      <c r="Q113" s="22"/>
      <c r="R113" s="22"/>
      <c r="S113" s="22" t="str">
        <f t="shared" si="8"/>
        <v/>
      </c>
      <c r="T113" s="22" t="str">
        <f>IF(C113="","",IF(COUNTIF(tTQMReguliDoc[Cheie_regula],S113)&lt;&gt;1,"REGULA NECONFIGURATA",IF(COUNTIFS(tTQMReguliDoc[Cheie_regula],S113,tTQMReguliDoc[Stare],"Confirmata")=1,"Confirmata","De confirmat")))</f>
        <v/>
      </c>
      <c r="U113" s="22">
        <f>IF(OR(C113="",T113&lt;&gt;"Confirmata"),0,IF(COUNTIFS(tTQMReguliDoc[Cheie_regula],S113,tTQMReguliDoc[Aviz],"Da")=1,1,0))</f>
        <v>0</v>
      </c>
      <c r="V113" s="22">
        <f>IF(OR(C113="",T113&lt;&gt;"Confirmata"),0,IF(COUNTIFS(tTQMReguliDoc[Cheie_regula],S113,tTQMReguliDoc[Decl_conformitate],"Da")=1,1,0))</f>
        <v>0</v>
      </c>
      <c r="W113" s="22">
        <f>IF(OR(C113="",T113&lt;&gt;"Confirmata"),0,IF(COUNTIFS(tTQMReguliDoc[Cheie_regula],S113,tTQMReguliDoc[Decl_producator],"Da")=1,1,0))</f>
        <v>0</v>
      </c>
      <c r="X113" s="22">
        <f>IF(OR(C113="",T113&lt;&gt;"Confirmata"),0,IF(COUNTIFS(tTQMReguliDoc[Cheie_regula],S113,tTQMReguliDoc[Fise_tehnice],"Da")=1,1,0))</f>
        <v>0</v>
      </c>
      <c r="Y113" s="22" t="str">
        <f t="shared" si="9"/>
        <v/>
      </c>
      <c r="Z113" s="22"/>
      <c r="AA113" s="22"/>
    </row>
    <row r="114" spans="1:27" ht="15" customHeight="1">
      <c r="A114" s="30"/>
      <c r="B114" s="31"/>
      <c r="C114" s="30"/>
      <c r="D114" s="30"/>
      <c r="E114" s="30"/>
      <c r="F114" s="32" t="str">
        <f t="shared" si="5"/>
        <v/>
      </c>
      <c r="G114" s="30"/>
      <c r="H114" s="30"/>
      <c r="I114" s="30"/>
      <c r="J114" s="32" t="str">
        <f t="shared" si="6"/>
        <v/>
      </c>
      <c r="K114" s="30" t="str">
        <f t="shared" si="7"/>
        <v/>
      </c>
      <c r="L114" s="30"/>
      <c r="M114" s="30"/>
      <c r="N114" s="22"/>
      <c r="O114" s="25"/>
      <c r="P114" s="26"/>
      <c r="Q114" s="22"/>
      <c r="R114" s="22"/>
      <c r="S114" s="22" t="str">
        <f t="shared" si="8"/>
        <v/>
      </c>
      <c r="T114" s="22" t="str">
        <f>IF(C114="","",IF(COUNTIF(tTQMReguliDoc[Cheie_regula],S114)&lt;&gt;1,"REGULA NECONFIGURATA",IF(COUNTIFS(tTQMReguliDoc[Cheie_regula],S114,tTQMReguliDoc[Stare],"Confirmata")=1,"Confirmata","De confirmat")))</f>
        <v/>
      </c>
      <c r="U114" s="22">
        <f>IF(OR(C114="",T114&lt;&gt;"Confirmata"),0,IF(COUNTIFS(tTQMReguliDoc[Cheie_regula],S114,tTQMReguliDoc[Aviz],"Da")=1,1,0))</f>
        <v>0</v>
      </c>
      <c r="V114" s="22">
        <f>IF(OR(C114="",T114&lt;&gt;"Confirmata"),0,IF(COUNTIFS(tTQMReguliDoc[Cheie_regula],S114,tTQMReguliDoc[Decl_conformitate],"Da")=1,1,0))</f>
        <v>0</v>
      </c>
      <c r="W114" s="22">
        <f>IF(OR(C114="",T114&lt;&gt;"Confirmata"),0,IF(COUNTIFS(tTQMReguliDoc[Cheie_regula],S114,tTQMReguliDoc[Decl_producator],"Da")=1,1,0))</f>
        <v>0</v>
      </c>
      <c r="X114" s="22">
        <f>IF(OR(C114="",T114&lt;&gt;"Confirmata"),0,IF(COUNTIFS(tTQMReguliDoc[Cheie_regula],S114,tTQMReguliDoc[Fise_tehnice],"Da")=1,1,0))</f>
        <v>0</v>
      </c>
      <c r="Y114" s="22" t="str">
        <f t="shared" si="9"/>
        <v/>
      </c>
      <c r="Z114" s="22"/>
      <c r="AA114" s="22"/>
    </row>
    <row r="115" spans="1:27" ht="15" customHeight="1">
      <c r="A115" s="30"/>
      <c r="B115" s="31"/>
      <c r="C115" s="30"/>
      <c r="D115" s="30"/>
      <c r="E115" s="30"/>
      <c r="F115" s="32" t="str">
        <f t="shared" si="5"/>
        <v/>
      </c>
      <c r="G115" s="30"/>
      <c r="H115" s="30"/>
      <c r="I115" s="30"/>
      <c r="J115" s="32" t="str">
        <f t="shared" si="6"/>
        <v/>
      </c>
      <c r="K115" s="30" t="str">
        <f t="shared" si="7"/>
        <v/>
      </c>
      <c r="L115" s="30"/>
      <c r="M115" s="30"/>
      <c r="N115" s="22"/>
      <c r="O115" s="25"/>
      <c r="P115" s="26"/>
      <c r="Q115" s="22"/>
      <c r="R115" s="22"/>
      <c r="S115" s="22" t="str">
        <f t="shared" si="8"/>
        <v/>
      </c>
      <c r="T115" s="22" t="str">
        <f>IF(C115="","",IF(COUNTIF(tTQMReguliDoc[Cheie_regula],S115)&lt;&gt;1,"REGULA NECONFIGURATA",IF(COUNTIFS(tTQMReguliDoc[Cheie_regula],S115,tTQMReguliDoc[Stare],"Confirmata")=1,"Confirmata","De confirmat")))</f>
        <v/>
      </c>
      <c r="U115" s="22">
        <f>IF(OR(C115="",T115&lt;&gt;"Confirmata"),0,IF(COUNTIFS(tTQMReguliDoc[Cheie_regula],S115,tTQMReguliDoc[Aviz],"Da")=1,1,0))</f>
        <v>0</v>
      </c>
      <c r="V115" s="22">
        <f>IF(OR(C115="",T115&lt;&gt;"Confirmata"),0,IF(COUNTIFS(tTQMReguliDoc[Cheie_regula],S115,tTQMReguliDoc[Decl_conformitate],"Da")=1,1,0))</f>
        <v>0</v>
      </c>
      <c r="W115" s="22">
        <f>IF(OR(C115="",T115&lt;&gt;"Confirmata"),0,IF(COUNTIFS(tTQMReguliDoc[Cheie_regula],S115,tTQMReguliDoc[Decl_producator],"Da")=1,1,0))</f>
        <v>0</v>
      </c>
      <c r="X115" s="22">
        <f>IF(OR(C115="",T115&lt;&gt;"Confirmata"),0,IF(COUNTIFS(tTQMReguliDoc[Cheie_regula],S115,tTQMReguliDoc[Fise_tehnice],"Da")=1,1,0))</f>
        <v>0</v>
      </c>
      <c r="Y115" s="22" t="str">
        <f t="shared" si="9"/>
        <v/>
      </c>
      <c r="Z115" s="22"/>
      <c r="AA115" s="22"/>
    </row>
    <row r="116" spans="1:27" ht="15" customHeight="1">
      <c r="A116" s="30"/>
      <c r="B116" s="31"/>
      <c r="C116" s="30"/>
      <c r="D116" s="30"/>
      <c r="E116" s="30"/>
      <c r="F116" s="32" t="str">
        <f t="shared" si="5"/>
        <v/>
      </c>
      <c r="G116" s="30"/>
      <c r="H116" s="30"/>
      <c r="I116" s="30"/>
      <c r="J116" s="32" t="str">
        <f t="shared" si="6"/>
        <v/>
      </c>
      <c r="K116" s="30" t="str">
        <f t="shared" si="7"/>
        <v/>
      </c>
      <c r="L116" s="30"/>
      <c r="M116" s="30"/>
      <c r="N116" s="22"/>
      <c r="O116" s="25"/>
      <c r="P116" s="26"/>
      <c r="Q116" s="22"/>
      <c r="R116" s="22"/>
      <c r="S116" s="22" t="str">
        <f t="shared" si="8"/>
        <v/>
      </c>
      <c r="T116" s="22" t="str">
        <f>IF(C116="","",IF(COUNTIF(tTQMReguliDoc[Cheie_regula],S116)&lt;&gt;1,"REGULA NECONFIGURATA",IF(COUNTIFS(tTQMReguliDoc[Cheie_regula],S116,tTQMReguliDoc[Stare],"Confirmata")=1,"Confirmata","De confirmat")))</f>
        <v/>
      </c>
      <c r="U116" s="22">
        <f>IF(OR(C116="",T116&lt;&gt;"Confirmata"),0,IF(COUNTIFS(tTQMReguliDoc[Cheie_regula],S116,tTQMReguliDoc[Aviz],"Da")=1,1,0))</f>
        <v>0</v>
      </c>
      <c r="V116" s="22">
        <f>IF(OR(C116="",T116&lt;&gt;"Confirmata"),0,IF(COUNTIFS(tTQMReguliDoc[Cheie_regula],S116,tTQMReguliDoc[Decl_conformitate],"Da")=1,1,0))</f>
        <v>0</v>
      </c>
      <c r="W116" s="22">
        <f>IF(OR(C116="",T116&lt;&gt;"Confirmata"),0,IF(COUNTIFS(tTQMReguliDoc[Cheie_regula],S116,tTQMReguliDoc[Decl_producator],"Da")=1,1,0))</f>
        <v>0</v>
      </c>
      <c r="X116" s="22">
        <f>IF(OR(C116="",T116&lt;&gt;"Confirmata"),0,IF(COUNTIFS(tTQMReguliDoc[Cheie_regula],S116,tTQMReguliDoc[Fise_tehnice],"Da")=1,1,0))</f>
        <v>0</v>
      </c>
      <c r="Y116" s="22" t="str">
        <f t="shared" si="9"/>
        <v/>
      </c>
      <c r="Z116" s="22"/>
      <c r="AA116" s="22"/>
    </row>
    <row r="117" spans="1:27" ht="15" customHeight="1">
      <c r="A117" s="30"/>
      <c r="B117" s="31"/>
      <c r="C117" s="30"/>
      <c r="D117" s="30"/>
      <c r="E117" s="30"/>
      <c r="F117" s="32" t="str">
        <f t="shared" si="5"/>
        <v/>
      </c>
      <c r="G117" s="30"/>
      <c r="H117" s="30"/>
      <c r="I117" s="30"/>
      <c r="J117" s="32" t="str">
        <f t="shared" si="6"/>
        <v/>
      </c>
      <c r="K117" s="30" t="str">
        <f t="shared" si="7"/>
        <v/>
      </c>
      <c r="L117" s="30"/>
      <c r="M117" s="30"/>
      <c r="N117" s="22"/>
      <c r="O117" s="25"/>
      <c r="P117" s="26"/>
      <c r="Q117" s="22"/>
      <c r="R117" s="22"/>
      <c r="S117" s="22" t="str">
        <f t="shared" si="8"/>
        <v/>
      </c>
      <c r="T117" s="22" t="str">
        <f>IF(C117="","",IF(COUNTIF(tTQMReguliDoc[Cheie_regula],S117)&lt;&gt;1,"REGULA NECONFIGURATA",IF(COUNTIFS(tTQMReguliDoc[Cheie_regula],S117,tTQMReguliDoc[Stare],"Confirmata")=1,"Confirmata","De confirmat")))</f>
        <v/>
      </c>
      <c r="U117" s="22">
        <f>IF(OR(C117="",T117&lt;&gt;"Confirmata"),0,IF(COUNTIFS(tTQMReguliDoc[Cheie_regula],S117,tTQMReguliDoc[Aviz],"Da")=1,1,0))</f>
        <v>0</v>
      </c>
      <c r="V117" s="22">
        <f>IF(OR(C117="",T117&lt;&gt;"Confirmata"),0,IF(COUNTIFS(tTQMReguliDoc[Cheie_regula],S117,tTQMReguliDoc[Decl_conformitate],"Da")=1,1,0))</f>
        <v>0</v>
      </c>
      <c r="W117" s="22">
        <f>IF(OR(C117="",T117&lt;&gt;"Confirmata"),0,IF(COUNTIFS(tTQMReguliDoc[Cheie_regula],S117,tTQMReguliDoc[Decl_producator],"Da")=1,1,0))</f>
        <v>0</v>
      </c>
      <c r="X117" s="22">
        <f>IF(OR(C117="",T117&lt;&gt;"Confirmata"),0,IF(COUNTIFS(tTQMReguliDoc[Cheie_regula],S117,tTQMReguliDoc[Fise_tehnice],"Da")=1,1,0))</f>
        <v>0</v>
      </c>
      <c r="Y117" s="22" t="str">
        <f t="shared" si="9"/>
        <v/>
      </c>
      <c r="Z117" s="22"/>
      <c r="AA117" s="22"/>
    </row>
    <row r="118" spans="1:27" ht="15" customHeight="1">
      <c r="A118" s="30"/>
      <c r="B118" s="31"/>
      <c r="C118" s="30"/>
      <c r="D118" s="30"/>
      <c r="E118" s="30"/>
      <c r="F118" s="32" t="str">
        <f t="shared" si="5"/>
        <v/>
      </c>
      <c r="G118" s="30"/>
      <c r="H118" s="30"/>
      <c r="I118" s="30"/>
      <c r="J118" s="32" t="str">
        <f t="shared" si="6"/>
        <v/>
      </c>
      <c r="K118" s="30" t="str">
        <f t="shared" si="7"/>
        <v/>
      </c>
      <c r="L118" s="30"/>
      <c r="M118" s="30"/>
      <c r="N118" s="22"/>
      <c r="O118" s="25"/>
      <c r="P118" s="26"/>
      <c r="Q118" s="22"/>
      <c r="R118" s="22"/>
      <c r="S118" s="22" t="str">
        <f t="shared" si="8"/>
        <v/>
      </c>
      <c r="T118" s="22" t="str">
        <f>IF(C118="","",IF(COUNTIF(tTQMReguliDoc[Cheie_regula],S118)&lt;&gt;1,"REGULA NECONFIGURATA",IF(COUNTIFS(tTQMReguliDoc[Cheie_regula],S118,tTQMReguliDoc[Stare],"Confirmata")=1,"Confirmata","De confirmat")))</f>
        <v/>
      </c>
      <c r="U118" s="22">
        <f>IF(OR(C118="",T118&lt;&gt;"Confirmata"),0,IF(COUNTIFS(tTQMReguliDoc[Cheie_regula],S118,tTQMReguliDoc[Aviz],"Da")=1,1,0))</f>
        <v>0</v>
      </c>
      <c r="V118" s="22">
        <f>IF(OR(C118="",T118&lt;&gt;"Confirmata"),0,IF(COUNTIFS(tTQMReguliDoc[Cheie_regula],S118,tTQMReguliDoc[Decl_conformitate],"Da")=1,1,0))</f>
        <v>0</v>
      </c>
      <c r="W118" s="22">
        <f>IF(OR(C118="",T118&lt;&gt;"Confirmata"),0,IF(COUNTIFS(tTQMReguliDoc[Cheie_regula],S118,tTQMReguliDoc[Decl_producator],"Da")=1,1,0))</f>
        <v>0</v>
      </c>
      <c r="X118" s="22">
        <f>IF(OR(C118="",T118&lt;&gt;"Confirmata"),0,IF(COUNTIFS(tTQMReguliDoc[Cheie_regula],S118,tTQMReguliDoc[Fise_tehnice],"Da")=1,1,0))</f>
        <v>0</v>
      </c>
      <c r="Y118" s="22" t="str">
        <f t="shared" si="9"/>
        <v/>
      </c>
      <c r="Z118" s="22"/>
      <c r="AA118" s="22"/>
    </row>
    <row r="119" spans="1:27" ht="15" customHeight="1">
      <c r="A119" s="30"/>
      <c r="B119" s="31"/>
      <c r="C119" s="30"/>
      <c r="D119" s="30"/>
      <c r="E119" s="30"/>
      <c r="F119" s="32" t="str">
        <f t="shared" si="5"/>
        <v/>
      </c>
      <c r="G119" s="30"/>
      <c r="H119" s="30"/>
      <c r="I119" s="30"/>
      <c r="J119" s="32" t="str">
        <f t="shared" si="6"/>
        <v/>
      </c>
      <c r="K119" s="30" t="str">
        <f t="shared" si="7"/>
        <v/>
      </c>
      <c r="L119" s="30"/>
      <c r="M119" s="30"/>
      <c r="N119" s="22"/>
      <c r="O119" s="25"/>
      <c r="P119" s="26"/>
      <c r="Q119" s="22"/>
      <c r="R119" s="22"/>
      <c r="S119" s="22" t="str">
        <f t="shared" si="8"/>
        <v/>
      </c>
      <c r="T119" s="22" t="str">
        <f>IF(C119="","",IF(COUNTIF(tTQMReguliDoc[Cheie_regula],S119)&lt;&gt;1,"REGULA NECONFIGURATA",IF(COUNTIFS(tTQMReguliDoc[Cheie_regula],S119,tTQMReguliDoc[Stare],"Confirmata")=1,"Confirmata","De confirmat")))</f>
        <v/>
      </c>
      <c r="U119" s="22">
        <f>IF(OR(C119="",T119&lt;&gt;"Confirmata"),0,IF(COUNTIFS(tTQMReguliDoc[Cheie_regula],S119,tTQMReguliDoc[Aviz],"Da")=1,1,0))</f>
        <v>0</v>
      </c>
      <c r="V119" s="22">
        <f>IF(OR(C119="",T119&lt;&gt;"Confirmata"),0,IF(COUNTIFS(tTQMReguliDoc[Cheie_regula],S119,tTQMReguliDoc[Decl_conformitate],"Da")=1,1,0))</f>
        <v>0</v>
      </c>
      <c r="W119" s="22">
        <f>IF(OR(C119="",T119&lt;&gt;"Confirmata"),0,IF(COUNTIFS(tTQMReguliDoc[Cheie_regula],S119,tTQMReguliDoc[Decl_producator],"Da")=1,1,0))</f>
        <v>0</v>
      </c>
      <c r="X119" s="22">
        <f>IF(OR(C119="",T119&lt;&gt;"Confirmata"),0,IF(COUNTIFS(tTQMReguliDoc[Cheie_regula],S119,tTQMReguliDoc[Fise_tehnice],"Da")=1,1,0))</f>
        <v>0</v>
      </c>
      <c r="Y119" s="22" t="str">
        <f t="shared" si="9"/>
        <v/>
      </c>
      <c r="Z119" s="22"/>
      <c r="AA119" s="22"/>
    </row>
    <row r="120" spans="1:27" ht="15" customHeight="1">
      <c r="A120" s="30"/>
      <c r="B120" s="31"/>
      <c r="C120" s="30"/>
      <c r="D120" s="30"/>
      <c r="E120" s="30"/>
      <c r="F120" s="32" t="str">
        <f t="shared" si="5"/>
        <v/>
      </c>
      <c r="G120" s="30"/>
      <c r="H120" s="30"/>
      <c r="I120" s="30"/>
      <c r="J120" s="32" t="str">
        <f t="shared" si="6"/>
        <v/>
      </c>
      <c r="K120" s="30" t="str">
        <f t="shared" si="7"/>
        <v/>
      </c>
      <c r="L120" s="30"/>
      <c r="M120" s="30"/>
      <c r="N120" s="22"/>
      <c r="O120" s="25"/>
      <c r="P120" s="26"/>
      <c r="Q120" s="22"/>
      <c r="R120" s="22"/>
      <c r="S120" s="22" t="str">
        <f t="shared" si="8"/>
        <v/>
      </c>
      <c r="T120" s="22" t="str">
        <f>IF(C120="","",IF(COUNTIF(tTQMReguliDoc[Cheie_regula],S120)&lt;&gt;1,"REGULA NECONFIGURATA",IF(COUNTIFS(tTQMReguliDoc[Cheie_regula],S120,tTQMReguliDoc[Stare],"Confirmata")=1,"Confirmata","De confirmat")))</f>
        <v/>
      </c>
      <c r="U120" s="22">
        <f>IF(OR(C120="",T120&lt;&gt;"Confirmata"),0,IF(COUNTIFS(tTQMReguliDoc[Cheie_regula],S120,tTQMReguliDoc[Aviz],"Da")=1,1,0))</f>
        <v>0</v>
      </c>
      <c r="V120" s="22">
        <f>IF(OR(C120="",T120&lt;&gt;"Confirmata"),0,IF(COUNTIFS(tTQMReguliDoc[Cheie_regula],S120,tTQMReguliDoc[Decl_conformitate],"Da")=1,1,0))</f>
        <v>0</v>
      </c>
      <c r="W120" s="22">
        <f>IF(OR(C120="",T120&lt;&gt;"Confirmata"),0,IF(COUNTIFS(tTQMReguliDoc[Cheie_regula],S120,tTQMReguliDoc[Decl_producator],"Da")=1,1,0))</f>
        <v>0</v>
      </c>
      <c r="X120" s="22">
        <f>IF(OR(C120="",T120&lt;&gt;"Confirmata"),0,IF(COUNTIFS(tTQMReguliDoc[Cheie_regula],S120,tTQMReguliDoc[Fise_tehnice],"Da")=1,1,0))</f>
        <v>0</v>
      </c>
      <c r="Y120" s="22" t="str">
        <f t="shared" si="9"/>
        <v/>
      </c>
      <c r="Z120" s="22"/>
      <c r="AA120" s="22"/>
    </row>
    <row r="121" spans="1:27" ht="15" customHeight="1">
      <c r="A121" s="30"/>
      <c r="B121" s="31"/>
      <c r="C121" s="30"/>
      <c r="D121" s="30"/>
      <c r="E121" s="30"/>
      <c r="F121" s="32" t="str">
        <f t="shared" si="5"/>
        <v/>
      </c>
      <c r="G121" s="30"/>
      <c r="H121" s="30"/>
      <c r="I121" s="30"/>
      <c r="J121" s="32" t="str">
        <f t="shared" si="6"/>
        <v/>
      </c>
      <c r="K121" s="30" t="str">
        <f t="shared" si="7"/>
        <v/>
      </c>
      <c r="L121" s="30"/>
      <c r="M121" s="30"/>
      <c r="N121" s="22"/>
      <c r="O121" s="25"/>
      <c r="P121" s="26"/>
      <c r="Q121" s="22"/>
      <c r="R121" s="22"/>
      <c r="S121" s="22" t="str">
        <f t="shared" si="8"/>
        <v/>
      </c>
      <c r="T121" s="22" t="str">
        <f>IF(C121="","",IF(COUNTIF(tTQMReguliDoc[Cheie_regula],S121)&lt;&gt;1,"REGULA NECONFIGURATA",IF(COUNTIFS(tTQMReguliDoc[Cheie_regula],S121,tTQMReguliDoc[Stare],"Confirmata")=1,"Confirmata","De confirmat")))</f>
        <v/>
      </c>
      <c r="U121" s="22">
        <f>IF(OR(C121="",T121&lt;&gt;"Confirmata"),0,IF(COUNTIFS(tTQMReguliDoc[Cheie_regula],S121,tTQMReguliDoc[Aviz],"Da")=1,1,0))</f>
        <v>0</v>
      </c>
      <c r="V121" s="22">
        <f>IF(OR(C121="",T121&lt;&gt;"Confirmata"),0,IF(COUNTIFS(tTQMReguliDoc[Cheie_regula],S121,tTQMReguliDoc[Decl_conformitate],"Da")=1,1,0))</f>
        <v>0</v>
      </c>
      <c r="W121" s="22">
        <f>IF(OR(C121="",T121&lt;&gt;"Confirmata"),0,IF(COUNTIFS(tTQMReguliDoc[Cheie_regula],S121,tTQMReguliDoc[Decl_producator],"Da")=1,1,0))</f>
        <v>0</v>
      </c>
      <c r="X121" s="22">
        <f>IF(OR(C121="",T121&lt;&gt;"Confirmata"),0,IF(COUNTIFS(tTQMReguliDoc[Cheie_regula],S121,tTQMReguliDoc[Fise_tehnice],"Da")=1,1,0))</f>
        <v>0</v>
      </c>
      <c r="Y121" s="22" t="str">
        <f t="shared" si="9"/>
        <v/>
      </c>
      <c r="Z121" s="22"/>
      <c r="AA121" s="22"/>
    </row>
    <row r="122" spans="1:27" ht="15" customHeight="1">
      <c r="A122" s="30"/>
      <c r="B122" s="31"/>
      <c r="C122" s="30"/>
      <c r="D122" s="30"/>
      <c r="E122" s="30"/>
      <c r="F122" s="32" t="str">
        <f t="shared" si="5"/>
        <v/>
      </c>
      <c r="G122" s="30"/>
      <c r="H122" s="30"/>
      <c r="I122" s="30"/>
      <c r="J122" s="32" t="str">
        <f t="shared" si="6"/>
        <v/>
      </c>
      <c r="K122" s="30" t="str">
        <f t="shared" si="7"/>
        <v/>
      </c>
      <c r="L122" s="30"/>
      <c r="M122" s="30"/>
      <c r="N122" s="22"/>
      <c r="O122" s="25"/>
      <c r="P122" s="26"/>
      <c r="Q122" s="22"/>
      <c r="R122" s="22"/>
      <c r="S122" s="22" t="str">
        <f t="shared" si="8"/>
        <v/>
      </c>
      <c r="T122" s="22" t="str">
        <f>IF(C122="","",IF(COUNTIF(tTQMReguliDoc[Cheie_regula],S122)&lt;&gt;1,"REGULA NECONFIGURATA",IF(COUNTIFS(tTQMReguliDoc[Cheie_regula],S122,tTQMReguliDoc[Stare],"Confirmata")=1,"Confirmata","De confirmat")))</f>
        <v/>
      </c>
      <c r="U122" s="22">
        <f>IF(OR(C122="",T122&lt;&gt;"Confirmata"),0,IF(COUNTIFS(tTQMReguliDoc[Cheie_regula],S122,tTQMReguliDoc[Aviz],"Da")=1,1,0))</f>
        <v>0</v>
      </c>
      <c r="V122" s="22">
        <f>IF(OR(C122="",T122&lt;&gt;"Confirmata"),0,IF(COUNTIFS(tTQMReguliDoc[Cheie_regula],S122,tTQMReguliDoc[Decl_conformitate],"Da")=1,1,0))</f>
        <v>0</v>
      </c>
      <c r="W122" s="22">
        <f>IF(OR(C122="",T122&lt;&gt;"Confirmata"),0,IF(COUNTIFS(tTQMReguliDoc[Cheie_regula],S122,tTQMReguliDoc[Decl_producator],"Da")=1,1,0))</f>
        <v>0</v>
      </c>
      <c r="X122" s="22">
        <f>IF(OR(C122="",T122&lt;&gt;"Confirmata"),0,IF(COUNTIFS(tTQMReguliDoc[Cheie_regula],S122,tTQMReguliDoc[Fise_tehnice],"Da")=1,1,0))</f>
        <v>0</v>
      </c>
      <c r="Y122" s="22" t="str">
        <f t="shared" si="9"/>
        <v/>
      </c>
      <c r="Z122" s="22"/>
      <c r="AA122" s="22"/>
    </row>
    <row r="123" spans="1:27" ht="15" customHeight="1">
      <c r="A123" s="30"/>
      <c r="B123" s="31"/>
      <c r="C123" s="30"/>
      <c r="D123" s="30"/>
      <c r="E123" s="30"/>
      <c r="F123" s="32" t="str">
        <f t="shared" si="5"/>
        <v/>
      </c>
      <c r="G123" s="30"/>
      <c r="H123" s="30"/>
      <c r="I123" s="30"/>
      <c r="J123" s="32" t="str">
        <f t="shared" si="6"/>
        <v/>
      </c>
      <c r="K123" s="30" t="str">
        <f t="shared" si="7"/>
        <v/>
      </c>
      <c r="L123" s="30"/>
      <c r="M123" s="30"/>
      <c r="N123" s="22"/>
      <c r="O123" s="25"/>
      <c r="P123" s="26"/>
      <c r="Q123" s="22"/>
      <c r="R123" s="22"/>
      <c r="S123" s="22" t="str">
        <f t="shared" si="8"/>
        <v/>
      </c>
      <c r="T123" s="22" t="str">
        <f>IF(C123="","",IF(COUNTIF(tTQMReguliDoc[Cheie_regula],S123)&lt;&gt;1,"REGULA NECONFIGURATA",IF(COUNTIFS(tTQMReguliDoc[Cheie_regula],S123,tTQMReguliDoc[Stare],"Confirmata")=1,"Confirmata","De confirmat")))</f>
        <v/>
      </c>
      <c r="U123" s="22">
        <f>IF(OR(C123="",T123&lt;&gt;"Confirmata"),0,IF(COUNTIFS(tTQMReguliDoc[Cheie_regula],S123,tTQMReguliDoc[Aviz],"Da")=1,1,0))</f>
        <v>0</v>
      </c>
      <c r="V123" s="22">
        <f>IF(OR(C123="",T123&lt;&gt;"Confirmata"),0,IF(COUNTIFS(tTQMReguliDoc[Cheie_regula],S123,tTQMReguliDoc[Decl_conformitate],"Da")=1,1,0))</f>
        <v>0</v>
      </c>
      <c r="W123" s="22">
        <f>IF(OR(C123="",T123&lt;&gt;"Confirmata"),0,IF(COUNTIFS(tTQMReguliDoc[Cheie_regula],S123,tTQMReguliDoc[Decl_producator],"Da")=1,1,0))</f>
        <v>0</v>
      </c>
      <c r="X123" s="22">
        <f>IF(OR(C123="",T123&lt;&gt;"Confirmata"),0,IF(COUNTIFS(tTQMReguliDoc[Cheie_regula],S123,tTQMReguliDoc[Fise_tehnice],"Da")=1,1,0))</f>
        <v>0</v>
      </c>
      <c r="Y123" s="22" t="str">
        <f t="shared" si="9"/>
        <v/>
      </c>
      <c r="Z123" s="22"/>
      <c r="AA123" s="22"/>
    </row>
    <row r="124" spans="1:27" ht="15" customHeight="1">
      <c r="A124" s="30"/>
      <c r="B124" s="31"/>
      <c r="C124" s="30"/>
      <c r="D124" s="30"/>
      <c r="E124" s="30"/>
      <c r="F124" s="32" t="str">
        <f t="shared" si="5"/>
        <v/>
      </c>
      <c r="G124" s="30"/>
      <c r="H124" s="30"/>
      <c r="I124" s="30"/>
      <c r="J124" s="32" t="str">
        <f t="shared" si="6"/>
        <v/>
      </c>
      <c r="K124" s="30" t="str">
        <f t="shared" si="7"/>
        <v/>
      </c>
      <c r="L124" s="30"/>
      <c r="M124" s="30"/>
      <c r="N124" s="22"/>
      <c r="O124" s="25"/>
      <c r="P124" s="26"/>
      <c r="Q124" s="22"/>
      <c r="R124" s="22"/>
      <c r="S124" s="22" t="str">
        <f t="shared" si="8"/>
        <v/>
      </c>
      <c r="T124" s="22" t="str">
        <f>IF(C124="","",IF(COUNTIF(tTQMReguliDoc[Cheie_regula],S124)&lt;&gt;1,"REGULA NECONFIGURATA",IF(COUNTIFS(tTQMReguliDoc[Cheie_regula],S124,tTQMReguliDoc[Stare],"Confirmata")=1,"Confirmata","De confirmat")))</f>
        <v/>
      </c>
      <c r="U124" s="22">
        <f>IF(OR(C124="",T124&lt;&gt;"Confirmata"),0,IF(COUNTIFS(tTQMReguliDoc[Cheie_regula],S124,tTQMReguliDoc[Aviz],"Da")=1,1,0))</f>
        <v>0</v>
      </c>
      <c r="V124" s="22">
        <f>IF(OR(C124="",T124&lt;&gt;"Confirmata"),0,IF(COUNTIFS(tTQMReguliDoc[Cheie_regula],S124,tTQMReguliDoc[Decl_conformitate],"Da")=1,1,0))</f>
        <v>0</v>
      </c>
      <c r="W124" s="22">
        <f>IF(OR(C124="",T124&lt;&gt;"Confirmata"),0,IF(COUNTIFS(tTQMReguliDoc[Cheie_regula],S124,tTQMReguliDoc[Decl_producator],"Da")=1,1,0))</f>
        <v>0</v>
      </c>
      <c r="X124" s="22">
        <f>IF(OR(C124="",T124&lt;&gt;"Confirmata"),0,IF(COUNTIFS(tTQMReguliDoc[Cheie_regula],S124,tTQMReguliDoc[Fise_tehnice],"Da")=1,1,0))</f>
        <v>0</v>
      </c>
      <c r="Y124" s="22" t="str">
        <f t="shared" si="9"/>
        <v/>
      </c>
      <c r="Z124" s="22"/>
      <c r="AA124" s="22"/>
    </row>
    <row r="125" spans="1:27" ht="15" customHeight="1">
      <c r="A125" s="30"/>
      <c r="B125" s="31"/>
      <c r="C125" s="30"/>
      <c r="D125" s="30"/>
      <c r="E125" s="30"/>
      <c r="F125" s="32" t="str">
        <f t="shared" si="5"/>
        <v/>
      </c>
      <c r="G125" s="30"/>
      <c r="H125" s="30"/>
      <c r="I125" s="30"/>
      <c r="J125" s="32" t="str">
        <f t="shared" si="6"/>
        <v/>
      </c>
      <c r="K125" s="30" t="str">
        <f t="shared" si="7"/>
        <v/>
      </c>
      <c r="L125" s="30"/>
      <c r="M125" s="30"/>
      <c r="N125" s="22"/>
      <c r="O125" s="25"/>
      <c r="P125" s="26"/>
      <c r="Q125" s="22"/>
      <c r="R125" s="22"/>
      <c r="S125" s="22" t="str">
        <f t="shared" si="8"/>
        <v/>
      </c>
      <c r="T125" s="22" t="str">
        <f>IF(C125="","",IF(COUNTIF(tTQMReguliDoc[Cheie_regula],S125)&lt;&gt;1,"REGULA NECONFIGURATA",IF(COUNTIFS(tTQMReguliDoc[Cheie_regula],S125,tTQMReguliDoc[Stare],"Confirmata")=1,"Confirmata","De confirmat")))</f>
        <v/>
      </c>
      <c r="U125" s="22">
        <f>IF(OR(C125="",T125&lt;&gt;"Confirmata"),0,IF(COUNTIFS(tTQMReguliDoc[Cheie_regula],S125,tTQMReguliDoc[Aviz],"Da")=1,1,0))</f>
        <v>0</v>
      </c>
      <c r="V125" s="22">
        <f>IF(OR(C125="",T125&lt;&gt;"Confirmata"),0,IF(COUNTIFS(tTQMReguliDoc[Cheie_regula],S125,tTQMReguliDoc[Decl_conformitate],"Da")=1,1,0))</f>
        <v>0</v>
      </c>
      <c r="W125" s="22">
        <f>IF(OR(C125="",T125&lt;&gt;"Confirmata"),0,IF(COUNTIFS(tTQMReguliDoc[Cheie_regula],S125,tTQMReguliDoc[Decl_producator],"Da")=1,1,0))</f>
        <v>0</v>
      </c>
      <c r="X125" s="22">
        <f>IF(OR(C125="",T125&lt;&gt;"Confirmata"),0,IF(COUNTIFS(tTQMReguliDoc[Cheie_regula],S125,tTQMReguliDoc[Fise_tehnice],"Da")=1,1,0))</f>
        <v>0</v>
      </c>
      <c r="Y125" s="22" t="str">
        <f t="shared" si="9"/>
        <v/>
      </c>
      <c r="Z125" s="22"/>
      <c r="AA125" s="22"/>
    </row>
    <row r="126" spans="1:27" ht="15" customHeight="1">
      <c r="A126" s="30"/>
      <c r="B126" s="31"/>
      <c r="C126" s="30"/>
      <c r="D126" s="30"/>
      <c r="E126" s="30"/>
      <c r="F126" s="32" t="str">
        <f t="shared" si="5"/>
        <v/>
      </c>
      <c r="G126" s="30"/>
      <c r="H126" s="30"/>
      <c r="I126" s="30"/>
      <c r="J126" s="32" t="str">
        <f t="shared" si="6"/>
        <v/>
      </c>
      <c r="K126" s="30" t="str">
        <f t="shared" si="7"/>
        <v/>
      </c>
      <c r="L126" s="30"/>
      <c r="M126" s="30"/>
      <c r="N126" s="22"/>
      <c r="O126" s="25"/>
      <c r="P126" s="26"/>
      <c r="Q126" s="22"/>
      <c r="R126" s="22"/>
      <c r="S126" s="22" t="str">
        <f t="shared" si="8"/>
        <v/>
      </c>
      <c r="T126" s="22" t="str">
        <f>IF(C126="","",IF(COUNTIF(tTQMReguliDoc[Cheie_regula],S126)&lt;&gt;1,"REGULA NECONFIGURATA",IF(COUNTIFS(tTQMReguliDoc[Cheie_regula],S126,tTQMReguliDoc[Stare],"Confirmata")=1,"Confirmata","De confirmat")))</f>
        <v/>
      </c>
      <c r="U126" s="22">
        <f>IF(OR(C126="",T126&lt;&gt;"Confirmata"),0,IF(COUNTIFS(tTQMReguliDoc[Cheie_regula],S126,tTQMReguliDoc[Aviz],"Da")=1,1,0))</f>
        <v>0</v>
      </c>
      <c r="V126" s="22">
        <f>IF(OR(C126="",T126&lt;&gt;"Confirmata"),0,IF(COUNTIFS(tTQMReguliDoc[Cheie_regula],S126,tTQMReguliDoc[Decl_conformitate],"Da")=1,1,0))</f>
        <v>0</v>
      </c>
      <c r="W126" s="22">
        <f>IF(OR(C126="",T126&lt;&gt;"Confirmata"),0,IF(COUNTIFS(tTQMReguliDoc[Cheie_regula],S126,tTQMReguliDoc[Decl_producator],"Da")=1,1,0))</f>
        <v>0</v>
      </c>
      <c r="X126" s="22">
        <f>IF(OR(C126="",T126&lt;&gt;"Confirmata"),0,IF(COUNTIFS(tTQMReguliDoc[Cheie_regula],S126,tTQMReguliDoc[Fise_tehnice],"Da")=1,1,0))</f>
        <v>0</v>
      </c>
      <c r="Y126" s="22" t="str">
        <f t="shared" si="9"/>
        <v/>
      </c>
      <c r="Z126" s="22"/>
      <c r="AA126" s="22"/>
    </row>
    <row r="127" spans="1:27" ht="15" customHeight="1">
      <c r="A127" s="30"/>
      <c r="B127" s="31"/>
      <c r="C127" s="30"/>
      <c r="D127" s="30"/>
      <c r="E127" s="30"/>
      <c r="F127" s="32" t="str">
        <f t="shared" si="5"/>
        <v/>
      </c>
      <c r="G127" s="30"/>
      <c r="H127" s="30"/>
      <c r="I127" s="30"/>
      <c r="J127" s="32" t="str">
        <f t="shared" si="6"/>
        <v/>
      </c>
      <c r="K127" s="30" t="str">
        <f t="shared" si="7"/>
        <v/>
      </c>
      <c r="L127" s="30"/>
      <c r="M127" s="30"/>
      <c r="N127" s="22"/>
      <c r="O127" s="25"/>
      <c r="P127" s="26"/>
      <c r="Q127" s="22"/>
      <c r="R127" s="22"/>
      <c r="S127" s="22" t="str">
        <f t="shared" si="8"/>
        <v/>
      </c>
      <c r="T127" s="22" t="str">
        <f>IF(C127="","",IF(COUNTIF(tTQMReguliDoc[Cheie_regula],S127)&lt;&gt;1,"REGULA NECONFIGURATA",IF(COUNTIFS(tTQMReguliDoc[Cheie_regula],S127,tTQMReguliDoc[Stare],"Confirmata")=1,"Confirmata","De confirmat")))</f>
        <v/>
      </c>
      <c r="U127" s="22">
        <f>IF(OR(C127="",T127&lt;&gt;"Confirmata"),0,IF(COUNTIFS(tTQMReguliDoc[Cheie_regula],S127,tTQMReguliDoc[Aviz],"Da")=1,1,0))</f>
        <v>0</v>
      </c>
      <c r="V127" s="22">
        <f>IF(OR(C127="",T127&lt;&gt;"Confirmata"),0,IF(COUNTIFS(tTQMReguliDoc[Cheie_regula],S127,tTQMReguliDoc[Decl_conformitate],"Da")=1,1,0))</f>
        <v>0</v>
      </c>
      <c r="W127" s="22">
        <f>IF(OR(C127="",T127&lt;&gt;"Confirmata"),0,IF(COUNTIFS(tTQMReguliDoc[Cheie_regula],S127,tTQMReguliDoc[Decl_producator],"Da")=1,1,0))</f>
        <v>0</v>
      </c>
      <c r="X127" s="22">
        <f>IF(OR(C127="",T127&lt;&gt;"Confirmata"),0,IF(COUNTIFS(tTQMReguliDoc[Cheie_regula],S127,tTQMReguliDoc[Fise_tehnice],"Da")=1,1,0))</f>
        <v>0</v>
      </c>
      <c r="Y127" s="22" t="str">
        <f t="shared" si="9"/>
        <v/>
      </c>
      <c r="Z127" s="22"/>
      <c r="AA127" s="22"/>
    </row>
    <row r="128" spans="1:27" ht="15" customHeight="1">
      <c r="A128" s="30"/>
      <c r="B128" s="31"/>
      <c r="C128" s="30"/>
      <c r="D128" s="30"/>
      <c r="E128" s="30"/>
      <c r="F128" s="32" t="str">
        <f t="shared" si="5"/>
        <v/>
      </c>
      <c r="G128" s="30"/>
      <c r="H128" s="30"/>
      <c r="I128" s="30"/>
      <c r="J128" s="32" t="str">
        <f t="shared" si="6"/>
        <v/>
      </c>
      <c r="K128" s="30" t="str">
        <f t="shared" si="7"/>
        <v/>
      </c>
      <c r="L128" s="30"/>
      <c r="M128" s="30"/>
      <c r="N128" s="22"/>
      <c r="O128" s="25"/>
      <c r="P128" s="26"/>
      <c r="Q128" s="22"/>
      <c r="R128" s="22"/>
      <c r="S128" s="22" t="str">
        <f t="shared" si="8"/>
        <v/>
      </c>
      <c r="T128" s="22" t="str">
        <f>IF(C128="","",IF(COUNTIF(tTQMReguliDoc[Cheie_regula],S128)&lt;&gt;1,"REGULA NECONFIGURATA",IF(COUNTIFS(tTQMReguliDoc[Cheie_regula],S128,tTQMReguliDoc[Stare],"Confirmata")=1,"Confirmata","De confirmat")))</f>
        <v/>
      </c>
      <c r="U128" s="22">
        <f>IF(OR(C128="",T128&lt;&gt;"Confirmata"),0,IF(COUNTIFS(tTQMReguliDoc[Cheie_regula],S128,tTQMReguliDoc[Aviz],"Da")=1,1,0))</f>
        <v>0</v>
      </c>
      <c r="V128" s="22">
        <f>IF(OR(C128="",T128&lt;&gt;"Confirmata"),0,IF(COUNTIFS(tTQMReguliDoc[Cheie_regula],S128,tTQMReguliDoc[Decl_conformitate],"Da")=1,1,0))</f>
        <v>0</v>
      </c>
      <c r="W128" s="22">
        <f>IF(OR(C128="",T128&lt;&gt;"Confirmata"),0,IF(COUNTIFS(tTQMReguliDoc[Cheie_regula],S128,tTQMReguliDoc[Decl_producator],"Da")=1,1,0))</f>
        <v>0</v>
      </c>
      <c r="X128" s="22">
        <f>IF(OR(C128="",T128&lt;&gt;"Confirmata"),0,IF(COUNTIFS(tTQMReguliDoc[Cheie_regula],S128,tTQMReguliDoc[Fise_tehnice],"Da")=1,1,0))</f>
        <v>0</v>
      </c>
      <c r="Y128" s="22" t="str">
        <f t="shared" si="9"/>
        <v/>
      </c>
      <c r="Z128" s="22"/>
      <c r="AA128" s="22"/>
    </row>
    <row r="129" spans="1:27" ht="15" customHeight="1">
      <c r="A129" s="30"/>
      <c r="B129" s="31"/>
      <c r="C129" s="30"/>
      <c r="D129" s="30"/>
      <c r="E129" s="30"/>
      <c r="F129" s="32" t="str">
        <f t="shared" si="5"/>
        <v/>
      </c>
      <c r="G129" s="30"/>
      <c r="H129" s="30"/>
      <c r="I129" s="30"/>
      <c r="J129" s="32" t="str">
        <f t="shared" si="6"/>
        <v/>
      </c>
      <c r="K129" s="30" t="str">
        <f t="shared" si="7"/>
        <v/>
      </c>
      <c r="L129" s="30"/>
      <c r="M129" s="30"/>
      <c r="N129" s="22"/>
      <c r="O129" s="25"/>
      <c r="P129" s="26"/>
      <c r="Q129" s="22"/>
      <c r="R129" s="22"/>
      <c r="S129" s="22" t="str">
        <f t="shared" si="8"/>
        <v/>
      </c>
      <c r="T129" s="22" t="str">
        <f>IF(C129="","",IF(COUNTIF(tTQMReguliDoc[Cheie_regula],S129)&lt;&gt;1,"REGULA NECONFIGURATA",IF(COUNTIFS(tTQMReguliDoc[Cheie_regula],S129,tTQMReguliDoc[Stare],"Confirmata")=1,"Confirmata","De confirmat")))</f>
        <v/>
      </c>
      <c r="U129" s="22">
        <f>IF(OR(C129="",T129&lt;&gt;"Confirmata"),0,IF(COUNTIFS(tTQMReguliDoc[Cheie_regula],S129,tTQMReguliDoc[Aviz],"Da")=1,1,0))</f>
        <v>0</v>
      </c>
      <c r="V129" s="22">
        <f>IF(OR(C129="",T129&lt;&gt;"Confirmata"),0,IF(COUNTIFS(tTQMReguliDoc[Cheie_regula],S129,tTQMReguliDoc[Decl_conformitate],"Da")=1,1,0))</f>
        <v>0</v>
      </c>
      <c r="W129" s="22">
        <f>IF(OR(C129="",T129&lt;&gt;"Confirmata"),0,IF(COUNTIFS(tTQMReguliDoc[Cheie_regula],S129,tTQMReguliDoc[Decl_producator],"Da")=1,1,0))</f>
        <v>0</v>
      </c>
      <c r="X129" s="22">
        <f>IF(OR(C129="",T129&lt;&gt;"Confirmata"),0,IF(COUNTIFS(tTQMReguliDoc[Cheie_regula],S129,tTQMReguliDoc[Fise_tehnice],"Da")=1,1,0))</f>
        <v>0</v>
      </c>
      <c r="Y129" s="22" t="str">
        <f t="shared" si="9"/>
        <v/>
      </c>
      <c r="Z129" s="22"/>
      <c r="AA129" s="22"/>
    </row>
    <row r="130" spans="1:27" ht="15" customHeight="1">
      <c r="A130" s="30"/>
      <c r="B130" s="31"/>
      <c r="C130" s="30"/>
      <c r="D130" s="30"/>
      <c r="E130" s="30"/>
      <c r="F130" s="32" t="str">
        <f t="shared" si="5"/>
        <v/>
      </c>
      <c r="G130" s="30"/>
      <c r="H130" s="30"/>
      <c r="I130" s="30"/>
      <c r="J130" s="32" t="str">
        <f t="shared" si="6"/>
        <v/>
      </c>
      <c r="K130" s="30" t="str">
        <f t="shared" si="7"/>
        <v/>
      </c>
      <c r="L130" s="30"/>
      <c r="M130" s="30"/>
      <c r="N130" s="22"/>
      <c r="O130" s="25"/>
      <c r="P130" s="26"/>
      <c r="Q130" s="22"/>
      <c r="R130" s="22"/>
      <c r="S130" s="22" t="str">
        <f t="shared" si="8"/>
        <v/>
      </c>
      <c r="T130" s="22" t="str">
        <f>IF(C130="","",IF(COUNTIF(tTQMReguliDoc[Cheie_regula],S130)&lt;&gt;1,"REGULA NECONFIGURATA",IF(COUNTIFS(tTQMReguliDoc[Cheie_regula],S130,tTQMReguliDoc[Stare],"Confirmata")=1,"Confirmata","De confirmat")))</f>
        <v/>
      </c>
      <c r="U130" s="22">
        <f>IF(OR(C130="",T130&lt;&gt;"Confirmata"),0,IF(COUNTIFS(tTQMReguliDoc[Cheie_regula],S130,tTQMReguliDoc[Aviz],"Da")=1,1,0))</f>
        <v>0</v>
      </c>
      <c r="V130" s="22">
        <f>IF(OR(C130="",T130&lt;&gt;"Confirmata"),0,IF(COUNTIFS(tTQMReguliDoc[Cheie_regula],S130,tTQMReguliDoc[Decl_conformitate],"Da")=1,1,0))</f>
        <v>0</v>
      </c>
      <c r="W130" s="22">
        <f>IF(OR(C130="",T130&lt;&gt;"Confirmata"),0,IF(COUNTIFS(tTQMReguliDoc[Cheie_regula],S130,tTQMReguliDoc[Decl_producator],"Da")=1,1,0))</f>
        <v>0</v>
      </c>
      <c r="X130" s="22">
        <f>IF(OR(C130="",T130&lt;&gt;"Confirmata"),0,IF(COUNTIFS(tTQMReguliDoc[Cheie_regula],S130,tTQMReguliDoc[Fise_tehnice],"Da")=1,1,0))</f>
        <v>0</v>
      </c>
      <c r="Y130" s="22" t="str">
        <f t="shared" si="9"/>
        <v/>
      </c>
      <c r="Z130" s="22"/>
      <c r="AA130" s="22"/>
    </row>
    <row r="131" spans="1:27" ht="15" customHeight="1">
      <c r="A131" s="30"/>
      <c r="B131" s="31"/>
      <c r="C131" s="30"/>
      <c r="D131" s="30"/>
      <c r="E131" s="30"/>
      <c r="F131" s="32" t="str">
        <f t="shared" si="5"/>
        <v/>
      </c>
      <c r="G131" s="30"/>
      <c r="H131" s="30"/>
      <c r="I131" s="30"/>
      <c r="J131" s="32" t="str">
        <f t="shared" si="6"/>
        <v/>
      </c>
      <c r="K131" s="30" t="str">
        <f t="shared" si="7"/>
        <v/>
      </c>
      <c r="L131" s="30"/>
      <c r="M131" s="30"/>
      <c r="N131" s="22"/>
      <c r="O131" s="25"/>
      <c r="P131" s="26"/>
      <c r="Q131" s="22"/>
      <c r="R131" s="22"/>
      <c r="S131" s="22" t="str">
        <f t="shared" si="8"/>
        <v/>
      </c>
      <c r="T131" s="22" t="str">
        <f>IF(C131="","",IF(COUNTIF(tTQMReguliDoc[Cheie_regula],S131)&lt;&gt;1,"REGULA NECONFIGURATA",IF(COUNTIFS(tTQMReguliDoc[Cheie_regula],S131,tTQMReguliDoc[Stare],"Confirmata")=1,"Confirmata","De confirmat")))</f>
        <v/>
      </c>
      <c r="U131" s="22">
        <f>IF(OR(C131="",T131&lt;&gt;"Confirmata"),0,IF(COUNTIFS(tTQMReguliDoc[Cheie_regula],S131,tTQMReguliDoc[Aviz],"Da")=1,1,0))</f>
        <v>0</v>
      </c>
      <c r="V131" s="22">
        <f>IF(OR(C131="",T131&lt;&gt;"Confirmata"),0,IF(COUNTIFS(tTQMReguliDoc[Cheie_regula],S131,tTQMReguliDoc[Decl_conformitate],"Da")=1,1,0))</f>
        <v>0</v>
      </c>
      <c r="W131" s="22">
        <f>IF(OR(C131="",T131&lt;&gt;"Confirmata"),0,IF(COUNTIFS(tTQMReguliDoc[Cheie_regula],S131,tTQMReguliDoc[Decl_producator],"Da")=1,1,0))</f>
        <v>0</v>
      </c>
      <c r="X131" s="22">
        <f>IF(OR(C131="",T131&lt;&gt;"Confirmata"),0,IF(COUNTIFS(tTQMReguliDoc[Cheie_regula],S131,tTQMReguliDoc[Fise_tehnice],"Da")=1,1,0))</f>
        <v>0</v>
      </c>
      <c r="Y131" s="22" t="str">
        <f t="shared" si="9"/>
        <v/>
      </c>
      <c r="Z131" s="22"/>
      <c r="AA131" s="22"/>
    </row>
    <row r="132" spans="1:27" ht="15" customHeight="1">
      <c r="A132" s="30"/>
      <c r="B132" s="31"/>
      <c r="C132" s="30"/>
      <c r="D132" s="30"/>
      <c r="E132" s="30"/>
      <c r="F132" s="32" t="str">
        <f t="shared" si="5"/>
        <v/>
      </c>
      <c r="G132" s="30"/>
      <c r="H132" s="30"/>
      <c r="I132" s="30"/>
      <c r="J132" s="32" t="str">
        <f t="shared" si="6"/>
        <v/>
      </c>
      <c r="K132" s="30" t="str">
        <f t="shared" si="7"/>
        <v/>
      </c>
      <c r="L132" s="30"/>
      <c r="M132" s="30"/>
      <c r="N132" s="22"/>
      <c r="O132" s="25"/>
      <c r="P132" s="26"/>
      <c r="Q132" s="22"/>
      <c r="R132" s="22"/>
      <c r="S132" s="22" t="str">
        <f t="shared" si="8"/>
        <v/>
      </c>
      <c r="T132" s="22" t="str">
        <f>IF(C132="","",IF(COUNTIF(tTQMReguliDoc[Cheie_regula],S132)&lt;&gt;1,"REGULA NECONFIGURATA",IF(COUNTIFS(tTQMReguliDoc[Cheie_regula],S132,tTQMReguliDoc[Stare],"Confirmata")=1,"Confirmata","De confirmat")))</f>
        <v/>
      </c>
      <c r="U132" s="22">
        <f>IF(OR(C132="",T132&lt;&gt;"Confirmata"),0,IF(COUNTIFS(tTQMReguliDoc[Cheie_regula],S132,tTQMReguliDoc[Aviz],"Da")=1,1,0))</f>
        <v>0</v>
      </c>
      <c r="V132" s="22">
        <f>IF(OR(C132="",T132&lt;&gt;"Confirmata"),0,IF(COUNTIFS(tTQMReguliDoc[Cheie_regula],S132,tTQMReguliDoc[Decl_conformitate],"Da")=1,1,0))</f>
        <v>0</v>
      </c>
      <c r="W132" s="22">
        <f>IF(OR(C132="",T132&lt;&gt;"Confirmata"),0,IF(COUNTIFS(tTQMReguliDoc[Cheie_regula],S132,tTQMReguliDoc[Decl_producator],"Da")=1,1,0))</f>
        <v>0</v>
      </c>
      <c r="X132" s="22">
        <f>IF(OR(C132="",T132&lt;&gt;"Confirmata"),0,IF(COUNTIFS(tTQMReguliDoc[Cheie_regula],S132,tTQMReguliDoc[Fise_tehnice],"Da")=1,1,0))</f>
        <v>0</v>
      </c>
      <c r="Y132" s="22" t="str">
        <f t="shared" si="9"/>
        <v/>
      </c>
      <c r="Z132" s="22"/>
      <c r="AA132" s="22"/>
    </row>
    <row r="133" spans="1:27" ht="15" customHeight="1">
      <c r="A133" s="30"/>
      <c r="B133" s="31"/>
      <c r="C133" s="30"/>
      <c r="D133" s="30"/>
      <c r="E133" s="30"/>
      <c r="F133" s="32" t="str">
        <f t="shared" si="5"/>
        <v/>
      </c>
      <c r="G133" s="30"/>
      <c r="H133" s="30"/>
      <c r="I133" s="30"/>
      <c r="J133" s="32" t="str">
        <f t="shared" si="6"/>
        <v/>
      </c>
      <c r="K133" s="30" t="str">
        <f t="shared" si="7"/>
        <v/>
      </c>
      <c r="L133" s="30"/>
      <c r="M133" s="30"/>
      <c r="N133" s="22"/>
      <c r="O133" s="25"/>
      <c r="P133" s="26"/>
      <c r="Q133" s="22"/>
      <c r="R133" s="22"/>
      <c r="S133" s="22" t="str">
        <f t="shared" si="8"/>
        <v/>
      </c>
      <c r="T133" s="22" t="str">
        <f>IF(C133="","",IF(COUNTIF(tTQMReguliDoc[Cheie_regula],S133)&lt;&gt;1,"REGULA NECONFIGURATA",IF(COUNTIFS(tTQMReguliDoc[Cheie_regula],S133,tTQMReguliDoc[Stare],"Confirmata")=1,"Confirmata","De confirmat")))</f>
        <v/>
      </c>
      <c r="U133" s="22">
        <f>IF(OR(C133="",T133&lt;&gt;"Confirmata"),0,IF(COUNTIFS(tTQMReguliDoc[Cheie_regula],S133,tTQMReguliDoc[Aviz],"Da")=1,1,0))</f>
        <v>0</v>
      </c>
      <c r="V133" s="22">
        <f>IF(OR(C133="",T133&lt;&gt;"Confirmata"),0,IF(COUNTIFS(tTQMReguliDoc[Cheie_regula],S133,tTQMReguliDoc[Decl_conformitate],"Da")=1,1,0))</f>
        <v>0</v>
      </c>
      <c r="W133" s="22">
        <f>IF(OR(C133="",T133&lt;&gt;"Confirmata"),0,IF(COUNTIFS(tTQMReguliDoc[Cheie_regula],S133,tTQMReguliDoc[Decl_producator],"Da")=1,1,0))</f>
        <v>0</v>
      </c>
      <c r="X133" s="22">
        <f>IF(OR(C133="",T133&lt;&gt;"Confirmata"),0,IF(COUNTIFS(tTQMReguliDoc[Cheie_regula],S133,tTQMReguliDoc[Fise_tehnice],"Da")=1,1,0))</f>
        <v>0</v>
      </c>
      <c r="Y133" s="22" t="str">
        <f t="shared" si="9"/>
        <v/>
      </c>
      <c r="Z133" s="22"/>
      <c r="AA133" s="22"/>
    </row>
    <row r="134" spans="1:27" ht="15" customHeight="1">
      <c r="A134" s="30"/>
      <c r="B134" s="31"/>
      <c r="C134" s="30"/>
      <c r="D134" s="30"/>
      <c r="E134" s="30"/>
      <c r="F134" s="32" t="str">
        <f t="shared" si="5"/>
        <v/>
      </c>
      <c r="G134" s="30"/>
      <c r="H134" s="30"/>
      <c r="I134" s="30"/>
      <c r="J134" s="32" t="str">
        <f t="shared" si="6"/>
        <v/>
      </c>
      <c r="K134" s="30" t="str">
        <f t="shared" si="7"/>
        <v/>
      </c>
      <c r="L134" s="30"/>
      <c r="M134" s="30"/>
      <c r="N134" s="22"/>
      <c r="O134" s="25"/>
      <c r="P134" s="26"/>
      <c r="Q134" s="22"/>
      <c r="R134" s="22"/>
      <c r="S134" s="22" t="str">
        <f t="shared" si="8"/>
        <v/>
      </c>
      <c r="T134" s="22" t="str">
        <f>IF(C134="","",IF(COUNTIF(tTQMReguliDoc[Cheie_regula],S134)&lt;&gt;1,"REGULA NECONFIGURATA",IF(COUNTIFS(tTQMReguliDoc[Cheie_regula],S134,tTQMReguliDoc[Stare],"Confirmata")=1,"Confirmata","De confirmat")))</f>
        <v/>
      </c>
      <c r="U134" s="22">
        <f>IF(OR(C134="",T134&lt;&gt;"Confirmata"),0,IF(COUNTIFS(tTQMReguliDoc[Cheie_regula],S134,tTQMReguliDoc[Aviz],"Da")=1,1,0))</f>
        <v>0</v>
      </c>
      <c r="V134" s="22">
        <f>IF(OR(C134="",T134&lt;&gt;"Confirmata"),0,IF(COUNTIFS(tTQMReguliDoc[Cheie_regula],S134,tTQMReguliDoc[Decl_conformitate],"Da")=1,1,0))</f>
        <v>0</v>
      </c>
      <c r="W134" s="22">
        <f>IF(OR(C134="",T134&lt;&gt;"Confirmata"),0,IF(COUNTIFS(tTQMReguliDoc[Cheie_regula],S134,tTQMReguliDoc[Decl_producator],"Da")=1,1,0))</f>
        <v>0</v>
      </c>
      <c r="X134" s="22">
        <f>IF(OR(C134="",T134&lt;&gt;"Confirmata"),0,IF(COUNTIFS(tTQMReguliDoc[Cheie_regula],S134,tTQMReguliDoc[Fise_tehnice],"Da")=1,1,0))</f>
        <v>0</v>
      </c>
      <c r="Y134" s="22" t="str">
        <f t="shared" si="9"/>
        <v/>
      </c>
      <c r="Z134" s="22"/>
      <c r="AA134" s="22"/>
    </row>
    <row r="135" spans="1:27" ht="15" customHeight="1">
      <c r="A135" s="30"/>
      <c r="B135" s="31"/>
      <c r="C135" s="30"/>
      <c r="D135" s="30"/>
      <c r="E135" s="30"/>
      <c r="F135" s="32" t="str">
        <f t="shared" si="5"/>
        <v/>
      </c>
      <c r="G135" s="30"/>
      <c r="H135" s="30"/>
      <c r="I135" s="30"/>
      <c r="J135" s="32" t="str">
        <f t="shared" si="6"/>
        <v/>
      </c>
      <c r="K135" s="30" t="str">
        <f t="shared" si="7"/>
        <v/>
      </c>
      <c r="L135" s="30"/>
      <c r="M135" s="30"/>
      <c r="N135" s="22"/>
      <c r="O135" s="25"/>
      <c r="P135" s="26"/>
      <c r="Q135" s="22"/>
      <c r="R135" s="22"/>
      <c r="S135" s="22" t="str">
        <f t="shared" si="8"/>
        <v/>
      </c>
      <c r="T135" s="22" t="str">
        <f>IF(C135="","",IF(COUNTIF(tTQMReguliDoc[Cheie_regula],S135)&lt;&gt;1,"REGULA NECONFIGURATA",IF(COUNTIFS(tTQMReguliDoc[Cheie_regula],S135,tTQMReguliDoc[Stare],"Confirmata")=1,"Confirmata","De confirmat")))</f>
        <v/>
      </c>
      <c r="U135" s="22">
        <f>IF(OR(C135="",T135&lt;&gt;"Confirmata"),0,IF(COUNTIFS(tTQMReguliDoc[Cheie_regula],S135,tTQMReguliDoc[Aviz],"Da")=1,1,0))</f>
        <v>0</v>
      </c>
      <c r="V135" s="22">
        <f>IF(OR(C135="",T135&lt;&gt;"Confirmata"),0,IF(COUNTIFS(tTQMReguliDoc[Cheie_regula],S135,tTQMReguliDoc[Decl_conformitate],"Da")=1,1,0))</f>
        <v>0</v>
      </c>
      <c r="W135" s="22">
        <f>IF(OR(C135="",T135&lt;&gt;"Confirmata"),0,IF(COUNTIFS(tTQMReguliDoc[Cheie_regula],S135,tTQMReguliDoc[Decl_producator],"Da")=1,1,0))</f>
        <v>0</v>
      </c>
      <c r="X135" s="22">
        <f>IF(OR(C135="",T135&lt;&gt;"Confirmata"),0,IF(COUNTIFS(tTQMReguliDoc[Cheie_regula],S135,tTQMReguliDoc[Fise_tehnice],"Da")=1,1,0))</f>
        <v>0</v>
      </c>
      <c r="Y135" s="22" t="str">
        <f t="shared" si="9"/>
        <v/>
      </c>
      <c r="Z135" s="22"/>
      <c r="AA135" s="22"/>
    </row>
    <row r="136" spans="1:27" ht="15" customHeight="1">
      <c r="A136" s="30"/>
      <c r="B136" s="31"/>
      <c r="C136" s="30"/>
      <c r="D136" s="30"/>
      <c r="E136" s="30"/>
      <c r="F136" s="32" t="str">
        <f t="shared" si="5"/>
        <v/>
      </c>
      <c r="G136" s="30"/>
      <c r="H136" s="30"/>
      <c r="I136" s="30"/>
      <c r="J136" s="32" t="str">
        <f t="shared" si="6"/>
        <v/>
      </c>
      <c r="K136" s="30" t="str">
        <f t="shared" si="7"/>
        <v/>
      </c>
      <c r="L136" s="30"/>
      <c r="M136" s="30"/>
      <c r="N136" s="22"/>
      <c r="O136" s="25"/>
      <c r="P136" s="26"/>
      <c r="Q136" s="22"/>
      <c r="R136" s="22"/>
      <c r="S136" s="22" t="str">
        <f t="shared" si="8"/>
        <v/>
      </c>
      <c r="T136" s="22" t="str">
        <f>IF(C136="","",IF(COUNTIF(tTQMReguliDoc[Cheie_regula],S136)&lt;&gt;1,"REGULA NECONFIGURATA",IF(COUNTIFS(tTQMReguliDoc[Cheie_regula],S136,tTQMReguliDoc[Stare],"Confirmata")=1,"Confirmata","De confirmat")))</f>
        <v/>
      </c>
      <c r="U136" s="22">
        <f>IF(OR(C136="",T136&lt;&gt;"Confirmata"),0,IF(COUNTIFS(tTQMReguliDoc[Cheie_regula],S136,tTQMReguliDoc[Aviz],"Da")=1,1,0))</f>
        <v>0</v>
      </c>
      <c r="V136" s="22">
        <f>IF(OR(C136="",T136&lt;&gt;"Confirmata"),0,IF(COUNTIFS(tTQMReguliDoc[Cheie_regula],S136,tTQMReguliDoc[Decl_conformitate],"Da")=1,1,0))</f>
        <v>0</v>
      </c>
      <c r="W136" s="22">
        <f>IF(OR(C136="",T136&lt;&gt;"Confirmata"),0,IF(COUNTIFS(tTQMReguliDoc[Cheie_regula],S136,tTQMReguliDoc[Decl_producator],"Da")=1,1,0))</f>
        <v>0</v>
      </c>
      <c r="X136" s="22">
        <f>IF(OR(C136="",T136&lt;&gt;"Confirmata"),0,IF(COUNTIFS(tTQMReguliDoc[Cheie_regula],S136,tTQMReguliDoc[Fise_tehnice],"Da")=1,1,0))</f>
        <v>0</v>
      </c>
      <c r="Y136" s="22" t="str">
        <f t="shared" si="9"/>
        <v/>
      </c>
      <c r="Z136" s="22"/>
      <c r="AA136" s="22"/>
    </row>
    <row r="137" spans="1:27" ht="15" customHeight="1">
      <c r="A137" s="30"/>
      <c r="B137" s="31"/>
      <c r="C137" s="30"/>
      <c r="D137" s="30"/>
      <c r="E137" s="30"/>
      <c r="F137" s="32" t="str">
        <f t="shared" si="5"/>
        <v/>
      </c>
      <c r="G137" s="30"/>
      <c r="H137" s="30"/>
      <c r="I137" s="30"/>
      <c r="J137" s="32" t="str">
        <f t="shared" si="6"/>
        <v/>
      </c>
      <c r="K137" s="30" t="str">
        <f t="shared" si="7"/>
        <v/>
      </c>
      <c r="L137" s="30"/>
      <c r="M137" s="30"/>
      <c r="N137" s="22"/>
      <c r="O137" s="25"/>
      <c r="P137" s="26"/>
      <c r="Q137" s="22"/>
      <c r="R137" s="22"/>
      <c r="S137" s="22" t="str">
        <f t="shared" si="8"/>
        <v/>
      </c>
      <c r="T137" s="22" t="str">
        <f>IF(C137="","",IF(COUNTIF(tTQMReguliDoc[Cheie_regula],S137)&lt;&gt;1,"REGULA NECONFIGURATA",IF(COUNTIFS(tTQMReguliDoc[Cheie_regula],S137,tTQMReguliDoc[Stare],"Confirmata")=1,"Confirmata","De confirmat")))</f>
        <v/>
      </c>
      <c r="U137" s="22">
        <f>IF(OR(C137="",T137&lt;&gt;"Confirmata"),0,IF(COUNTIFS(tTQMReguliDoc[Cheie_regula],S137,tTQMReguliDoc[Aviz],"Da")=1,1,0))</f>
        <v>0</v>
      </c>
      <c r="V137" s="22">
        <f>IF(OR(C137="",T137&lt;&gt;"Confirmata"),0,IF(COUNTIFS(tTQMReguliDoc[Cheie_regula],S137,tTQMReguliDoc[Decl_conformitate],"Da")=1,1,0))</f>
        <v>0</v>
      </c>
      <c r="W137" s="22">
        <f>IF(OR(C137="",T137&lt;&gt;"Confirmata"),0,IF(COUNTIFS(tTQMReguliDoc[Cheie_regula],S137,tTQMReguliDoc[Decl_producator],"Da")=1,1,0))</f>
        <v>0</v>
      </c>
      <c r="X137" s="22">
        <f>IF(OR(C137="",T137&lt;&gt;"Confirmata"),0,IF(COUNTIFS(tTQMReguliDoc[Cheie_regula],S137,tTQMReguliDoc[Fise_tehnice],"Da")=1,1,0))</f>
        <v>0</v>
      </c>
      <c r="Y137" s="22" t="str">
        <f t="shared" si="9"/>
        <v/>
      </c>
      <c r="Z137" s="22"/>
      <c r="AA137" s="22"/>
    </row>
    <row r="138" spans="1:27" ht="15" customHeight="1">
      <c r="A138" s="30"/>
      <c r="B138" s="31"/>
      <c r="C138" s="30"/>
      <c r="D138" s="30"/>
      <c r="E138" s="30"/>
      <c r="F138" s="32" t="str">
        <f t="shared" si="5"/>
        <v/>
      </c>
      <c r="G138" s="30"/>
      <c r="H138" s="30"/>
      <c r="I138" s="30"/>
      <c r="J138" s="32" t="str">
        <f t="shared" si="6"/>
        <v/>
      </c>
      <c r="K138" s="30" t="str">
        <f t="shared" si="7"/>
        <v/>
      </c>
      <c r="L138" s="30"/>
      <c r="M138" s="30"/>
      <c r="N138" s="22"/>
      <c r="O138" s="25"/>
      <c r="P138" s="26"/>
      <c r="Q138" s="22"/>
      <c r="R138" s="22"/>
      <c r="S138" s="22" t="str">
        <f t="shared" si="8"/>
        <v/>
      </c>
      <c r="T138" s="22" t="str">
        <f>IF(C138="","",IF(COUNTIF(tTQMReguliDoc[Cheie_regula],S138)&lt;&gt;1,"REGULA NECONFIGURATA",IF(COUNTIFS(tTQMReguliDoc[Cheie_regula],S138,tTQMReguliDoc[Stare],"Confirmata")=1,"Confirmata","De confirmat")))</f>
        <v/>
      </c>
      <c r="U138" s="22">
        <f>IF(OR(C138="",T138&lt;&gt;"Confirmata"),0,IF(COUNTIFS(tTQMReguliDoc[Cheie_regula],S138,tTQMReguliDoc[Aviz],"Da")=1,1,0))</f>
        <v>0</v>
      </c>
      <c r="V138" s="22">
        <f>IF(OR(C138="",T138&lt;&gt;"Confirmata"),0,IF(COUNTIFS(tTQMReguliDoc[Cheie_regula],S138,tTQMReguliDoc[Decl_conformitate],"Da")=1,1,0))</f>
        <v>0</v>
      </c>
      <c r="W138" s="22">
        <f>IF(OR(C138="",T138&lt;&gt;"Confirmata"),0,IF(COUNTIFS(tTQMReguliDoc[Cheie_regula],S138,tTQMReguliDoc[Decl_producator],"Da")=1,1,0))</f>
        <v>0</v>
      </c>
      <c r="X138" s="22">
        <f>IF(OR(C138="",T138&lt;&gt;"Confirmata"),0,IF(COUNTIFS(tTQMReguliDoc[Cheie_regula],S138,tTQMReguliDoc[Fise_tehnice],"Da")=1,1,0))</f>
        <v>0</v>
      </c>
      <c r="Y138" s="22" t="str">
        <f t="shared" si="9"/>
        <v/>
      </c>
      <c r="Z138" s="22"/>
      <c r="AA138" s="22"/>
    </row>
    <row r="139" spans="1:27" ht="15" customHeight="1">
      <c r="A139" s="30"/>
      <c r="B139" s="31"/>
      <c r="C139" s="30"/>
      <c r="D139" s="30"/>
      <c r="E139" s="30"/>
      <c r="F139" s="32" t="str">
        <f t="shared" si="5"/>
        <v/>
      </c>
      <c r="G139" s="30"/>
      <c r="H139" s="30"/>
      <c r="I139" s="30"/>
      <c r="J139" s="32" t="str">
        <f t="shared" si="6"/>
        <v/>
      </c>
      <c r="K139" s="30" t="str">
        <f t="shared" si="7"/>
        <v/>
      </c>
      <c r="L139" s="30"/>
      <c r="M139" s="30"/>
      <c r="N139" s="22"/>
      <c r="O139" s="25"/>
      <c r="P139" s="26"/>
      <c r="Q139" s="22"/>
      <c r="R139" s="22"/>
      <c r="S139" s="22" t="str">
        <f t="shared" si="8"/>
        <v/>
      </c>
      <c r="T139" s="22" t="str">
        <f>IF(C139="","",IF(COUNTIF(tTQMReguliDoc[Cheie_regula],S139)&lt;&gt;1,"REGULA NECONFIGURATA",IF(COUNTIFS(tTQMReguliDoc[Cheie_regula],S139,tTQMReguliDoc[Stare],"Confirmata")=1,"Confirmata","De confirmat")))</f>
        <v/>
      </c>
      <c r="U139" s="22">
        <f>IF(OR(C139="",T139&lt;&gt;"Confirmata"),0,IF(COUNTIFS(tTQMReguliDoc[Cheie_regula],S139,tTQMReguliDoc[Aviz],"Da")=1,1,0))</f>
        <v>0</v>
      </c>
      <c r="V139" s="22">
        <f>IF(OR(C139="",T139&lt;&gt;"Confirmata"),0,IF(COUNTIFS(tTQMReguliDoc[Cheie_regula],S139,tTQMReguliDoc[Decl_conformitate],"Da")=1,1,0))</f>
        <v>0</v>
      </c>
      <c r="W139" s="22">
        <f>IF(OR(C139="",T139&lt;&gt;"Confirmata"),0,IF(COUNTIFS(tTQMReguliDoc[Cheie_regula],S139,tTQMReguliDoc[Decl_producator],"Da")=1,1,0))</f>
        <v>0</v>
      </c>
      <c r="X139" s="22">
        <f>IF(OR(C139="",T139&lt;&gt;"Confirmata"),0,IF(COUNTIFS(tTQMReguliDoc[Cheie_regula],S139,tTQMReguliDoc[Fise_tehnice],"Da")=1,1,0))</f>
        <v>0</v>
      </c>
      <c r="Y139" s="22" t="str">
        <f t="shared" si="9"/>
        <v/>
      </c>
      <c r="Z139" s="22"/>
      <c r="AA139" s="22"/>
    </row>
    <row r="140" spans="1:27" ht="15" customHeight="1">
      <c r="A140" s="30"/>
      <c r="B140" s="31"/>
      <c r="C140" s="30"/>
      <c r="D140" s="30"/>
      <c r="E140" s="30"/>
      <c r="F140" s="32" t="str">
        <f t="shared" si="5"/>
        <v/>
      </c>
      <c r="G140" s="30"/>
      <c r="H140" s="30"/>
      <c r="I140" s="30"/>
      <c r="J140" s="32" t="str">
        <f t="shared" si="6"/>
        <v/>
      </c>
      <c r="K140" s="30" t="str">
        <f t="shared" si="7"/>
        <v/>
      </c>
      <c r="L140" s="30"/>
      <c r="M140" s="30"/>
      <c r="N140" s="22"/>
      <c r="O140" s="25"/>
      <c r="P140" s="26"/>
      <c r="Q140" s="22"/>
      <c r="R140" s="22"/>
      <c r="S140" s="22" t="str">
        <f t="shared" si="8"/>
        <v/>
      </c>
      <c r="T140" s="22" t="str">
        <f>IF(C140="","",IF(COUNTIF(tTQMReguliDoc[Cheie_regula],S140)&lt;&gt;1,"REGULA NECONFIGURATA",IF(COUNTIFS(tTQMReguliDoc[Cheie_regula],S140,tTQMReguliDoc[Stare],"Confirmata")=1,"Confirmata","De confirmat")))</f>
        <v/>
      </c>
      <c r="U140" s="22">
        <f>IF(OR(C140="",T140&lt;&gt;"Confirmata"),0,IF(COUNTIFS(tTQMReguliDoc[Cheie_regula],S140,tTQMReguliDoc[Aviz],"Da")=1,1,0))</f>
        <v>0</v>
      </c>
      <c r="V140" s="22">
        <f>IF(OR(C140="",T140&lt;&gt;"Confirmata"),0,IF(COUNTIFS(tTQMReguliDoc[Cheie_regula],S140,tTQMReguliDoc[Decl_conformitate],"Da")=1,1,0))</f>
        <v>0</v>
      </c>
      <c r="W140" s="22">
        <f>IF(OR(C140="",T140&lt;&gt;"Confirmata"),0,IF(COUNTIFS(tTQMReguliDoc[Cheie_regula],S140,tTQMReguliDoc[Decl_producator],"Da")=1,1,0))</f>
        <v>0</v>
      </c>
      <c r="X140" s="22">
        <f>IF(OR(C140="",T140&lt;&gt;"Confirmata"),0,IF(COUNTIFS(tTQMReguliDoc[Cheie_regula],S140,tTQMReguliDoc[Fise_tehnice],"Da")=1,1,0))</f>
        <v>0</v>
      </c>
      <c r="Y140" s="22" t="str">
        <f t="shared" si="9"/>
        <v/>
      </c>
      <c r="Z140" s="22"/>
      <c r="AA140" s="22"/>
    </row>
    <row r="141" spans="1:27" ht="15" customHeight="1">
      <c r="A141" s="30"/>
      <c r="B141" s="31"/>
      <c r="C141" s="30"/>
      <c r="D141" s="30"/>
      <c r="E141" s="30"/>
      <c r="F141" s="32" t="str">
        <f t="shared" si="5"/>
        <v/>
      </c>
      <c r="G141" s="30"/>
      <c r="H141" s="30"/>
      <c r="I141" s="30"/>
      <c r="J141" s="32" t="str">
        <f t="shared" si="6"/>
        <v/>
      </c>
      <c r="K141" s="30" t="str">
        <f t="shared" si="7"/>
        <v/>
      </c>
      <c r="L141" s="30"/>
      <c r="M141" s="30"/>
      <c r="N141" s="22"/>
      <c r="O141" s="25"/>
      <c r="P141" s="26"/>
      <c r="Q141" s="22"/>
      <c r="R141" s="22"/>
      <c r="S141" s="22" t="str">
        <f t="shared" si="8"/>
        <v/>
      </c>
      <c r="T141" s="22" t="str">
        <f>IF(C141="","",IF(COUNTIF(tTQMReguliDoc[Cheie_regula],S141)&lt;&gt;1,"REGULA NECONFIGURATA",IF(COUNTIFS(tTQMReguliDoc[Cheie_regula],S141,tTQMReguliDoc[Stare],"Confirmata")=1,"Confirmata","De confirmat")))</f>
        <v/>
      </c>
      <c r="U141" s="22">
        <f>IF(OR(C141="",T141&lt;&gt;"Confirmata"),0,IF(COUNTIFS(tTQMReguliDoc[Cheie_regula],S141,tTQMReguliDoc[Aviz],"Da")=1,1,0))</f>
        <v>0</v>
      </c>
      <c r="V141" s="22">
        <f>IF(OR(C141="",T141&lt;&gt;"Confirmata"),0,IF(COUNTIFS(tTQMReguliDoc[Cheie_regula],S141,tTQMReguliDoc[Decl_conformitate],"Da")=1,1,0))</f>
        <v>0</v>
      </c>
      <c r="W141" s="22">
        <f>IF(OR(C141="",T141&lt;&gt;"Confirmata"),0,IF(COUNTIFS(tTQMReguliDoc[Cheie_regula],S141,tTQMReguliDoc[Decl_producator],"Da")=1,1,0))</f>
        <v>0</v>
      </c>
      <c r="X141" s="22">
        <f>IF(OR(C141="",T141&lt;&gt;"Confirmata"),0,IF(COUNTIFS(tTQMReguliDoc[Cheie_regula],S141,tTQMReguliDoc[Fise_tehnice],"Da")=1,1,0))</f>
        <v>0</v>
      </c>
      <c r="Y141" s="22" t="str">
        <f t="shared" si="9"/>
        <v/>
      </c>
      <c r="Z141" s="22"/>
      <c r="AA141" s="22"/>
    </row>
    <row r="142" spans="1:27" ht="15" customHeight="1">
      <c r="A142" s="30"/>
      <c r="B142" s="31"/>
      <c r="C142" s="30"/>
      <c r="D142" s="30"/>
      <c r="E142" s="30"/>
      <c r="F142" s="32" t="str">
        <f t="shared" ref="F142:F205" si="10">IF(C142="","",IF(T142&lt;&gt;"Confirmata","DE CONFIRMAT",IF(U142=1,"OBLIGATORIU AVIZ","NU")))</f>
        <v/>
      </c>
      <c r="G142" s="30"/>
      <c r="H142" s="30"/>
      <c r="I142" s="30"/>
      <c r="J142" s="32" t="str">
        <f t="shared" ref="J142:J205" si="11">IF(C142="","",IF(K142="","DOSAR COMPLET","INCOMPLET - VERIFICARE DOCUMENTE"))</f>
        <v/>
      </c>
      <c r="K142" s="30" t="str">
        <f t="shared" ref="K142:K205" si="12">IF(C142="","",IF(Y142="","",LEFT(Y142,LEN(Y142)-2)))</f>
        <v/>
      </c>
      <c r="L142" s="30"/>
      <c r="M142" s="30"/>
      <c r="N142" s="22"/>
      <c r="O142" s="25"/>
      <c r="P142" s="26"/>
      <c r="Q142" s="22"/>
      <c r="R142" s="22"/>
      <c r="S142" s="22" t="str">
        <f t="shared" ref="S142:S205" si="13">IF(C142="","",IF(LEFT(LOWER(D142),4)="furn","Furnizor",IF(LEFT(LOWER(D142),4)="prod","Producator",IF(LEFT(LOWER(D142),4)="pres","Prestator",IF(LEFT(LOWER(D142),3)="alt","Alt partener",D142))))&amp;"|"&amp;IF(LEFT(LOWER(E142),4)="doar","Doar Aviz",IF(LEFT(LOWER(E142),4)="fact","Factura",E142)))</f>
        <v/>
      </c>
      <c r="T142" s="22" t="str">
        <f>IF(C142="","",IF(COUNTIF(tTQMReguliDoc[Cheie_regula],S142)&lt;&gt;1,"REGULA NECONFIGURATA",IF(COUNTIFS(tTQMReguliDoc[Cheie_regula],S142,tTQMReguliDoc[Stare],"Confirmata")=1,"Confirmata","De confirmat")))</f>
        <v/>
      </c>
      <c r="U142" s="22">
        <f>IF(OR(C142="",T142&lt;&gt;"Confirmata"),0,IF(COUNTIFS(tTQMReguliDoc[Cheie_regula],S142,tTQMReguliDoc[Aviz],"Da")=1,1,0))</f>
        <v>0</v>
      </c>
      <c r="V142" s="22">
        <f>IF(OR(C142="",T142&lt;&gt;"Confirmata"),0,IF(COUNTIFS(tTQMReguliDoc[Cheie_regula],S142,tTQMReguliDoc[Decl_conformitate],"Da")=1,1,0))</f>
        <v>0</v>
      </c>
      <c r="W142" s="22">
        <f>IF(OR(C142="",T142&lt;&gt;"Confirmata"),0,IF(COUNTIFS(tTQMReguliDoc[Cheie_regula],S142,tTQMReguliDoc[Decl_producator],"Da")=1,1,0))</f>
        <v>0</v>
      </c>
      <c r="X142" s="22">
        <f>IF(OR(C142="",T142&lt;&gt;"Confirmata"),0,IF(COUNTIFS(tTQMReguliDoc[Cheie_regula],S142,tTQMReguliDoc[Fise_tehnice],"Da")=1,1,0))</f>
        <v>0</v>
      </c>
      <c r="Y142" s="22" t="str">
        <f t="shared" ref="Y142:Y205" si="14">IF(C142="","",IF(T142&lt;&gt;"Confirmata","Confirmati regulile documentelor; ",IF(AND(U142=1,Z142&lt;&gt;"Primit"),"Aviz; ","")&amp;IF(AND(V142=1,G142&lt;&gt;"Primit"),"Declaratie conformitate; ","")&amp;IF(AND(W142=1,H142&lt;&gt;"Primit"),"Declaratie producator; ","")&amp;IF(AND(X142=1,I142&lt;&gt;"Primit"),"Fise tehnice; ","")))</f>
        <v/>
      </c>
      <c r="Z142" s="22"/>
      <c r="AA142" s="22"/>
    </row>
    <row r="143" spans="1:27" ht="15" customHeight="1">
      <c r="A143" s="30"/>
      <c r="B143" s="31"/>
      <c r="C143" s="30"/>
      <c r="D143" s="30"/>
      <c r="E143" s="30"/>
      <c r="F143" s="32" t="str">
        <f t="shared" si="10"/>
        <v/>
      </c>
      <c r="G143" s="30"/>
      <c r="H143" s="30"/>
      <c r="I143" s="30"/>
      <c r="J143" s="32" t="str">
        <f t="shared" si="11"/>
        <v/>
      </c>
      <c r="K143" s="30" t="str">
        <f t="shared" si="12"/>
        <v/>
      </c>
      <c r="L143" s="30"/>
      <c r="M143" s="30"/>
      <c r="N143" s="22"/>
      <c r="O143" s="25"/>
      <c r="P143" s="26"/>
      <c r="Q143" s="22"/>
      <c r="R143" s="22"/>
      <c r="S143" s="22" t="str">
        <f t="shared" si="13"/>
        <v/>
      </c>
      <c r="T143" s="22" t="str">
        <f>IF(C143="","",IF(COUNTIF(tTQMReguliDoc[Cheie_regula],S143)&lt;&gt;1,"REGULA NECONFIGURATA",IF(COUNTIFS(tTQMReguliDoc[Cheie_regula],S143,tTQMReguliDoc[Stare],"Confirmata")=1,"Confirmata","De confirmat")))</f>
        <v/>
      </c>
      <c r="U143" s="22">
        <f>IF(OR(C143="",T143&lt;&gt;"Confirmata"),0,IF(COUNTIFS(tTQMReguliDoc[Cheie_regula],S143,tTQMReguliDoc[Aviz],"Da")=1,1,0))</f>
        <v>0</v>
      </c>
      <c r="V143" s="22">
        <f>IF(OR(C143="",T143&lt;&gt;"Confirmata"),0,IF(COUNTIFS(tTQMReguliDoc[Cheie_regula],S143,tTQMReguliDoc[Decl_conformitate],"Da")=1,1,0))</f>
        <v>0</v>
      </c>
      <c r="W143" s="22">
        <f>IF(OR(C143="",T143&lt;&gt;"Confirmata"),0,IF(COUNTIFS(tTQMReguliDoc[Cheie_regula],S143,tTQMReguliDoc[Decl_producator],"Da")=1,1,0))</f>
        <v>0</v>
      </c>
      <c r="X143" s="22">
        <f>IF(OR(C143="",T143&lt;&gt;"Confirmata"),0,IF(COUNTIFS(tTQMReguliDoc[Cheie_regula],S143,tTQMReguliDoc[Fise_tehnice],"Da")=1,1,0))</f>
        <v>0</v>
      </c>
      <c r="Y143" s="22" t="str">
        <f t="shared" si="14"/>
        <v/>
      </c>
      <c r="Z143" s="22"/>
      <c r="AA143" s="22"/>
    </row>
    <row r="144" spans="1:27" ht="15" customHeight="1">
      <c r="A144" s="30"/>
      <c r="B144" s="31"/>
      <c r="C144" s="30"/>
      <c r="D144" s="30"/>
      <c r="E144" s="30"/>
      <c r="F144" s="32" t="str">
        <f t="shared" si="10"/>
        <v/>
      </c>
      <c r="G144" s="30"/>
      <c r="H144" s="30"/>
      <c r="I144" s="30"/>
      <c r="J144" s="32" t="str">
        <f t="shared" si="11"/>
        <v/>
      </c>
      <c r="K144" s="30" t="str">
        <f t="shared" si="12"/>
        <v/>
      </c>
      <c r="L144" s="30"/>
      <c r="M144" s="30"/>
      <c r="N144" s="22"/>
      <c r="O144" s="25"/>
      <c r="P144" s="26"/>
      <c r="Q144" s="22"/>
      <c r="R144" s="22"/>
      <c r="S144" s="22" t="str">
        <f t="shared" si="13"/>
        <v/>
      </c>
      <c r="T144" s="22" t="str">
        <f>IF(C144="","",IF(COUNTIF(tTQMReguliDoc[Cheie_regula],S144)&lt;&gt;1,"REGULA NECONFIGURATA",IF(COUNTIFS(tTQMReguliDoc[Cheie_regula],S144,tTQMReguliDoc[Stare],"Confirmata")=1,"Confirmata","De confirmat")))</f>
        <v/>
      </c>
      <c r="U144" s="22">
        <f>IF(OR(C144="",T144&lt;&gt;"Confirmata"),0,IF(COUNTIFS(tTQMReguliDoc[Cheie_regula],S144,tTQMReguliDoc[Aviz],"Da")=1,1,0))</f>
        <v>0</v>
      </c>
      <c r="V144" s="22">
        <f>IF(OR(C144="",T144&lt;&gt;"Confirmata"),0,IF(COUNTIFS(tTQMReguliDoc[Cheie_regula],S144,tTQMReguliDoc[Decl_conformitate],"Da")=1,1,0))</f>
        <v>0</v>
      </c>
      <c r="W144" s="22">
        <f>IF(OR(C144="",T144&lt;&gt;"Confirmata"),0,IF(COUNTIFS(tTQMReguliDoc[Cheie_regula],S144,tTQMReguliDoc[Decl_producator],"Da")=1,1,0))</f>
        <v>0</v>
      </c>
      <c r="X144" s="22">
        <f>IF(OR(C144="",T144&lt;&gt;"Confirmata"),0,IF(COUNTIFS(tTQMReguliDoc[Cheie_regula],S144,tTQMReguliDoc[Fise_tehnice],"Da")=1,1,0))</f>
        <v>0</v>
      </c>
      <c r="Y144" s="22" t="str">
        <f t="shared" si="14"/>
        <v/>
      </c>
      <c r="Z144" s="22"/>
      <c r="AA144" s="22"/>
    </row>
    <row r="145" spans="1:27" ht="15" customHeight="1">
      <c r="A145" s="30"/>
      <c r="B145" s="31"/>
      <c r="C145" s="30"/>
      <c r="D145" s="30"/>
      <c r="E145" s="30"/>
      <c r="F145" s="32" t="str">
        <f t="shared" si="10"/>
        <v/>
      </c>
      <c r="G145" s="30"/>
      <c r="H145" s="30"/>
      <c r="I145" s="30"/>
      <c r="J145" s="32" t="str">
        <f t="shared" si="11"/>
        <v/>
      </c>
      <c r="K145" s="30" t="str">
        <f t="shared" si="12"/>
        <v/>
      </c>
      <c r="L145" s="30"/>
      <c r="M145" s="30"/>
      <c r="N145" s="22"/>
      <c r="O145" s="25"/>
      <c r="P145" s="26"/>
      <c r="Q145" s="22"/>
      <c r="R145" s="22"/>
      <c r="S145" s="22" t="str">
        <f t="shared" si="13"/>
        <v/>
      </c>
      <c r="T145" s="22" t="str">
        <f>IF(C145="","",IF(COUNTIF(tTQMReguliDoc[Cheie_regula],S145)&lt;&gt;1,"REGULA NECONFIGURATA",IF(COUNTIFS(tTQMReguliDoc[Cheie_regula],S145,tTQMReguliDoc[Stare],"Confirmata")=1,"Confirmata","De confirmat")))</f>
        <v/>
      </c>
      <c r="U145" s="22">
        <f>IF(OR(C145="",T145&lt;&gt;"Confirmata"),0,IF(COUNTIFS(tTQMReguliDoc[Cheie_regula],S145,tTQMReguliDoc[Aviz],"Da")=1,1,0))</f>
        <v>0</v>
      </c>
      <c r="V145" s="22">
        <f>IF(OR(C145="",T145&lt;&gt;"Confirmata"),0,IF(COUNTIFS(tTQMReguliDoc[Cheie_regula],S145,tTQMReguliDoc[Decl_conformitate],"Da")=1,1,0))</f>
        <v>0</v>
      </c>
      <c r="W145" s="22">
        <f>IF(OR(C145="",T145&lt;&gt;"Confirmata"),0,IF(COUNTIFS(tTQMReguliDoc[Cheie_regula],S145,tTQMReguliDoc[Decl_producator],"Da")=1,1,0))</f>
        <v>0</v>
      </c>
      <c r="X145" s="22">
        <f>IF(OR(C145="",T145&lt;&gt;"Confirmata"),0,IF(COUNTIFS(tTQMReguliDoc[Cheie_regula],S145,tTQMReguliDoc[Fise_tehnice],"Da")=1,1,0))</f>
        <v>0</v>
      </c>
      <c r="Y145" s="22" t="str">
        <f t="shared" si="14"/>
        <v/>
      </c>
      <c r="Z145" s="22"/>
      <c r="AA145" s="22"/>
    </row>
    <row r="146" spans="1:27" ht="15" customHeight="1">
      <c r="A146" s="30"/>
      <c r="B146" s="31"/>
      <c r="C146" s="30"/>
      <c r="D146" s="30"/>
      <c r="E146" s="30"/>
      <c r="F146" s="32" t="str">
        <f t="shared" si="10"/>
        <v/>
      </c>
      <c r="G146" s="30"/>
      <c r="H146" s="30"/>
      <c r="I146" s="30"/>
      <c r="J146" s="32" t="str">
        <f t="shared" si="11"/>
        <v/>
      </c>
      <c r="K146" s="30" t="str">
        <f t="shared" si="12"/>
        <v/>
      </c>
      <c r="L146" s="30"/>
      <c r="M146" s="30"/>
      <c r="N146" s="22"/>
      <c r="O146" s="25"/>
      <c r="P146" s="26"/>
      <c r="Q146" s="22"/>
      <c r="R146" s="22"/>
      <c r="S146" s="22" t="str">
        <f t="shared" si="13"/>
        <v/>
      </c>
      <c r="T146" s="22" t="str">
        <f>IF(C146="","",IF(COUNTIF(tTQMReguliDoc[Cheie_regula],S146)&lt;&gt;1,"REGULA NECONFIGURATA",IF(COUNTIFS(tTQMReguliDoc[Cheie_regula],S146,tTQMReguliDoc[Stare],"Confirmata")=1,"Confirmata","De confirmat")))</f>
        <v/>
      </c>
      <c r="U146" s="22">
        <f>IF(OR(C146="",T146&lt;&gt;"Confirmata"),0,IF(COUNTIFS(tTQMReguliDoc[Cheie_regula],S146,tTQMReguliDoc[Aviz],"Da")=1,1,0))</f>
        <v>0</v>
      </c>
      <c r="V146" s="22">
        <f>IF(OR(C146="",T146&lt;&gt;"Confirmata"),0,IF(COUNTIFS(tTQMReguliDoc[Cheie_regula],S146,tTQMReguliDoc[Decl_conformitate],"Da")=1,1,0))</f>
        <v>0</v>
      </c>
      <c r="W146" s="22">
        <f>IF(OR(C146="",T146&lt;&gt;"Confirmata"),0,IF(COUNTIFS(tTQMReguliDoc[Cheie_regula],S146,tTQMReguliDoc[Decl_producator],"Da")=1,1,0))</f>
        <v>0</v>
      </c>
      <c r="X146" s="22">
        <f>IF(OR(C146="",T146&lt;&gt;"Confirmata"),0,IF(COUNTIFS(tTQMReguliDoc[Cheie_regula],S146,tTQMReguliDoc[Fise_tehnice],"Da")=1,1,0))</f>
        <v>0</v>
      </c>
      <c r="Y146" s="22" t="str">
        <f t="shared" si="14"/>
        <v/>
      </c>
      <c r="Z146" s="22"/>
      <c r="AA146" s="22"/>
    </row>
    <row r="147" spans="1:27" ht="15" customHeight="1">
      <c r="A147" s="30"/>
      <c r="B147" s="31"/>
      <c r="C147" s="30"/>
      <c r="D147" s="30"/>
      <c r="E147" s="30"/>
      <c r="F147" s="32" t="str">
        <f t="shared" si="10"/>
        <v/>
      </c>
      <c r="G147" s="30"/>
      <c r="H147" s="30"/>
      <c r="I147" s="30"/>
      <c r="J147" s="32" t="str">
        <f t="shared" si="11"/>
        <v/>
      </c>
      <c r="K147" s="30" t="str">
        <f t="shared" si="12"/>
        <v/>
      </c>
      <c r="L147" s="30"/>
      <c r="M147" s="30"/>
      <c r="N147" s="22"/>
      <c r="O147" s="25"/>
      <c r="P147" s="26"/>
      <c r="Q147" s="22"/>
      <c r="R147" s="22"/>
      <c r="S147" s="22" t="str">
        <f t="shared" si="13"/>
        <v/>
      </c>
      <c r="T147" s="22" t="str">
        <f>IF(C147="","",IF(COUNTIF(tTQMReguliDoc[Cheie_regula],S147)&lt;&gt;1,"REGULA NECONFIGURATA",IF(COUNTIFS(tTQMReguliDoc[Cheie_regula],S147,tTQMReguliDoc[Stare],"Confirmata")=1,"Confirmata","De confirmat")))</f>
        <v/>
      </c>
      <c r="U147" s="22">
        <f>IF(OR(C147="",T147&lt;&gt;"Confirmata"),0,IF(COUNTIFS(tTQMReguliDoc[Cheie_regula],S147,tTQMReguliDoc[Aviz],"Da")=1,1,0))</f>
        <v>0</v>
      </c>
      <c r="V147" s="22">
        <f>IF(OR(C147="",T147&lt;&gt;"Confirmata"),0,IF(COUNTIFS(tTQMReguliDoc[Cheie_regula],S147,tTQMReguliDoc[Decl_conformitate],"Da")=1,1,0))</f>
        <v>0</v>
      </c>
      <c r="W147" s="22">
        <f>IF(OR(C147="",T147&lt;&gt;"Confirmata"),0,IF(COUNTIFS(tTQMReguliDoc[Cheie_regula],S147,tTQMReguliDoc[Decl_producator],"Da")=1,1,0))</f>
        <v>0</v>
      </c>
      <c r="X147" s="22">
        <f>IF(OR(C147="",T147&lt;&gt;"Confirmata"),0,IF(COUNTIFS(tTQMReguliDoc[Cheie_regula],S147,tTQMReguliDoc[Fise_tehnice],"Da")=1,1,0))</f>
        <v>0</v>
      </c>
      <c r="Y147" s="22" t="str">
        <f t="shared" si="14"/>
        <v/>
      </c>
      <c r="Z147" s="22"/>
      <c r="AA147" s="22"/>
    </row>
    <row r="148" spans="1:27" ht="15" customHeight="1">
      <c r="A148" s="30"/>
      <c r="B148" s="31"/>
      <c r="C148" s="30"/>
      <c r="D148" s="30"/>
      <c r="E148" s="30"/>
      <c r="F148" s="32" t="str">
        <f t="shared" si="10"/>
        <v/>
      </c>
      <c r="G148" s="30"/>
      <c r="H148" s="30"/>
      <c r="I148" s="30"/>
      <c r="J148" s="32" t="str">
        <f t="shared" si="11"/>
        <v/>
      </c>
      <c r="K148" s="30" t="str">
        <f t="shared" si="12"/>
        <v/>
      </c>
      <c r="L148" s="30"/>
      <c r="M148" s="30"/>
      <c r="N148" s="22"/>
      <c r="O148" s="25"/>
      <c r="P148" s="26"/>
      <c r="Q148" s="22"/>
      <c r="R148" s="22"/>
      <c r="S148" s="22" t="str">
        <f t="shared" si="13"/>
        <v/>
      </c>
      <c r="T148" s="22" t="str">
        <f>IF(C148="","",IF(COUNTIF(tTQMReguliDoc[Cheie_regula],S148)&lt;&gt;1,"REGULA NECONFIGURATA",IF(COUNTIFS(tTQMReguliDoc[Cheie_regula],S148,tTQMReguliDoc[Stare],"Confirmata")=1,"Confirmata","De confirmat")))</f>
        <v/>
      </c>
      <c r="U148" s="22">
        <f>IF(OR(C148="",T148&lt;&gt;"Confirmata"),0,IF(COUNTIFS(tTQMReguliDoc[Cheie_regula],S148,tTQMReguliDoc[Aviz],"Da")=1,1,0))</f>
        <v>0</v>
      </c>
      <c r="V148" s="22">
        <f>IF(OR(C148="",T148&lt;&gt;"Confirmata"),0,IF(COUNTIFS(tTQMReguliDoc[Cheie_regula],S148,tTQMReguliDoc[Decl_conformitate],"Da")=1,1,0))</f>
        <v>0</v>
      </c>
      <c r="W148" s="22">
        <f>IF(OR(C148="",T148&lt;&gt;"Confirmata"),0,IF(COUNTIFS(tTQMReguliDoc[Cheie_regula],S148,tTQMReguliDoc[Decl_producator],"Da")=1,1,0))</f>
        <v>0</v>
      </c>
      <c r="X148" s="22">
        <f>IF(OR(C148="",T148&lt;&gt;"Confirmata"),0,IF(COUNTIFS(tTQMReguliDoc[Cheie_regula],S148,tTQMReguliDoc[Fise_tehnice],"Da")=1,1,0))</f>
        <v>0</v>
      </c>
      <c r="Y148" s="22" t="str">
        <f t="shared" si="14"/>
        <v/>
      </c>
      <c r="Z148" s="22"/>
      <c r="AA148" s="22"/>
    </row>
    <row r="149" spans="1:27" ht="15" customHeight="1">
      <c r="A149" s="30"/>
      <c r="B149" s="31"/>
      <c r="C149" s="30"/>
      <c r="D149" s="30"/>
      <c r="E149" s="30"/>
      <c r="F149" s="32" t="str">
        <f t="shared" si="10"/>
        <v/>
      </c>
      <c r="G149" s="30"/>
      <c r="H149" s="30"/>
      <c r="I149" s="30"/>
      <c r="J149" s="32" t="str">
        <f t="shared" si="11"/>
        <v/>
      </c>
      <c r="K149" s="30" t="str">
        <f t="shared" si="12"/>
        <v/>
      </c>
      <c r="L149" s="30"/>
      <c r="M149" s="30"/>
      <c r="N149" s="22"/>
      <c r="O149" s="25"/>
      <c r="P149" s="26"/>
      <c r="Q149" s="22"/>
      <c r="R149" s="22"/>
      <c r="S149" s="22" t="str">
        <f t="shared" si="13"/>
        <v/>
      </c>
      <c r="T149" s="22" t="str">
        <f>IF(C149="","",IF(COUNTIF(tTQMReguliDoc[Cheie_regula],S149)&lt;&gt;1,"REGULA NECONFIGURATA",IF(COUNTIFS(tTQMReguliDoc[Cheie_regula],S149,tTQMReguliDoc[Stare],"Confirmata")=1,"Confirmata","De confirmat")))</f>
        <v/>
      </c>
      <c r="U149" s="22">
        <f>IF(OR(C149="",T149&lt;&gt;"Confirmata"),0,IF(COUNTIFS(tTQMReguliDoc[Cheie_regula],S149,tTQMReguliDoc[Aviz],"Da")=1,1,0))</f>
        <v>0</v>
      </c>
      <c r="V149" s="22">
        <f>IF(OR(C149="",T149&lt;&gt;"Confirmata"),0,IF(COUNTIFS(tTQMReguliDoc[Cheie_regula],S149,tTQMReguliDoc[Decl_conformitate],"Da")=1,1,0))</f>
        <v>0</v>
      </c>
      <c r="W149" s="22">
        <f>IF(OR(C149="",T149&lt;&gt;"Confirmata"),0,IF(COUNTIFS(tTQMReguliDoc[Cheie_regula],S149,tTQMReguliDoc[Decl_producator],"Da")=1,1,0))</f>
        <v>0</v>
      </c>
      <c r="X149" s="22">
        <f>IF(OR(C149="",T149&lt;&gt;"Confirmata"),0,IF(COUNTIFS(tTQMReguliDoc[Cheie_regula],S149,tTQMReguliDoc[Fise_tehnice],"Da")=1,1,0))</f>
        <v>0</v>
      </c>
      <c r="Y149" s="22" t="str">
        <f t="shared" si="14"/>
        <v/>
      </c>
      <c r="Z149" s="22"/>
      <c r="AA149" s="22"/>
    </row>
    <row r="150" spans="1:27" ht="15" customHeight="1">
      <c r="A150" s="30"/>
      <c r="B150" s="31"/>
      <c r="C150" s="30"/>
      <c r="D150" s="30"/>
      <c r="E150" s="30"/>
      <c r="F150" s="32" t="str">
        <f t="shared" si="10"/>
        <v/>
      </c>
      <c r="G150" s="30"/>
      <c r="H150" s="30"/>
      <c r="I150" s="30"/>
      <c r="J150" s="32" t="str">
        <f t="shared" si="11"/>
        <v/>
      </c>
      <c r="K150" s="30" t="str">
        <f t="shared" si="12"/>
        <v/>
      </c>
      <c r="L150" s="30"/>
      <c r="M150" s="30"/>
      <c r="N150" s="22"/>
      <c r="O150" s="25"/>
      <c r="P150" s="26"/>
      <c r="Q150" s="22"/>
      <c r="R150" s="22"/>
      <c r="S150" s="22" t="str">
        <f t="shared" si="13"/>
        <v/>
      </c>
      <c r="T150" s="22" t="str">
        <f>IF(C150="","",IF(COUNTIF(tTQMReguliDoc[Cheie_regula],S150)&lt;&gt;1,"REGULA NECONFIGURATA",IF(COUNTIFS(tTQMReguliDoc[Cheie_regula],S150,tTQMReguliDoc[Stare],"Confirmata")=1,"Confirmata","De confirmat")))</f>
        <v/>
      </c>
      <c r="U150" s="22">
        <f>IF(OR(C150="",T150&lt;&gt;"Confirmata"),0,IF(COUNTIFS(tTQMReguliDoc[Cheie_regula],S150,tTQMReguliDoc[Aviz],"Da")=1,1,0))</f>
        <v>0</v>
      </c>
      <c r="V150" s="22">
        <f>IF(OR(C150="",T150&lt;&gt;"Confirmata"),0,IF(COUNTIFS(tTQMReguliDoc[Cheie_regula],S150,tTQMReguliDoc[Decl_conformitate],"Da")=1,1,0))</f>
        <v>0</v>
      </c>
      <c r="W150" s="22">
        <f>IF(OR(C150="",T150&lt;&gt;"Confirmata"),0,IF(COUNTIFS(tTQMReguliDoc[Cheie_regula],S150,tTQMReguliDoc[Decl_producator],"Da")=1,1,0))</f>
        <v>0</v>
      </c>
      <c r="X150" s="22">
        <f>IF(OR(C150="",T150&lt;&gt;"Confirmata"),0,IF(COUNTIFS(tTQMReguliDoc[Cheie_regula],S150,tTQMReguliDoc[Fise_tehnice],"Da")=1,1,0))</f>
        <v>0</v>
      </c>
      <c r="Y150" s="22" t="str">
        <f t="shared" si="14"/>
        <v/>
      </c>
      <c r="Z150" s="22"/>
      <c r="AA150" s="22"/>
    </row>
    <row r="151" spans="1:27" ht="15" customHeight="1">
      <c r="A151" s="30"/>
      <c r="B151" s="31"/>
      <c r="C151" s="30"/>
      <c r="D151" s="30"/>
      <c r="E151" s="30"/>
      <c r="F151" s="32" t="str">
        <f t="shared" si="10"/>
        <v/>
      </c>
      <c r="G151" s="30"/>
      <c r="H151" s="30"/>
      <c r="I151" s="30"/>
      <c r="J151" s="32" t="str">
        <f t="shared" si="11"/>
        <v/>
      </c>
      <c r="K151" s="30" t="str">
        <f t="shared" si="12"/>
        <v/>
      </c>
      <c r="L151" s="30"/>
      <c r="M151" s="30"/>
      <c r="N151" s="22"/>
      <c r="O151" s="25"/>
      <c r="P151" s="26"/>
      <c r="Q151" s="22"/>
      <c r="R151" s="22"/>
      <c r="S151" s="22" t="str">
        <f t="shared" si="13"/>
        <v/>
      </c>
      <c r="T151" s="22" t="str">
        <f>IF(C151="","",IF(COUNTIF(tTQMReguliDoc[Cheie_regula],S151)&lt;&gt;1,"REGULA NECONFIGURATA",IF(COUNTIFS(tTQMReguliDoc[Cheie_regula],S151,tTQMReguliDoc[Stare],"Confirmata")=1,"Confirmata","De confirmat")))</f>
        <v/>
      </c>
      <c r="U151" s="22">
        <f>IF(OR(C151="",T151&lt;&gt;"Confirmata"),0,IF(COUNTIFS(tTQMReguliDoc[Cheie_regula],S151,tTQMReguliDoc[Aviz],"Da")=1,1,0))</f>
        <v>0</v>
      </c>
      <c r="V151" s="22">
        <f>IF(OR(C151="",T151&lt;&gt;"Confirmata"),0,IF(COUNTIFS(tTQMReguliDoc[Cheie_regula],S151,tTQMReguliDoc[Decl_conformitate],"Da")=1,1,0))</f>
        <v>0</v>
      </c>
      <c r="W151" s="22">
        <f>IF(OR(C151="",T151&lt;&gt;"Confirmata"),0,IF(COUNTIFS(tTQMReguliDoc[Cheie_regula],S151,tTQMReguliDoc[Decl_producator],"Da")=1,1,0))</f>
        <v>0</v>
      </c>
      <c r="X151" s="22">
        <f>IF(OR(C151="",T151&lt;&gt;"Confirmata"),0,IF(COUNTIFS(tTQMReguliDoc[Cheie_regula],S151,tTQMReguliDoc[Fise_tehnice],"Da")=1,1,0))</f>
        <v>0</v>
      </c>
      <c r="Y151" s="22" t="str">
        <f t="shared" si="14"/>
        <v/>
      </c>
      <c r="Z151" s="22"/>
      <c r="AA151" s="22"/>
    </row>
    <row r="152" spans="1:27" ht="15" customHeight="1">
      <c r="A152" s="30"/>
      <c r="B152" s="31"/>
      <c r="C152" s="30"/>
      <c r="D152" s="30"/>
      <c r="E152" s="30"/>
      <c r="F152" s="32" t="str">
        <f t="shared" si="10"/>
        <v/>
      </c>
      <c r="G152" s="30"/>
      <c r="H152" s="30"/>
      <c r="I152" s="30"/>
      <c r="J152" s="32" t="str">
        <f t="shared" si="11"/>
        <v/>
      </c>
      <c r="K152" s="30" t="str">
        <f t="shared" si="12"/>
        <v/>
      </c>
      <c r="L152" s="30"/>
      <c r="M152" s="30"/>
      <c r="N152" s="22"/>
      <c r="O152" s="25"/>
      <c r="P152" s="26"/>
      <c r="Q152" s="22"/>
      <c r="R152" s="22"/>
      <c r="S152" s="22" t="str">
        <f t="shared" si="13"/>
        <v/>
      </c>
      <c r="T152" s="22" t="str">
        <f>IF(C152="","",IF(COUNTIF(tTQMReguliDoc[Cheie_regula],S152)&lt;&gt;1,"REGULA NECONFIGURATA",IF(COUNTIFS(tTQMReguliDoc[Cheie_regula],S152,tTQMReguliDoc[Stare],"Confirmata")=1,"Confirmata","De confirmat")))</f>
        <v/>
      </c>
      <c r="U152" s="22">
        <f>IF(OR(C152="",T152&lt;&gt;"Confirmata"),0,IF(COUNTIFS(tTQMReguliDoc[Cheie_regula],S152,tTQMReguliDoc[Aviz],"Da")=1,1,0))</f>
        <v>0</v>
      </c>
      <c r="V152" s="22">
        <f>IF(OR(C152="",T152&lt;&gt;"Confirmata"),0,IF(COUNTIFS(tTQMReguliDoc[Cheie_regula],S152,tTQMReguliDoc[Decl_conformitate],"Da")=1,1,0))</f>
        <v>0</v>
      </c>
      <c r="W152" s="22">
        <f>IF(OR(C152="",T152&lt;&gt;"Confirmata"),0,IF(COUNTIFS(tTQMReguliDoc[Cheie_regula],S152,tTQMReguliDoc[Decl_producator],"Da")=1,1,0))</f>
        <v>0</v>
      </c>
      <c r="X152" s="22">
        <f>IF(OR(C152="",T152&lt;&gt;"Confirmata"),0,IF(COUNTIFS(tTQMReguliDoc[Cheie_regula],S152,tTQMReguliDoc[Fise_tehnice],"Da")=1,1,0))</f>
        <v>0</v>
      </c>
      <c r="Y152" s="22" t="str">
        <f t="shared" si="14"/>
        <v/>
      </c>
      <c r="Z152" s="22"/>
      <c r="AA152" s="22"/>
    </row>
    <row r="153" spans="1:27" ht="15" customHeight="1">
      <c r="A153" s="30"/>
      <c r="B153" s="31"/>
      <c r="C153" s="30"/>
      <c r="D153" s="30"/>
      <c r="E153" s="30"/>
      <c r="F153" s="32" t="str">
        <f t="shared" si="10"/>
        <v/>
      </c>
      <c r="G153" s="30"/>
      <c r="H153" s="30"/>
      <c r="I153" s="30"/>
      <c r="J153" s="32" t="str">
        <f t="shared" si="11"/>
        <v/>
      </c>
      <c r="K153" s="30" t="str">
        <f t="shared" si="12"/>
        <v/>
      </c>
      <c r="L153" s="30"/>
      <c r="M153" s="30"/>
      <c r="N153" s="22"/>
      <c r="O153" s="25"/>
      <c r="P153" s="26"/>
      <c r="Q153" s="22"/>
      <c r="R153" s="22"/>
      <c r="S153" s="22" t="str">
        <f t="shared" si="13"/>
        <v/>
      </c>
      <c r="T153" s="22" t="str">
        <f>IF(C153="","",IF(COUNTIF(tTQMReguliDoc[Cheie_regula],S153)&lt;&gt;1,"REGULA NECONFIGURATA",IF(COUNTIFS(tTQMReguliDoc[Cheie_regula],S153,tTQMReguliDoc[Stare],"Confirmata")=1,"Confirmata","De confirmat")))</f>
        <v/>
      </c>
      <c r="U153" s="22">
        <f>IF(OR(C153="",T153&lt;&gt;"Confirmata"),0,IF(COUNTIFS(tTQMReguliDoc[Cheie_regula],S153,tTQMReguliDoc[Aviz],"Da")=1,1,0))</f>
        <v>0</v>
      </c>
      <c r="V153" s="22">
        <f>IF(OR(C153="",T153&lt;&gt;"Confirmata"),0,IF(COUNTIFS(tTQMReguliDoc[Cheie_regula],S153,tTQMReguliDoc[Decl_conformitate],"Da")=1,1,0))</f>
        <v>0</v>
      </c>
      <c r="W153" s="22">
        <f>IF(OR(C153="",T153&lt;&gt;"Confirmata"),0,IF(COUNTIFS(tTQMReguliDoc[Cheie_regula],S153,tTQMReguliDoc[Decl_producator],"Da")=1,1,0))</f>
        <v>0</v>
      </c>
      <c r="X153" s="22">
        <f>IF(OR(C153="",T153&lt;&gt;"Confirmata"),0,IF(COUNTIFS(tTQMReguliDoc[Cheie_regula],S153,tTQMReguliDoc[Fise_tehnice],"Da")=1,1,0))</f>
        <v>0</v>
      </c>
      <c r="Y153" s="22" t="str">
        <f t="shared" si="14"/>
        <v/>
      </c>
      <c r="Z153" s="22"/>
      <c r="AA153" s="22"/>
    </row>
    <row r="154" spans="1:27" ht="15" customHeight="1">
      <c r="A154" s="30"/>
      <c r="B154" s="31"/>
      <c r="C154" s="30"/>
      <c r="D154" s="30"/>
      <c r="E154" s="30"/>
      <c r="F154" s="32" t="str">
        <f t="shared" si="10"/>
        <v/>
      </c>
      <c r="G154" s="30"/>
      <c r="H154" s="30"/>
      <c r="I154" s="30"/>
      <c r="J154" s="32" t="str">
        <f t="shared" si="11"/>
        <v/>
      </c>
      <c r="K154" s="30" t="str">
        <f t="shared" si="12"/>
        <v/>
      </c>
      <c r="L154" s="30"/>
      <c r="M154" s="30"/>
      <c r="N154" s="22"/>
      <c r="O154" s="25"/>
      <c r="P154" s="26"/>
      <c r="Q154" s="22"/>
      <c r="R154" s="22"/>
      <c r="S154" s="22" t="str">
        <f t="shared" si="13"/>
        <v/>
      </c>
      <c r="T154" s="22" t="str">
        <f>IF(C154="","",IF(COUNTIF(tTQMReguliDoc[Cheie_regula],S154)&lt;&gt;1,"REGULA NECONFIGURATA",IF(COUNTIFS(tTQMReguliDoc[Cheie_regula],S154,tTQMReguliDoc[Stare],"Confirmata")=1,"Confirmata","De confirmat")))</f>
        <v/>
      </c>
      <c r="U154" s="22">
        <f>IF(OR(C154="",T154&lt;&gt;"Confirmata"),0,IF(COUNTIFS(tTQMReguliDoc[Cheie_regula],S154,tTQMReguliDoc[Aviz],"Da")=1,1,0))</f>
        <v>0</v>
      </c>
      <c r="V154" s="22">
        <f>IF(OR(C154="",T154&lt;&gt;"Confirmata"),0,IF(COUNTIFS(tTQMReguliDoc[Cheie_regula],S154,tTQMReguliDoc[Decl_conformitate],"Da")=1,1,0))</f>
        <v>0</v>
      </c>
      <c r="W154" s="22">
        <f>IF(OR(C154="",T154&lt;&gt;"Confirmata"),0,IF(COUNTIFS(tTQMReguliDoc[Cheie_regula],S154,tTQMReguliDoc[Decl_producator],"Da")=1,1,0))</f>
        <v>0</v>
      </c>
      <c r="X154" s="22">
        <f>IF(OR(C154="",T154&lt;&gt;"Confirmata"),0,IF(COUNTIFS(tTQMReguliDoc[Cheie_regula],S154,tTQMReguliDoc[Fise_tehnice],"Da")=1,1,0))</f>
        <v>0</v>
      </c>
      <c r="Y154" s="22" t="str">
        <f t="shared" si="14"/>
        <v/>
      </c>
      <c r="Z154" s="22"/>
      <c r="AA154" s="22"/>
    </row>
    <row r="155" spans="1:27" ht="15" customHeight="1">
      <c r="A155" s="30"/>
      <c r="B155" s="31"/>
      <c r="C155" s="30"/>
      <c r="D155" s="30"/>
      <c r="E155" s="30"/>
      <c r="F155" s="32" t="str">
        <f t="shared" si="10"/>
        <v/>
      </c>
      <c r="G155" s="30"/>
      <c r="H155" s="30"/>
      <c r="I155" s="30"/>
      <c r="J155" s="32" t="str">
        <f t="shared" si="11"/>
        <v/>
      </c>
      <c r="K155" s="30" t="str">
        <f t="shared" si="12"/>
        <v/>
      </c>
      <c r="L155" s="30"/>
      <c r="M155" s="30"/>
      <c r="N155" s="22"/>
      <c r="O155" s="25"/>
      <c r="P155" s="26"/>
      <c r="Q155" s="22"/>
      <c r="R155" s="22"/>
      <c r="S155" s="22" t="str">
        <f t="shared" si="13"/>
        <v/>
      </c>
      <c r="T155" s="22" t="str">
        <f>IF(C155="","",IF(COUNTIF(tTQMReguliDoc[Cheie_regula],S155)&lt;&gt;1,"REGULA NECONFIGURATA",IF(COUNTIFS(tTQMReguliDoc[Cheie_regula],S155,tTQMReguliDoc[Stare],"Confirmata")=1,"Confirmata","De confirmat")))</f>
        <v/>
      </c>
      <c r="U155" s="22">
        <f>IF(OR(C155="",T155&lt;&gt;"Confirmata"),0,IF(COUNTIFS(tTQMReguliDoc[Cheie_regula],S155,tTQMReguliDoc[Aviz],"Da")=1,1,0))</f>
        <v>0</v>
      </c>
      <c r="V155" s="22">
        <f>IF(OR(C155="",T155&lt;&gt;"Confirmata"),0,IF(COUNTIFS(tTQMReguliDoc[Cheie_regula],S155,tTQMReguliDoc[Decl_conformitate],"Da")=1,1,0))</f>
        <v>0</v>
      </c>
      <c r="W155" s="22">
        <f>IF(OR(C155="",T155&lt;&gt;"Confirmata"),0,IF(COUNTIFS(tTQMReguliDoc[Cheie_regula],S155,tTQMReguliDoc[Decl_producator],"Da")=1,1,0))</f>
        <v>0</v>
      </c>
      <c r="X155" s="22">
        <f>IF(OR(C155="",T155&lt;&gt;"Confirmata"),0,IF(COUNTIFS(tTQMReguliDoc[Cheie_regula],S155,tTQMReguliDoc[Fise_tehnice],"Da")=1,1,0))</f>
        <v>0</v>
      </c>
      <c r="Y155" s="22" t="str">
        <f t="shared" si="14"/>
        <v/>
      </c>
      <c r="Z155" s="22"/>
      <c r="AA155" s="22"/>
    </row>
    <row r="156" spans="1:27" ht="15" customHeight="1">
      <c r="A156" s="30"/>
      <c r="B156" s="31"/>
      <c r="C156" s="30"/>
      <c r="D156" s="30"/>
      <c r="E156" s="30"/>
      <c r="F156" s="32" t="str">
        <f t="shared" si="10"/>
        <v/>
      </c>
      <c r="G156" s="30"/>
      <c r="H156" s="30"/>
      <c r="I156" s="30"/>
      <c r="J156" s="32" t="str">
        <f t="shared" si="11"/>
        <v/>
      </c>
      <c r="K156" s="30" t="str">
        <f t="shared" si="12"/>
        <v/>
      </c>
      <c r="L156" s="30"/>
      <c r="M156" s="30"/>
      <c r="N156" s="22"/>
      <c r="O156" s="25"/>
      <c r="P156" s="26"/>
      <c r="Q156" s="22"/>
      <c r="R156" s="22"/>
      <c r="S156" s="22" t="str">
        <f t="shared" si="13"/>
        <v/>
      </c>
      <c r="T156" s="22" t="str">
        <f>IF(C156="","",IF(COUNTIF(tTQMReguliDoc[Cheie_regula],S156)&lt;&gt;1,"REGULA NECONFIGURATA",IF(COUNTIFS(tTQMReguliDoc[Cheie_regula],S156,tTQMReguliDoc[Stare],"Confirmata")=1,"Confirmata","De confirmat")))</f>
        <v/>
      </c>
      <c r="U156" s="22">
        <f>IF(OR(C156="",T156&lt;&gt;"Confirmata"),0,IF(COUNTIFS(tTQMReguliDoc[Cheie_regula],S156,tTQMReguliDoc[Aviz],"Da")=1,1,0))</f>
        <v>0</v>
      </c>
      <c r="V156" s="22">
        <f>IF(OR(C156="",T156&lt;&gt;"Confirmata"),0,IF(COUNTIFS(tTQMReguliDoc[Cheie_regula],S156,tTQMReguliDoc[Decl_conformitate],"Da")=1,1,0))</f>
        <v>0</v>
      </c>
      <c r="W156" s="22">
        <f>IF(OR(C156="",T156&lt;&gt;"Confirmata"),0,IF(COUNTIFS(tTQMReguliDoc[Cheie_regula],S156,tTQMReguliDoc[Decl_producator],"Da")=1,1,0))</f>
        <v>0</v>
      </c>
      <c r="X156" s="22">
        <f>IF(OR(C156="",T156&lt;&gt;"Confirmata"),0,IF(COUNTIFS(tTQMReguliDoc[Cheie_regula],S156,tTQMReguliDoc[Fise_tehnice],"Da")=1,1,0))</f>
        <v>0</v>
      </c>
      <c r="Y156" s="22" t="str">
        <f t="shared" si="14"/>
        <v/>
      </c>
      <c r="Z156" s="22"/>
      <c r="AA156" s="22"/>
    </row>
    <row r="157" spans="1:27" ht="15" customHeight="1">
      <c r="A157" s="30"/>
      <c r="B157" s="31"/>
      <c r="C157" s="30"/>
      <c r="D157" s="30"/>
      <c r="E157" s="30"/>
      <c r="F157" s="32" t="str">
        <f t="shared" si="10"/>
        <v/>
      </c>
      <c r="G157" s="30"/>
      <c r="H157" s="30"/>
      <c r="I157" s="30"/>
      <c r="J157" s="32" t="str">
        <f t="shared" si="11"/>
        <v/>
      </c>
      <c r="K157" s="30" t="str">
        <f t="shared" si="12"/>
        <v/>
      </c>
      <c r="L157" s="30"/>
      <c r="M157" s="30"/>
      <c r="N157" s="22"/>
      <c r="O157" s="25"/>
      <c r="P157" s="26"/>
      <c r="Q157" s="22"/>
      <c r="R157" s="22"/>
      <c r="S157" s="22" t="str">
        <f t="shared" si="13"/>
        <v/>
      </c>
      <c r="T157" s="22" t="str">
        <f>IF(C157="","",IF(COUNTIF(tTQMReguliDoc[Cheie_regula],S157)&lt;&gt;1,"REGULA NECONFIGURATA",IF(COUNTIFS(tTQMReguliDoc[Cheie_regula],S157,tTQMReguliDoc[Stare],"Confirmata")=1,"Confirmata","De confirmat")))</f>
        <v/>
      </c>
      <c r="U157" s="22">
        <f>IF(OR(C157="",T157&lt;&gt;"Confirmata"),0,IF(COUNTIFS(tTQMReguliDoc[Cheie_regula],S157,tTQMReguliDoc[Aviz],"Da")=1,1,0))</f>
        <v>0</v>
      </c>
      <c r="V157" s="22">
        <f>IF(OR(C157="",T157&lt;&gt;"Confirmata"),0,IF(COUNTIFS(tTQMReguliDoc[Cheie_regula],S157,tTQMReguliDoc[Decl_conformitate],"Da")=1,1,0))</f>
        <v>0</v>
      </c>
      <c r="W157" s="22">
        <f>IF(OR(C157="",T157&lt;&gt;"Confirmata"),0,IF(COUNTIFS(tTQMReguliDoc[Cheie_regula],S157,tTQMReguliDoc[Decl_producator],"Da")=1,1,0))</f>
        <v>0</v>
      </c>
      <c r="X157" s="22">
        <f>IF(OR(C157="",T157&lt;&gt;"Confirmata"),0,IF(COUNTIFS(tTQMReguliDoc[Cheie_regula],S157,tTQMReguliDoc[Fise_tehnice],"Da")=1,1,0))</f>
        <v>0</v>
      </c>
      <c r="Y157" s="22" t="str">
        <f t="shared" si="14"/>
        <v/>
      </c>
      <c r="Z157" s="22"/>
      <c r="AA157" s="22"/>
    </row>
    <row r="158" spans="1:27" ht="15" customHeight="1">
      <c r="A158" s="30"/>
      <c r="B158" s="31"/>
      <c r="C158" s="30"/>
      <c r="D158" s="30"/>
      <c r="E158" s="30"/>
      <c r="F158" s="32" t="str">
        <f t="shared" si="10"/>
        <v/>
      </c>
      <c r="G158" s="30"/>
      <c r="H158" s="30"/>
      <c r="I158" s="30"/>
      <c r="J158" s="32" t="str">
        <f t="shared" si="11"/>
        <v/>
      </c>
      <c r="K158" s="30" t="str">
        <f t="shared" si="12"/>
        <v/>
      </c>
      <c r="L158" s="30"/>
      <c r="M158" s="30"/>
      <c r="N158" s="22"/>
      <c r="O158" s="25"/>
      <c r="P158" s="26"/>
      <c r="Q158" s="22"/>
      <c r="R158" s="22"/>
      <c r="S158" s="22" t="str">
        <f t="shared" si="13"/>
        <v/>
      </c>
      <c r="T158" s="22" t="str">
        <f>IF(C158="","",IF(COUNTIF(tTQMReguliDoc[Cheie_regula],S158)&lt;&gt;1,"REGULA NECONFIGURATA",IF(COUNTIFS(tTQMReguliDoc[Cheie_regula],S158,tTQMReguliDoc[Stare],"Confirmata")=1,"Confirmata","De confirmat")))</f>
        <v/>
      </c>
      <c r="U158" s="22">
        <f>IF(OR(C158="",T158&lt;&gt;"Confirmata"),0,IF(COUNTIFS(tTQMReguliDoc[Cheie_regula],S158,tTQMReguliDoc[Aviz],"Da")=1,1,0))</f>
        <v>0</v>
      </c>
      <c r="V158" s="22">
        <f>IF(OR(C158="",T158&lt;&gt;"Confirmata"),0,IF(COUNTIFS(tTQMReguliDoc[Cheie_regula],S158,tTQMReguliDoc[Decl_conformitate],"Da")=1,1,0))</f>
        <v>0</v>
      </c>
      <c r="W158" s="22">
        <f>IF(OR(C158="",T158&lt;&gt;"Confirmata"),0,IF(COUNTIFS(tTQMReguliDoc[Cheie_regula],S158,tTQMReguliDoc[Decl_producator],"Da")=1,1,0))</f>
        <v>0</v>
      </c>
      <c r="X158" s="22">
        <f>IF(OR(C158="",T158&lt;&gt;"Confirmata"),0,IF(COUNTIFS(tTQMReguliDoc[Cheie_regula],S158,tTQMReguliDoc[Fise_tehnice],"Da")=1,1,0))</f>
        <v>0</v>
      </c>
      <c r="Y158" s="22" t="str">
        <f t="shared" si="14"/>
        <v/>
      </c>
      <c r="Z158" s="22"/>
      <c r="AA158" s="22"/>
    </row>
    <row r="159" spans="1:27" ht="15" customHeight="1">
      <c r="A159" s="30"/>
      <c r="B159" s="31"/>
      <c r="C159" s="30"/>
      <c r="D159" s="30"/>
      <c r="E159" s="30"/>
      <c r="F159" s="32" t="str">
        <f t="shared" si="10"/>
        <v/>
      </c>
      <c r="G159" s="30"/>
      <c r="H159" s="30"/>
      <c r="I159" s="30"/>
      <c r="J159" s="32" t="str">
        <f t="shared" si="11"/>
        <v/>
      </c>
      <c r="K159" s="30" t="str">
        <f t="shared" si="12"/>
        <v/>
      </c>
      <c r="L159" s="30"/>
      <c r="M159" s="30"/>
      <c r="N159" s="22"/>
      <c r="O159" s="25"/>
      <c r="P159" s="26"/>
      <c r="Q159" s="22"/>
      <c r="R159" s="22"/>
      <c r="S159" s="22" t="str">
        <f t="shared" si="13"/>
        <v/>
      </c>
      <c r="T159" s="22" t="str">
        <f>IF(C159="","",IF(COUNTIF(tTQMReguliDoc[Cheie_regula],S159)&lt;&gt;1,"REGULA NECONFIGURATA",IF(COUNTIFS(tTQMReguliDoc[Cheie_regula],S159,tTQMReguliDoc[Stare],"Confirmata")=1,"Confirmata","De confirmat")))</f>
        <v/>
      </c>
      <c r="U159" s="22">
        <f>IF(OR(C159="",T159&lt;&gt;"Confirmata"),0,IF(COUNTIFS(tTQMReguliDoc[Cheie_regula],S159,tTQMReguliDoc[Aviz],"Da")=1,1,0))</f>
        <v>0</v>
      </c>
      <c r="V159" s="22">
        <f>IF(OR(C159="",T159&lt;&gt;"Confirmata"),0,IF(COUNTIFS(tTQMReguliDoc[Cheie_regula],S159,tTQMReguliDoc[Decl_conformitate],"Da")=1,1,0))</f>
        <v>0</v>
      </c>
      <c r="W159" s="22">
        <f>IF(OR(C159="",T159&lt;&gt;"Confirmata"),0,IF(COUNTIFS(tTQMReguliDoc[Cheie_regula],S159,tTQMReguliDoc[Decl_producator],"Da")=1,1,0))</f>
        <v>0</v>
      </c>
      <c r="X159" s="22">
        <f>IF(OR(C159="",T159&lt;&gt;"Confirmata"),0,IF(COUNTIFS(tTQMReguliDoc[Cheie_regula],S159,tTQMReguliDoc[Fise_tehnice],"Da")=1,1,0))</f>
        <v>0</v>
      </c>
      <c r="Y159" s="22" t="str">
        <f t="shared" si="14"/>
        <v/>
      </c>
      <c r="Z159" s="22"/>
      <c r="AA159" s="22"/>
    </row>
    <row r="160" spans="1:27" ht="15" customHeight="1">
      <c r="A160" s="30"/>
      <c r="B160" s="31"/>
      <c r="C160" s="30"/>
      <c r="D160" s="30"/>
      <c r="E160" s="30"/>
      <c r="F160" s="32" t="str">
        <f t="shared" si="10"/>
        <v/>
      </c>
      <c r="G160" s="30"/>
      <c r="H160" s="30"/>
      <c r="I160" s="30"/>
      <c r="J160" s="32" t="str">
        <f t="shared" si="11"/>
        <v/>
      </c>
      <c r="K160" s="30" t="str">
        <f t="shared" si="12"/>
        <v/>
      </c>
      <c r="L160" s="30"/>
      <c r="M160" s="30"/>
      <c r="N160" s="22"/>
      <c r="O160" s="25"/>
      <c r="P160" s="26"/>
      <c r="Q160" s="22"/>
      <c r="R160" s="22"/>
      <c r="S160" s="22" t="str">
        <f t="shared" si="13"/>
        <v/>
      </c>
      <c r="T160" s="22" t="str">
        <f>IF(C160="","",IF(COUNTIF(tTQMReguliDoc[Cheie_regula],S160)&lt;&gt;1,"REGULA NECONFIGURATA",IF(COUNTIFS(tTQMReguliDoc[Cheie_regula],S160,tTQMReguliDoc[Stare],"Confirmata")=1,"Confirmata","De confirmat")))</f>
        <v/>
      </c>
      <c r="U160" s="22">
        <f>IF(OR(C160="",T160&lt;&gt;"Confirmata"),0,IF(COUNTIFS(tTQMReguliDoc[Cheie_regula],S160,tTQMReguliDoc[Aviz],"Da")=1,1,0))</f>
        <v>0</v>
      </c>
      <c r="V160" s="22">
        <f>IF(OR(C160="",T160&lt;&gt;"Confirmata"),0,IF(COUNTIFS(tTQMReguliDoc[Cheie_regula],S160,tTQMReguliDoc[Decl_conformitate],"Da")=1,1,0))</f>
        <v>0</v>
      </c>
      <c r="W160" s="22">
        <f>IF(OR(C160="",T160&lt;&gt;"Confirmata"),0,IF(COUNTIFS(tTQMReguliDoc[Cheie_regula],S160,tTQMReguliDoc[Decl_producator],"Da")=1,1,0))</f>
        <v>0</v>
      </c>
      <c r="X160" s="22">
        <f>IF(OR(C160="",T160&lt;&gt;"Confirmata"),0,IF(COUNTIFS(tTQMReguliDoc[Cheie_regula],S160,tTQMReguliDoc[Fise_tehnice],"Da")=1,1,0))</f>
        <v>0</v>
      </c>
      <c r="Y160" s="22" t="str">
        <f t="shared" si="14"/>
        <v/>
      </c>
      <c r="Z160" s="22"/>
      <c r="AA160" s="22"/>
    </row>
    <row r="161" spans="1:27" ht="15" customHeight="1">
      <c r="A161" s="30"/>
      <c r="B161" s="31"/>
      <c r="C161" s="30"/>
      <c r="D161" s="30"/>
      <c r="E161" s="30"/>
      <c r="F161" s="32" t="str">
        <f t="shared" si="10"/>
        <v/>
      </c>
      <c r="G161" s="30"/>
      <c r="H161" s="30"/>
      <c r="I161" s="30"/>
      <c r="J161" s="32" t="str">
        <f t="shared" si="11"/>
        <v/>
      </c>
      <c r="K161" s="30" t="str">
        <f t="shared" si="12"/>
        <v/>
      </c>
      <c r="L161" s="30"/>
      <c r="M161" s="30"/>
      <c r="N161" s="22"/>
      <c r="O161" s="25"/>
      <c r="P161" s="26"/>
      <c r="Q161" s="22"/>
      <c r="R161" s="22"/>
      <c r="S161" s="22" t="str">
        <f t="shared" si="13"/>
        <v/>
      </c>
      <c r="T161" s="22" t="str">
        <f>IF(C161="","",IF(COUNTIF(tTQMReguliDoc[Cheie_regula],S161)&lt;&gt;1,"REGULA NECONFIGURATA",IF(COUNTIFS(tTQMReguliDoc[Cheie_regula],S161,tTQMReguliDoc[Stare],"Confirmata")=1,"Confirmata","De confirmat")))</f>
        <v/>
      </c>
      <c r="U161" s="22">
        <f>IF(OR(C161="",T161&lt;&gt;"Confirmata"),0,IF(COUNTIFS(tTQMReguliDoc[Cheie_regula],S161,tTQMReguliDoc[Aviz],"Da")=1,1,0))</f>
        <v>0</v>
      </c>
      <c r="V161" s="22">
        <f>IF(OR(C161="",T161&lt;&gt;"Confirmata"),0,IF(COUNTIFS(tTQMReguliDoc[Cheie_regula],S161,tTQMReguliDoc[Decl_conformitate],"Da")=1,1,0))</f>
        <v>0</v>
      </c>
      <c r="W161" s="22">
        <f>IF(OR(C161="",T161&lt;&gt;"Confirmata"),0,IF(COUNTIFS(tTQMReguliDoc[Cheie_regula],S161,tTQMReguliDoc[Decl_producator],"Da")=1,1,0))</f>
        <v>0</v>
      </c>
      <c r="X161" s="22">
        <f>IF(OR(C161="",T161&lt;&gt;"Confirmata"),0,IF(COUNTIFS(tTQMReguliDoc[Cheie_regula],S161,tTQMReguliDoc[Fise_tehnice],"Da")=1,1,0))</f>
        <v>0</v>
      </c>
      <c r="Y161" s="22" t="str">
        <f t="shared" si="14"/>
        <v/>
      </c>
      <c r="Z161" s="22"/>
      <c r="AA161" s="22"/>
    </row>
    <row r="162" spans="1:27" ht="15" customHeight="1">
      <c r="A162" s="30"/>
      <c r="B162" s="31"/>
      <c r="C162" s="30"/>
      <c r="D162" s="30"/>
      <c r="E162" s="30"/>
      <c r="F162" s="32" t="str">
        <f t="shared" si="10"/>
        <v/>
      </c>
      <c r="G162" s="30"/>
      <c r="H162" s="30"/>
      <c r="I162" s="30"/>
      <c r="J162" s="32" t="str">
        <f t="shared" si="11"/>
        <v/>
      </c>
      <c r="K162" s="30" t="str">
        <f t="shared" si="12"/>
        <v/>
      </c>
      <c r="L162" s="30"/>
      <c r="M162" s="30"/>
      <c r="N162" s="22"/>
      <c r="O162" s="25"/>
      <c r="P162" s="26"/>
      <c r="Q162" s="22"/>
      <c r="R162" s="22"/>
      <c r="S162" s="22" t="str">
        <f t="shared" si="13"/>
        <v/>
      </c>
      <c r="T162" s="22" t="str">
        <f>IF(C162="","",IF(COUNTIF(tTQMReguliDoc[Cheie_regula],S162)&lt;&gt;1,"REGULA NECONFIGURATA",IF(COUNTIFS(tTQMReguliDoc[Cheie_regula],S162,tTQMReguliDoc[Stare],"Confirmata")=1,"Confirmata","De confirmat")))</f>
        <v/>
      </c>
      <c r="U162" s="22">
        <f>IF(OR(C162="",T162&lt;&gt;"Confirmata"),0,IF(COUNTIFS(tTQMReguliDoc[Cheie_regula],S162,tTQMReguliDoc[Aviz],"Da")=1,1,0))</f>
        <v>0</v>
      </c>
      <c r="V162" s="22">
        <f>IF(OR(C162="",T162&lt;&gt;"Confirmata"),0,IF(COUNTIFS(tTQMReguliDoc[Cheie_regula],S162,tTQMReguliDoc[Decl_conformitate],"Da")=1,1,0))</f>
        <v>0</v>
      </c>
      <c r="W162" s="22">
        <f>IF(OR(C162="",T162&lt;&gt;"Confirmata"),0,IF(COUNTIFS(tTQMReguliDoc[Cheie_regula],S162,tTQMReguliDoc[Decl_producator],"Da")=1,1,0))</f>
        <v>0</v>
      </c>
      <c r="X162" s="22">
        <f>IF(OR(C162="",T162&lt;&gt;"Confirmata"),0,IF(COUNTIFS(tTQMReguliDoc[Cheie_regula],S162,tTQMReguliDoc[Fise_tehnice],"Da")=1,1,0))</f>
        <v>0</v>
      </c>
      <c r="Y162" s="22" t="str">
        <f t="shared" si="14"/>
        <v/>
      </c>
      <c r="Z162" s="22"/>
      <c r="AA162" s="22"/>
    </row>
    <row r="163" spans="1:27" ht="15" customHeight="1">
      <c r="A163" s="30"/>
      <c r="B163" s="31"/>
      <c r="C163" s="30"/>
      <c r="D163" s="30"/>
      <c r="E163" s="30"/>
      <c r="F163" s="32" t="str">
        <f t="shared" si="10"/>
        <v/>
      </c>
      <c r="G163" s="30"/>
      <c r="H163" s="30"/>
      <c r="I163" s="30"/>
      <c r="J163" s="32" t="str">
        <f t="shared" si="11"/>
        <v/>
      </c>
      <c r="K163" s="30" t="str">
        <f t="shared" si="12"/>
        <v/>
      </c>
      <c r="L163" s="30"/>
      <c r="M163" s="30"/>
      <c r="N163" s="22"/>
      <c r="O163" s="25"/>
      <c r="P163" s="26"/>
      <c r="Q163" s="22"/>
      <c r="R163" s="22"/>
      <c r="S163" s="22" t="str">
        <f t="shared" si="13"/>
        <v/>
      </c>
      <c r="T163" s="22" t="str">
        <f>IF(C163="","",IF(COUNTIF(tTQMReguliDoc[Cheie_regula],S163)&lt;&gt;1,"REGULA NECONFIGURATA",IF(COUNTIFS(tTQMReguliDoc[Cheie_regula],S163,tTQMReguliDoc[Stare],"Confirmata")=1,"Confirmata","De confirmat")))</f>
        <v/>
      </c>
      <c r="U163" s="22">
        <f>IF(OR(C163="",T163&lt;&gt;"Confirmata"),0,IF(COUNTIFS(tTQMReguliDoc[Cheie_regula],S163,tTQMReguliDoc[Aviz],"Da")=1,1,0))</f>
        <v>0</v>
      </c>
      <c r="V163" s="22">
        <f>IF(OR(C163="",T163&lt;&gt;"Confirmata"),0,IF(COUNTIFS(tTQMReguliDoc[Cheie_regula],S163,tTQMReguliDoc[Decl_conformitate],"Da")=1,1,0))</f>
        <v>0</v>
      </c>
      <c r="W163" s="22">
        <f>IF(OR(C163="",T163&lt;&gt;"Confirmata"),0,IF(COUNTIFS(tTQMReguliDoc[Cheie_regula],S163,tTQMReguliDoc[Decl_producator],"Da")=1,1,0))</f>
        <v>0</v>
      </c>
      <c r="X163" s="22">
        <f>IF(OR(C163="",T163&lt;&gt;"Confirmata"),0,IF(COUNTIFS(tTQMReguliDoc[Cheie_regula],S163,tTQMReguliDoc[Fise_tehnice],"Da")=1,1,0))</f>
        <v>0</v>
      </c>
      <c r="Y163" s="22" t="str">
        <f t="shared" si="14"/>
        <v/>
      </c>
      <c r="Z163" s="22"/>
      <c r="AA163" s="22"/>
    </row>
    <row r="164" spans="1:27" ht="15" customHeight="1">
      <c r="A164" s="30"/>
      <c r="B164" s="31"/>
      <c r="C164" s="30"/>
      <c r="D164" s="30"/>
      <c r="E164" s="30"/>
      <c r="F164" s="32" t="str">
        <f t="shared" si="10"/>
        <v/>
      </c>
      <c r="G164" s="30"/>
      <c r="H164" s="30"/>
      <c r="I164" s="30"/>
      <c r="J164" s="32" t="str">
        <f t="shared" si="11"/>
        <v/>
      </c>
      <c r="K164" s="30" t="str">
        <f t="shared" si="12"/>
        <v/>
      </c>
      <c r="L164" s="30"/>
      <c r="M164" s="30"/>
      <c r="N164" s="22"/>
      <c r="O164" s="25"/>
      <c r="P164" s="26"/>
      <c r="Q164" s="22"/>
      <c r="R164" s="22"/>
      <c r="S164" s="22" t="str">
        <f t="shared" si="13"/>
        <v/>
      </c>
      <c r="T164" s="22" t="str">
        <f>IF(C164="","",IF(COUNTIF(tTQMReguliDoc[Cheie_regula],S164)&lt;&gt;1,"REGULA NECONFIGURATA",IF(COUNTIFS(tTQMReguliDoc[Cheie_regula],S164,tTQMReguliDoc[Stare],"Confirmata")=1,"Confirmata","De confirmat")))</f>
        <v/>
      </c>
      <c r="U164" s="22">
        <f>IF(OR(C164="",T164&lt;&gt;"Confirmata"),0,IF(COUNTIFS(tTQMReguliDoc[Cheie_regula],S164,tTQMReguliDoc[Aviz],"Da")=1,1,0))</f>
        <v>0</v>
      </c>
      <c r="V164" s="22">
        <f>IF(OR(C164="",T164&lt;&gt;"Confirmata"),0,IF(COUNTIFS(tTQMReguliDoc[Cheie_regula],S164,tTQMReguliDoc[Decl_conformitate],"Da")=1,1,0))</f>
        <v>0</v>
      </c>
      <c r="W164" s="22">
        <f>IF(OR(C164="",T164&lt;&gt;"Confirmata"),0,IF(COUNTIFS(tTQMReguliDoc[Cheie_regula],S164,tTQMReguliDoc[Decl_producator],"Da")=1,1,0))</f>
        <v>0</v>
      </c>
      <c r="X164" s="22">
        <f>IF(OR(C164="",T164&lt;&gt;"Confirmata"),0,IF(COUNTIFS(tTQMReguliDoc[Cheie_regula],S164,tTQMReguliDoc[Fise_tehnice],"Da")=1,1,0))</f>
        <v>0</v>
      </c>
      <c r="Y164" s="22" t="str">
        <f t="shared" si="14"/>
        <v/>
      </c>
      <c r="Z164" s="22"/>
      <c r="AA164" s="22"/>
    </row>
    <row r="165" spans="1:27" ht="15" customHeight="1">
      <c r="A165" s="30"/>
      <c r="B165" s="31"/>
      <c r="C165" s="30"/>
      <c r="D165" s="30"/>
      <c r="E165" s="30"/>
      <c r="F165" s="32" t="str">
        <f t="shared" si="10"/>
        <v/>
      </c>
      <c r="G165" s="30"/>
      <c r="H165" s="30"/>
      <c r="I165" s="30"/>
      <c r="J165" s="32" t="str">
        <f t="shared" si="11"/>
        <v/>
      </c>
      <c r="K165" s="30" t="str">
        <f t="shared" si="12"/>
        <v/>
      </c>
      <c r="L165" s="30"/>
      <c r="M165" s="30"/>
      <c r="N165" s="22"/>
      <c r="O165" s="25"/>
      <c r="P165" s="26"/>
      <c r="Q165" s="22"/>
      <c r="R165" s="22"/>
      <c r="S165" s="22" t="str">
        <f t="shared" si="13"/>
        <v/>
      </c>
      <c r="T165" s="22" t="str">
        <f>IF(C165="","",IF(COUNTIF(tTQMReguliDoc[Cheie_regula],S165)&lt;&gt;1,"REGULA NECONFIGURATA",IF(COUNTIFS(tTQMReguliDoc[Cheie_regula],S165,tTQMReguliDoc[Stare],"Confirmata")=1,"Confirmata","De confirmat")))</f>
        <v/>
      </c>
      <c r="U165" s="22">
        <f>IF(OR(C165="",T165&lt;&gt;"Confirmata"),0,IF(COUNTIFS(tTQMReguliDoc[Cheie_regula],S165,tTQMReguliDoc[Aviz],"Da")=1,1,0))</f>
        <v>0</v>
      </c>
      <c r="V165" s="22">
        <f>IF(OR(C165="",T165&lt;&gt;"Confirmata"),0,IF(COUNTIFS(tTQMReguliDoc[Cheie_regula],S165,tTQMReguliDoc[Decl_conformitate],"Da")=1,1,0))</f>
        <v>0</v>
      </c>
      <c r="W165" s="22">
        <f>IF(OR(C165="",T165&lt;&gt;"Confirmata"),0,IF(COUNTIFS(tTQMReguliDoc[Cheie_regula],S165,tTQMReguliDoc[Decl_producator],"Da")=1,1,0))</f>
        <v>0</v>
      </c>
      <c r="X165" s="22">
        <f>IF(OR(C165="",T165&lt;&gt;"Confirmata"),0,IF(COUNTIFS(tTQMReguliDoc[Cheie_regula],S165,tTQMReguliDoc[Fise_tehnice],"Da")=1,1,0))</f>
        <v>0</v>
      </c>
      <c r="Y165" s="22" t="str">
        <f t="shared" si="14"/>
        <v/>
      </c>
      <c r="Z165" s="22"/>
      <c r="AA165" s="22"/>
    </row>
    <row r="166" spans="1:27" ht="15" customHeight="1">
      <c r="A166" s="30"/>
      <c r="B166" s="31"/>
      <c r="C166" s="30"/>
      <c r="D166" s="30"/>
      <c r="E166" s="30"/>
      <c r="F166" s="32" t="str">
        <f t="shared" si="10"/>
        <v/>
      </c>
      <c r="G166" s="30"/>
      <c r="H166" s="30"/>
      <c r="I166" s="30"/>
      <c r="J166" s="32" t="str">
        <f t="shared" si="11"/>
        <v/>
      </c>
      <c r="K166" s="30" t="str">
        <f t="shared" si="12"/>
        <v/>
      </c>
      <c r="L166" s="30"/>
      <c r="M166" s="30"/>
      <c r="N166" s="22"/>
      <c r="O166" s="25"/>
      <c r="P166" s="26"/>
      <c r="Q166" s="22"/>
      <c r="R166" s="22"/>
      <c r="S166" s="22" t="str">
        <f t="shared" si="13"/>
        <v/>
      </c>
      <c r="T166" s="22" t="str">
        <f>IF(C166="","",IF(COUNTIF(tTQMReguliDoc[Cheie_regula],S166)&lt;&gt;1,"REGULA NECONFIGURATA",IF(COUNTIFS(tTQMReguliDoc[Cheie_regula],S166,tTQMReguliDoc[Stare],"Confirmata")=1,"Confirmata","De confirmat")))</f>
        <v/>
      </c>
      <c r="U166" s="22">
        <f>IF(OR(C166="",T166&lt;&gt;"Confirmata"),0,IF(COUNTIFS(tTQMReguliDoc[Cheie_regula],S166,tTQMReguliDoc[Aviz],"Da")=1,1,0))</f>
        <v>0</v>
      </c>
      <c r="V166" s="22">
        <f>IF(OR(C166="",T166&lt;&gt;"Confirmata"),0,IF(COUNTIFS(tTQMReguliDoc[Cheie_regula],S166,tTQMReguliDoc[Decl_conformitate],"Da")=1,1,0))</f>
        <v>0</v>
      </c>
      <c r="W166" s="22">
        <f>IF(OR(C166="",T166&lt;&gt;"Confirmata"),0,IF(COUNTIFS(tTQMReguliDoc[Cheie_regula],S166,tTQMReguliDoc[Decl_producator],"Da")=1,1,0))</f>
        <v>0</v>
      </c>
      <c r="X166" s="22">
        <f>IF(OR(C166="",T166&lt;&gt;"Confirmata"),0,IF(COUNTIFS(tTQMReguliDoc[Cheie_regula],S166,tTQMReguliDoc[Fise_tehnice],"Da")=1,1,0))</f>
        <v>0</v>
      </c>
      <c r="Y166" s="22" t="str">
        <f t="shared" si="14"/>
        <v/>
      </c>
      <c r="Z166" s="22"/>
      <c r="AA166" s="22"/>
    </row>
    <row r="167" spans="1:27" ht="15" customHeight="1">
      <c r="A167" s="30"/>
      <c r="B167" s="31"/>
      <c r="C167" s="30"/>
      <c r="D167" s="30"/>
      <c r="E167" s="30"/>
      <c r="F167" s="32" t="str">
        <f t="shared" si="10"/>
        <v/>
      </c>
      <c r="G167" s="30"/>
      <c r="H167" s="30"/>
      <c r="I167" s="30"/>
      <c r="J167" s="32" t="str">
        <f t="shared" si="11"/>
        <v/>
      </c>
      <c r="K167" s="30" t="str">
        <f t="shared" si="12"/>
        <v/>
      </c>
      <c r="L167" s="30"/>
      <c r="M167" s="30"/>
      <c r="N167" s="22"/>
      <c r="O167" s="25"/>
      <c r="P167" s="26"/>
      <c r="Q167" s="22"/>
      <c r="R167" s="22"/>
      <c r="S167" s="22" t="str">
        <f t="shared" si="13"/>
        <v/>
      </c>
      <c r="T167" s="22" t="str">
        <f>IF(C167="","",IF(COUNTIF(tTQMReguliDoc[Cheie_regula],S167)&lt;&gt;1,"REGULA NECONFIGURATA",IF(COUNTIFS(tTQMReguliDoc[Cheie_regula],S167,tTQMReguliDoc[Stare],"Confirmata")=1,"Confirmata","De confirmat")))</f>
        <v/>
      </c>
      <c r="U167" s="22">
        <f>IF(OR(C167="",T167&lt;&gt;"Confirmata"),0,IF(COUNTIFS(tTQMReguliDoc[Cheie_regula],S167,tTQMReguliDoc[Aviz],"Da")=1,1,0))</f>
        <v>0</v>
      </c>
      <c r="V167" s="22">
        <f>IF(OR(C167="",T167&lt;&gt;"Confirmata"),0,IF(COUNTIFS(tTQMReguliDoc[Cheie_regula],S167,tTQMReguliDoc[Decl_conformitate],"Da")=1,1,0))</f>
        <v>0</v>
      </c>
      <c r="W167" s="22">
        <f>IF(OR(C167="",T167&lt;&gt;"Confirmata"),0,IF(COUNTIFS(tTQMReguliDoc[Cheie_regula],S167,tTQMReguliDoc[Decl_producator],"Da")=1,1,0))</f>
        <v>0</v>
      </c>
      <c r="X167" s="22">
        <f>IF(OR(C167="",T167&lt;&gt;"Confirmata"),0,IF(COUNTIFS(tTQMReguliDoc[Cheie_regula],S167,tTQMReguliDoc[Fise_tehnice],"Da")=1,1,0))</f>
        <v>0</v>
      </c>
      <c r="Y167" s="22" t="str">
        <f t="shared" si="14"/>
        <v/>
      </c>
      <c r="Z167" s="22"/>
      <c r="AA167" s="22"/>
    </row>
    <row r="168" spans="1:27" ht="15" customHeight="1">
      <c r="A168" s="30"/>
      <c r="B168" s="31"/>
      <c r="C168" s="30"/>
      <c r="D168" s="30"/>
      <c r="E168" s="30"/>
      <c r="F168" s="32" t="str">
        <f t="shared" si="10"/>
        <v/>
      </c>
      <c r="G168" s="30"/>
      <c r="H168" s="30"/>
      <c r="I168" s="30"/>
      <c r="J168" s="32" t="str">
        <f t="shared" si="11"/>
        <v/>
      </c>
      <c r="K168" s="30" t="str">
        <f t="shared" si="12"/>
        <v/>
      </c>
      <c r="L168" s="30"/>
      <c r="M168" s="30"/>
      <c r="N168" s="22"/>
      <c r="O168" s="25"/>
      <c r="P168" s="26"/>
      <c r="Q168" s="22"/>
      <c r="R168" s="22"/>
      <c r="S168" s="22" t="str">
        <f t="shared" si="13"/>
        <v/>
      </c>
      <c r="T168" s="22" t="str">
        <f>IF(C168="","",IF(COUNTIF(tTQMReguliDoc[Cheie_regula],S168)&lt;&gt;1,"REGULA NECONFIGURATA",IF(COUNTIFS(tTQMReguliDoc[Cheie_regula],S168,tTQMReguliDoc[Stare],"Confirmata")=1,"Confirmata","De confirmat")))</f>
        <v/>
      </c>
      <c r="U168" s="22">
        <f>IF(OR(C168="",T168&lt;&gt;"Confirmata"),0,IF(COUNTIFS(tTQMReguliDoc[Cheie_regula],S168,tTQMReguliDoc[Aviz],"Da")=1,1,0))</f>
        <v>0</v>
      </c>
      <c r="V168" s="22">
        <f>IF(OR(C168="",T168&lt;&gt;"Confirmata"),0,IF(COUNTIFS(tTQMReguliDoc[Cheie_regula],S168,tTQMReguliDoc[Decl_conformitate],"Da")=1,1,0))</f>
        <v>0</v>
      </c>
      <c r="W168" s="22">
        <f>IF(OR(C168="",T168&lt;&gt;"Confirmata"),0,IF(COUNTIFS(tTQMReguliDoc[Cheie_regula],S168,tTQMReguliDoc[Decl_producator],"Da")=1,1,0))</f>
        <v>0</v>
      </c>
      <c r="X168" s="22">
        <f>IF(OR(C168="",T168&lt;&gt;"Confirmata"),0,IF(COUNTIFS(tTQMReguliDoc[Cheie_regula],S168,tTQMReguliDoc[Fise_tehnice],"Da")=1,1,0))</f>
        <v>0</v>
      </c>
      <c r="Y168" s="22" t="str">
        <f t="shared" si="14"/>
        <v/>
      </c>
      <c r="Z168" s="22"/>
      <c r="AA168" s="22"/>
    </row>
    <row r="169" spans="1:27" ht="15" customHeight="1">
      <c r="A169" s="30"/>
      <c r="B169" s="31"/>
      <c r="C169" s="30"/>
      <c r="D169" s="30"/>
      <c r="E169" s="30"/>
      <c r="F169" s="32" t="str">
        <f t="shared" si="10"/>
        <v/>
      </c>
      <c r="G169" s="30"/>
      <c r="H169" s="30"/>
      <c r="I169" s="30"/>
      <c r="J169" s="32" t="str">
        <f t="shared" si="11"/>
        <v/>
      </c>
      <c r="K169" s="30" t="str">
        <f t="shared" si="12"/>
        <v/>
      </c>
      <c r="L169" s="30"/>
      <c r="M169" s="30"/>
      <c r="N169" s="22"/>
      <c r="O169" s="25"/>
      <c r="P169" s="26"/>
      <c r="Q169" s="22"/>
      <c r="R169" s="22"/>
      <c r="S169" s="22" t="str">
        <f t="shared" si="13"/>
        <v/>
      </c>
      <c r="T169" s="22" t="str">
        <f>IF(C169="","",IF(COUNTIF(tTQMReguliDoc[Cheie_regula],S169)&lt;&gt;1,"REGULA NECONFIGURATA",IF(COUNTIFS(tTQMReguliDoc[Cheie_regula],S169,tTQMReguliDoc[Stare],"Confirmata")=1,"Confirmata","De confirmat")))</f>
        <v/>
      </c>
      <c r="U169" s="22">
        <f>IF(OR(C169="",T169&lt;&gt;"Confirmata"),0,IF(COUNTIFS(tTQMReguliDoc[Cheie_regula],S169,tTQMReguliDoc[Aviz],"Da")=1,1,0))</f>
        <v>0</v>
      </c>
      <c r="V169" s="22">
        <f>IF(OR(C169="",T169&lt;&gt;"Confirmata"),0,IF(COUNTIFS(tTQMReguliDoc[Cheie_regula],S169,tTQMReguliDoc[Decl_conformitate],"Da")=1,1,0))</f>
        <v>0</v>
      </c>
      <c r="W169" s="22">
        <f>IF(OR(C169="",T169&lt;&gt;"Confirmata"),0,IF(COUNTIFS(tTQMReguliDoc[Cheie_regula],S169,tTQMReguliDoc[Decl_producator],"Da")=1,1,0))</f>
        <v>0</v>
      </c>
      <c r="X169" s="22">
        <f>IF(OR(C169="",T169&lt;&gt;"Confirmata"),0,IF(COUNTIFS(tTQMReguliDoc[Cheie_regula],S169,tTQMReguliDoc[Fise_tehnice],"Da")=1,1,0))</f>
        <v>0</v>
      </c>
      <c r="Y169" s="22" t="str">
        <f t="shared" si="14"/>
        <v/>
      </c>
      <c r="Z169" s="22"/>
      <c r="AA169" s="22"/>
    </row>
    <row r="170" spans="1:27" ht="15" customHeight="1">
      <c r="A170" s="30"/>
      <c r="B170" s="31"/>
      <c r="C170" s="30"/>
      <c r="D170" s="30"/>
      <c r="E170" s="30"/>
      <c r="F170" s="32" t="str">
        <f t="shared" si="10"/>
        <v/>
      </c>
      <c r="G170" s="30"/>
      <c r="H170" s="30"/>
      <c r="I170" s="30"/>
      <c r="J170" s="32" t="str">
        <f t="shared" si="11"/>
        <v/>
      </c>
      <c r="K170" s="30" t="str">
        <f t="shared" si="12"/>
        <v/>
      </c>
      <c r="L170" s="30"/>
      <c r="M170" s="30"/>
      <c r="N170" s="22"/>
      <c r="O170" s="25"/>
      <c r="P170" s="26"/>
      <c r="Q170" s="22"/>
      <c r="R170" s="22"/>
      <c r="S170" s="22" t="str">
        <f t="shared" si="13"/>
        <v/>
      </c>
      <c r="T170" s="22" t="str">
        <f>IF(C170="","",IF(COUNTIF(tTQMReguliDoc[Cheie_regula],S170)&lt;&gt;1,"REGULA NECONFIGURATA",IF(COUNTIFS(tTQMReguliDoc[Cheie_regula],S170,tTQMReguliDoc[Stare],"Confirmata")=1,"Confirmata","De confirmat")))</f>
        <v/>
      </c>
      <c r="U170" s="22">
        <f>IF(OR(C170="",T170&lt;&gt;"Confirmata"),0,IF(COUNTIFS(tTQMReguliDoc[Cheie_regula],S170,tTQMReguliDoc[Aviz],"Da")=1,1,0))</f>
        <v>0</v>
      </c>
      <c r="V170" s="22">
        <f>IF(OR(C170="",T170&lt;&gt;"Confirmata"),0,IF(COUNTIFS(tTQMReguliDoc[Cheie_regula],S170,tTQMReguliDoc[Decl_conformitate],"Da")=1,1,0))</f>
        <v>0</v>
      </c>
      <c r="W170" s="22">
        <f>IF(OR(C170="",T170&lt;&gt;"Confirmata"),0,IF(COUNTIFS(tTQMReguliDoc[Cheie_regula],S170,tTQMReguliDoc[Decl_producator],"Da")=1,1,0))</f>
        <v>0</v>
      </c>
      <c r="X170" s="22">
        <f>IF(OR(C170="",T170&lt;&gt;"Confirmata"),0,IF(COUNTIFS(tTQMReguliDoc[Cheie_regula],S170,tTQMReguliDoc[Fise_tehnice],"Da")=1,1,0))</f>
        <v>0</v>
      </c>
      <c r="Y170" s="22" t="str">
        <f t="shared" si="14"/>
        <v/>
      </c>
      <c r="Z170" s="22"/>
      <c r="AA170" s="22"/>
    </row>
    <row r="171" spans="1:27" ht="15" customHeight="1">
      <c r="A171" s="30"/>
      <c r="B171" s="31"/>
      <c r="C171" s="30"/>
      <c r="D171" s="30"/>
      <c r="E171" s="30"/>
      <c r="F171" s="32" t="str">
        <f t="shared" si="10"/>
        <v/>
      </c>
      <c r="G171" s="30"/>
      <c r="H171" s="30"/>
      <c r="I171" s="30"/>
      <c r="J171" s="32" t="str">
        <f t="shared" si="11"/>
        <v/>
      </c>
      <c r="K171" s="30" t="str">
        <f t="shared" si="12"/>
        <v/>
      </c>
      <c r="L171" s="30"/>
      <c r="M171" s="30"/>
      <c r="N171" s="22"/>
      <c r="O171" s="25"/>
      <c r="P171" s="26"/>
      <c r="Q171" s="22"/>
      <c r="R171" s="22"/>
      <c r="S171" s="22" t="str">
        <f t="shared" si="13"/>
        <v/>
      </c>
      <c r="T171" s="22" t="str">
        <f>IF(C171="","",IF(COUNTIF(tTQMReguliDoc[Cheie_regula],S171)&lt;&gt;1,"REGULA NECONFIGURATA",IF(COUNTIFS(tTQMReguliDoc[Cheie_regula],S171,tTQMReguliDoc[Stare],"Confirmata")=1,"Confirmata","De confirmat")))</f>
        <v/>
      </c>
      <c r="U171" s="22">
        <f>IF(OR(C171="",T171&lt;&gt;"Confirmata"),0,IF(COUNTIFS(tTQMReguliDoc[Cheie_regula],S171,tTQMReguliDoc[Aviz],"Da")=1,1,0))</f>
        <v>0</v>
      </c>
      <c r="V171" s="22">
        <f>IF(OR(C171="",T171&lt;&gt;"Confirmata"),0,IF(COUNTIFS(tTQMReguliDoc[Cheie_regula],S171,tTQMReguliDoc[Decl_conformitate],"Da")=1,1,0))</f>
        <v>0</v>
      </c>
      <c r="W171" s="22">
        <f>IF(OR(C171="",T171&lt;&gt;"Confirmata"),0,IF(COUNTIFS(tTQMReguliDoc[Cheie_regula],S171,tTQMReguliDoc[Decl_producator],"Da")=1,1,0))</f>
        <v>0</v>
      </c>
      <c r="X171" s="22">
        <f>IF(OR(C171="",T171&lt;&gt;"Confirmata"),0,IF(COUNTIFS(tTQMReguliDoc[Cheie_regula],S171,tTQMReguliDoc[Fise_tehnice],"Da")=1,1,0))</f>
        <v>0</v>
      </c>
      <c r="Y171" s="22" t="str">
        <f t="shared" si="14"/>
        <v/>
      </c>
      <c r="Z171" s="22"/>
      <c r="AA171" s="22"/>
    </row>
    <row r="172" spans="1:27" ht="15" customHeight="1">
      <c r="A172" s="30"/>
      <c r="B172" s="31"/>
      <c r="C172" s="30"/>
      <c r="D172" s="30"/>
      <c r="E172" s="30"/>
      <c r="F172" s="32" t="str">
        <f t="shared" si="10"/>
        <v/>
      </c>
      <c r="G172" s="30"/>
      <c r="H172" s="30"/>
      <c r="I172" s="30"/>
      <c r="J172" s="32" t="str">
        <f t="shared" si="11"/>
        <v/>
      </c>
      <c r="K172" s="30" t="str">
        <f t="shared" si="12"/>
        <v/>
      </c>
      <c r="L172" s="30"/>
      <c r="M172" s="30"/>
      <c r="N172" s="22"/>
      <c r="O172" s="25"/>
      <c r="P172" s="26"/>
      <c r="Q172" s="22"/>
      <c r="R172" s="22"/>
      <c r="S172" s="22" t="str">
        <f t="shared" si="13"/>
        <v/>
      </c>
      <c r="T172" s="22" t="str">
        <f>IF(C172="","",IF(COUNTIF(tTQMReguliDoc[Cheie_regula],S172)&lt;&gt;1,"REGULA NECONFIGURATA",IF(COUNTIFS(tTQMReguliDoc[Cheie_regula],S172,tTQMReguliDoc[Stare],"Confirmata")=1,"Confirmata","De confirmat")))</f>
        <v/>
      </c>
      <c r="U172" s="22">
        <f>IF(OR(C172="",T172&lt;&gt;"Confirmata"),0,IF(COUNTIFS(tTQMReguliDoc[Cheie_regula],S172,tTQMReguliDoc[Aviz],"Da")=1,1,0))</f>
        <v>0</v>
      </c>
      <c r="V172" s="22">
        <f>IF(OR(C172="",T172&lt;&gt;"Confirmata"),0,IF(COUNTIFS(tTQMReguliDoc[Cheie_regula],S172,tTQMReguliDoc[Decl_conformitate],"Da")=1,1,0))</f>
        <v>0</v>
      </c>
      <c r="W172" s="22">
        <f>IF(OR(C172="",T172&lt;&gt;"Confirmata"),0,IF(COUNTIFS(tTQMReguliDoc[Cheie_regula],S172,tTQMReguliDoc[Decl_producator],"Da")=1,1,0))</f>
        <v>0</v>
      </c>
      <c r="X172" s="22">
        <f>IF(OR(C172="",T172&lt;&gt;"Confirmata"),0,IF(COUNTIFS(tTQMReguliDoc[Cheie_regula],S172,tTQMReguliDoc[Fise_tehnice],"Da")=1,1,0))</f>
        <v>0</v>
      </c>
      <c r="Y172" s="22" t="str">
        <f t="shared" si="14"/>
        <v/>
      </c>
      <c r="Z172" s="22"/>
      <c r="AA172" s="22"/>
    </row>
    <row r="173" spans="1:27" ht="15" customHeight="1">
      <c r="A173" s="30"/>
      <c r="B173" s="31"/>
      <c r="C173" s="30"/>
      <c r="D173" s="30"/>
      <c r="E173" s="30"/>
      <c r="F173" s="32" t="str">
        <f t="shared" si="10"/>
        <v/>
      </c>
      <c r="G173" s="30"/>
      <c r="H173" s="30"/>
      <c r="I173" s="30"/>
      <c r="J173" s="32" t="str">
        <f t="shared" si="11"/>
        <v/>
      </c>
      <c r="K173" s="30" t="str">
        <f t="shared" si="12"/>
        <v/>
      </c>
      <c r="L173" s="30"/>
      <c r="M173" s="30"/>
      <c r="N173" s="22"/>
      <c r="O173" s="25"/>
      <c r="P173" s="26"/>
      <c r="Q173" s="22"/>
      <c r="R173" s="22"/>
      <c r="S173" s="22" t="str">
        <f t="shared" si="13"/>
        <v/>
      </c>
      <c r="T173" s="22" t="str">
        <f>IF(C173="","",IF(COUNTIF(tTQMReguliDoc[Cheie_regula],S173)&lt;&gt;1,"REGULA NECONFIGURATA",IF(COUNTIFS(tTQMReguliDoc[Cheie_regula],S173,tTQMReguliDoc[Stare],"Confirmata")=1,"Confirmata","De confirmat")))</f>
        <v/>
      </c>
      <c r="U173" s="22">
        <f>IF(OR(C173="",T173&lt;&gt;"Confirmata"),0,IF(COUNTIFS(tTQMReguliDoc[Cheie_regula],S173,tTQMReguliDoc[Aviz],"Da")=1,1,0))</f>
        <v>0</v>
      </c>
      <c r="V173" s="22">
        <f>IF(OR(C173="",T173&lt;&gt;"Confirmata"),0,IF(COUNTIFS(tTQMReguliDoc[Cheie_regula],S173,tTQMReguliDoc[Decl_conformitate],"Da")=1,1,0))</f>
        <v>0</v>
      </c>
      <c r="W173" s="22">
        <f>IF(OR(C173="",T173&lt;&gt;"Confirmata"),0,IF(COUNTIFS(tTQMReguliDoc[Cheie_regula],S173,tTQMReguliDoc[Decl_producator],"Da")=1,1,0))</f>
        <v>0</v>
      </c>
      <c r="X173" s="22">
        <f>IF(OR(C173="",T173&lt;&gt;"Confirmata"),0,IF(COUNTIFS(tTQMReguliDoc[Cheie_regula],S173,tTQMReguliDoc[Fise_tehnice],"Da")=1,1,0))</f>
        <v>0</v>
      </c>
      <c r="Y173" s="22" t="str">
        <f t="shared" si="14"/>
        <v/>
      </c>
      <c r="Z173" s="22"/>
      <c r="AA173" s="22"/>
    </row>
    <row r="174" spans="1:27" ht="15" customHeight="1">
      <c r="A174" s="30"/>
      <c r="B174" s="31"/>
      <c r="C174" s="30"/>
      <c r="D174" s="30"/>
      <c r="E174" s="30"/>
      <c r="F174" s="32" t="str">
        <f t="shared" si="10"/>
        <v/>
      </c>
      <c r="G174" s="30"/>
      <c r="H174" s="30"/>
      <c r="I174" s="30"/>
      <c r="J174" s="32" t="str">
        <f t="shared" si="11"/>
        <v/>
      </c>
      <c r="K174" s="30" t="str">
        <f t="shared" si="12"/>
        <v/>
      </c>
      <c r="L174" s="30"/>
      <c r="M174" s="30"/>
      <c r="N174" s="22"/>
      <c r="O174" s="25"/>
      <c r="P174" s="26"/>
      <c r="Q174" s="22"/>
      <c r="R174" s="22"/>
      <c r="S174" s="22" t="str">
        <f t="shared" si="13"/>
        <v/>
      </c>
      <c r="T174" s="22" t="str">
        <f>IF(C174="","",IF(COUNTIF(tTQMReguliDoc[Cheie_regula],S174)&lt;&gt;1,"REGULA NECONFIGURATA",IF(COUNTIFS(tTQMReguliDoc[Cheie_regula],S174,tTQMReguliDoc[Stare],"Confirmata")=1,"Confirmata","De confirmat")))</f>
        <v/>
      </c>
      <c r="U174" s="22">
        <f>IF(OR(C174="",T174&lt;&gt;"Confirmata"),0,IF(COUNTIFS(tTQMReguliDoc[Cheie_regula],S174,tTQMReguliDoc[Aviz],"Da")=1,1,0))</f>
        <v>0</v>
      </c>
      <c r="V174" s="22">
        <f>IF(OR(C174="",T174&lt;&gt;"Confirmata"),0,IF(COUNTIFS(tTQMReguliDoc[Cheie_regula],S174,tTQMReguliDoc[Decl_conformitate],"Da")=1,1,0))</f>
        <v>0</v>
      </c>
      <c r="W174" s="22">
        <f>IF(OR(C174="",T174&lt;&gt;"Confirmata"),0,IF(COUNTIFS(tTQMReguliDoc[Cheie_regula],S174,tTQMReguliDoc[Decl_producator],"Da")=1,1,0))</f>
        <v>0</v>
      </c>
      <c r="X174" s="22">
        <f>IF(OR(C174="",T174&lt;&gt;"Confirmata"),0,IF(COUNTIFS(tTQMReguliDoc[Cheie_regula],S174,tTQMReguliDoc[Fise_tehnice],"Da")=1,1,0))</f>
        <v>0</v>
      </c>
      <c r="Y174" s="22" t="str">
        <f t="shared" si="14"/>
        <v/>
      </c>
      <c r="Z174" s="22"/>
      <c r="AA174" s="22"/>
    </row>
    <row r="175" spans="1:27" ht="15" customHeight="1">
      <c r="A175" s="30"/>
      <c r="B175" s="31"/>
      <c r="C175" s="30"/>
      <c r="D175" s="30"/>
      <c r="E175" s="30"/>
      <c r="F175" s="32" t="str">
        <f t="shared" si="10"/>
        <v/>
      </c>
      <c r="G175" s="30"/>
      <c r="H175" s="30"/>
      <c r="I175" s="30"/>
      <c r="J175" s="32" t="str">
        <f t="shared" si="11"/>
        <v/>
      </c>
      <c r="K175" s="30" t="str">
        <f t="shared" si="12"/>
        <v/>
      </c>
      <c r="L175" s="30"/>
      <c r="M175" s="30"/>
      <c r="N175" s="22"/>
      <c r="O175" s="25"/>
      <c r="P175" s="26"/>
      <c r="Q175" s="22"/>
      <c r="R175" s="22"/>
      <c r="S175" s="22" t="str">
        <f t="shared" si="13"/>
        <v/>
      </c>
      <c r="T175" s="22" t="str">
        <f>IF(C175="","",IF(COUNTIF(tTQMReguliDoc[Cheie_regula],S175)&lt;&gt;1,"REGULA NECONFIGURATA",IF(COUNTIFS(tTQMReguliDoc[Cheie_regula],S175,tTQMReguliDoc[Stare],"Confirmata")=1,"Confirmata","De confirmat")))</f>
        <v/>
      </c>
      <c r="U175" s="22">
        <f>IF(OR(C175="",T175&lt;&gt;"Confirmata"),0,IF(COUNTIFS(tTQMReguliDoc[Cheie_regula],S175,tTQMReguliDoc[Aviz],"Da")=1,1,0))</f>
        <v>0</v>
      </c>
      <c r="V175" s="22">
        <f>IF(OR(C175="",T175&lt;&gt;"Confirmata"),0,IF(COUNTIFS(tTQMReguliDoc[Cheie_regula],S175,tTQMReguliDoc[Decl_conformitate],"Da")=1,1,0))</f>
        <v>0</v>
      </c>
      <c r="W175" s="22">
        <f>IF(OR(C175="",T175&lt;&gt;"Confirmata"),0,IF(COUNTIFS(tTQMReguliDoc[Cheie_regula],S175,tTQMReguliDoc[Decl_producator],"Da")=1,1,0))</f>
        <v>0</v>
      </c>
      <c r="X175" s="22">
        <f>IF(OR(C175="",T175&lt;&gt;"Confirmata"),0,IF(COUNTIFS(tTQMReguliDoc[Cheie_regula],S175,tTQMReguliDoc[Fise_tehnice],"Da")=1,1,0))</f>
        <v>0</v>
      </c>
      <c r="Y175" s="22" t="str">
        <f t="shared" si="14"/>
        <v/>
      </c>
      <c r="Z175" s="22"/>
      <c r="AA175" s="22"/>
    </row>
    <row r="176" spans="1:27" ht="15" customHeight="1">
      <c r="A176" s="30"/>
      <c r="B176" s="31"/>
      <c r="C176" s="30"/>
      <c r="D176" s="30"/>
      <c r="E176" s="30"/>
      <c r="F176" s="32" t="str">
        <f t="shared" si="10"/>
        <v/>
      </c>
      <c r="G176" s="30"/>
      <c r="H176" s="30"/>
      <c r="I176" s="30"/>
      <c r="J176" s="32" t="str">
        <f t="shared" si="11"/>
        <v/>
      </c>
      <c r="K176" s="30" t="str">
        <f t="shared" si="12"/>
        <v/>
      </c>
      <c r="L176" s="30"/>
      <c r="M176" s="30"/>
      <c r="N176" s="22"/>
      <c r="O176" s="25"/>
      <c r="P176" s="26"/>
      <c r="Q176" s="22"/>
      <c r="R176" s="22"/>
      <c r="S176" s="22" t="str">
        <f t="shared" si="13"/>
        <v/>
      </c>
      <c r="T176" s="22" t="str">
        <f>IF(C176="","",IF(COUNTIF(tTQMReguliDoc[Cheie_regula],S176)&lt;&gt;1,"REGULA NECONFIGURATA",IF(COUNTIFS(tTQMReguliDoc[Cheie_regula],S176,tTQMReguliDoc[Stare],"Confirmata")=1,"Confirmata","De confirmat")))</f>
        <v/>
      </c>
      <c r="U176" s="22">
        <f>IF(OR(C176="",T176&lt;&gt;"Confirmata"),0,IF(COUNTIFS(tTQMReguliDoc[Cheie_regula],S176,tTQMReguliDoc[Aviz],"Da")=1,1,0))</f>
        <v>0</v>
      </c>
      <c r="V176" s="22">
        <f>IF(OR(C176="",T176&lt;&gt;"Confirmata"),0,IF(COUNTIFS(tTQMReguliDoc[Cheie_regula],S176,tTQMReguliDoc[Decl_conformitate],"Da")=1,1,0))</f>
        <v>0</v>
      </c>
      <c r="W176" s="22">
        <f>IF(OR(C176="",T176&lt;&gt;"Confirmata"),0,IF(COUNTIFS(tTQMReguliDoc[Cheie_regula],S176,tTQMReguliDoc[Decl_producator],"Da")=1,1,0))</f>
        <v>0</v>
      </c>
      <c r="X176" s="22">
        <f>IF(OR(C176="",T176&lt;&gt;"Confirmata"),0,IF(COUNTIFS(tTQMReguliDoc[Cheie_regula],S176,tTQMReguliDoc[Fise_tehnice],"Da")=1,1,0))</f>
        <v>0</v>
      </c>
      <c r="Y176" s="22" t="str">
        <f t="shared" si="14"/>
        <v/>
      </c>
      <c r="Z176" s="22"/>
      <c r="AA176" s="22"/>
    </row>
    <row r="177" spans="1:27" ht="15" customHeight="1">
      <c r="A177" s="30"/>
      <c r="B177" s="31"/>
      <c r="C177" s="30"/>
      <c r="D177" s="30"/>
      <c r="E177" s="30"/>
      <c r="F177" s="32" t="str">
        <f t="shared" si="10"/>
        <v/>
      </c>
      <c r="G177" s="30"/>
      <c r="H177" s="30"/>
      <c r="I177" s="30"/>
      <c r="J177" s="32" t="str">
        <f t="shared" si="11"/>
        <v/>
      </c>
      <c r="K177" s="30" t="str">
        <f t="shared" si="12"/>
        <v/>
      </c>
      <c r="L177" s="30"/>
      <c r="M177" s="30"/>
      <c r="N177" s="22"/>
      <c r="O177" s="25"/>
      <c r="P177" s="26"/>
      <c r="Q177" s="22"/>
      <c r="R177" s="22"/>
      <c r="S177" s="22" t="str">
        <f t="shared" si="13"/>
        <v/>
      </c>
      <c r="T177" s="22" t="str">
        <f>IF(C177="","",IF(COUNTIF(tTQMReguliDoc[Cheie_regula],S177)&lt;&gt;1,"REGULA NECONFIGURATA",IF(COUNTIFS(tTQMReguliDoc[Cheie_regula],S177,tTQMReguliDoc[Stare],"Confirmata")=1,"Confirmata","De confirmat")))</f>
        <v/>
      </c>
      <c r="U177" s="22">
        <f>IF(OR(C177="",T177&lt;&gt;"Confirmata"),0,IF(COUNTIFS(tTQMReguliDoc[Cheie_regula],S177,tTQMReguliDoc[Aviz],"Da")=1,1,0))</f>
        <v>0</v>
      </c>
      <c r="V177" s="22">
        <f>IF(OR(C177="",T177&lt;&gt;"Confirmata"),0,IF(COUNTIFS(tTQMReguliDoc[Cheie_regula],S177,tTQMReguliDoc[Decl_conformitate],"Da")=1,1,0))</f>
        <v>0</v>
      </c>
      <c r="W177" s="22">
        <f>IF(OR(C177="",T177&lt;&gt;"Confirmata"),0,IF(COUNTIFS(tTQMReguliDoc[Cheie_regula],S177,tTQMReguliDoc[Decl_producator],"Da")=1,1,0))</f>
        <v>0</v>
      </c>
      <c r="X177" s="22">
        <f>IF(OR(C177="",T177&lt;&gt;"Confirmata"),0,IF(COUNTIFS(tTQMReguliDoc[Cheie_regula],S177,tTQMReguliDoc[Fise_tehnice],"Da")=1,1,0))</f>
        <v>0</v>
      </c>
      <c r="Y177" s="22" t="str">
        <f t="shared" si="14"/>
        <v/>
      </c>
      <c r="Z177" s="22"/>
      <c r="AA177" s="22"/>
    </row>
    <row r="178" spans="1:27" ht="15" customHeight="1">
      <c r="A178" s="30"/>
      <c r="B178" s="31"/>
      <c r="C178" s="30"/>
      <c r="D178" s="30"/>
      <c r="E178" s="30"/>
      <c r="F178" s="32" t="str">
        <f t="shared" si="10"/>
        <v/>
      </c>
      <c r="G178" s="30"/>
      <c r="H178" s="30"/>
      <c r="I178" s="30"/>
      <c r="J178" s="32" t="str">
        <f t="shared" si="11"/>
        <v/>
      </c>
      <c r="K178" s="30" t="str">
        <f t="shared" si="12"/>
        <v/>
      </c>
      <c r="L178" s="30"/>
      <c r="M178" s="30"/>
      <c r="N178" s="22"/>
      <c r="O178" s="25"/>
      <c r="P178" s="26"/>
      <c r="Q178" s="22"/>
      <c r="R178" s="22"/>
      <c r="S178" s="22" t="str">
        <f t="shared" si="13"/>
        <v/>
      </c>
      <c r="T178" s="22" t="str">
        <f>IF(C178="","",IF(COUNTIF(tTQMReguliDoc[Cheie_regula],S178)&lt;&gt;1,"REGULA NECONFIGURATA",IF(COUNTIFS(tTQMReguliDoc[Cheie_regula],S178,tTQMReguliDoc[Stare],"Confirmata")=1,"Confirmata","De confirmat")))</f>
        <v/>
      </c>
      <c r="U178" s="22">
        <f>IF(OR(C178="",T178&lt;&gt;"Confirmata"),0,IF(COUNTIFS(tTQMReguliDoc[Cheie_regula],S178,tTQMReguliDoc[Aviz],"Da")=1,1,0))</f>
        <v>0</v>
      </c>
      <c r="V178" s="22">
        <f>IF(OR(C178="",T178&lt;&gt;"Confirmata"),0,IF(COUNTIFS(tTQMReguliDoc[Cheie_regula],S178,tTQMReguliDoc[Decl_conformitate],"Da")=1,1,0))</f>
        <v>0</v>
      </c>
      <c r="W178" s="22">
        <f>IF(OR(C178="",T178&lt;&gt;"Confirmata"),0,IF(COUNTIFS(tTQMReguliDoc[Cheie_regula],S178,tTQMReguliDoc[Decl_producator],"Da")=1,1,0))</f>
        <v>0</v>
      </c>
      <c r="X178" s="22">
        <f>IF(OR(C178="",T178&lt;&gt;"Confirmata"),0,IF(COUNTIFS(tTQMReguliDoc[Cheie_regula],S178,tTQMReguliDoc[Fise_tehnice],"Da")=1,1,0))</f>
        <v>0</v>
      </c>
      <c r="Y178" s="22" t="str">
        <f t="shared" si="14"/>
        <v/>
      </c>
      <c r="Z178" s="22"/>
      <c r="AA178" s="22"/>
    </row>
    <row r="179" spans="1:27" ht="15" customHeight="1">
      <c r="A179" s="30"/>
      <c r="B179" s="31"/>
      <c r="C179" s="30"/>
      <c r="D179" s="30"/>
      <c r="E179" s="30"/>
      <c r="F179" s="32" t="str">
        <f t="shared" si="10"/>
        <v/>
      </c>
      <c r="G179" s="30"/>
      <c r="H179" s="30"/>
      <c r="I179" s="30"/>
      <c r="J179" s="32" t="str">
        <f t="shared" si="11"/>
        <v/>
      </c>
      <c r="K179" s="30" t="str">
        <f t="shared" si="12"/>
        <v/>
      </c>
      <c r="L179" s="30"/>
      <c r="M179" s="30"/>
      <c r="N179" s="22"/>
      <c r="O179" s="25"/>
      <c r="P179" s="26"/>
      <c r="Q179" s="22"/>
      <c r="R179" s="22"/>
      <c r="S179" s="22" t="str">
        <f t="shared" si="13"/>
        <v/>
      </c>
      <c r="T179" s="22" t="str">
        <f>IF(C179="","",IF(COUNTIF(tTQMReguliDoc[Cheie_regula],S179)&lt;&gt;1,"REGULA NECONFIGURATA",IF(COUNTIFS(tTQMReguliDoc[Cheie_regula],S179,tTQMReguliDoc[Stare],"Confirmata")=1,"Confirmata","De confirmat")))</f>
        <v/>
      </c>
      <c r="U179" s="22">
        <f>IF(OR(C179="",T179&lt;&gt;"Confirmata"),0,IF(COUNTIFS(tTQMReguliDoc[Cheie_regula],S179,tTQMReguliDoc[Aviz],"Da")=1,1,0))</f>
        <v>0</v>
      </c>
      <c r="V179" s="22">
        <f>IF(OR(C179="",T179&lt;&gt;"Confirmata"),0,IF(COUNTIFS(tTQMReguliDoc[Cheie_regula],S179,tTQMReguliDoc[Decl_conformitate],"Da")=1,1,0))</f>
        <v>0</v>
      </c>
      <c r="W179" s="22">
        <f>IF(OR(C179="",T179&lt;&gt;"Confirmata"),0,IF(COUNTIFS(tTQMReguliDoc[Cheie_regula],S179,tTQMReguliDoc[Decl_producator],"Da")=1,1,0))</f>
        <v>0</v>
      </c>
      <c r="X179" s="22">
        <f>IF(OR(C179="",T179&lt;&gt;"Confirmata"),0,IF(COUNTIFS(tTQMReguliDoc[Cheie_regula],S179,tTQMReguliDoc[Fise_tehnice],"Da")=1,1,0))</f>
        <v>0</v>
      </c>
      <c r="Y179" s="22" t="str">
        <f t="shared" si="14"/>
        <v/>
      </c>
      <c r="Z179" s="22"/>
      <c r="AA179" s="22"/>
    </row>
    <row r="180" spans="1:27" ht="15" customHeight="1">
      <c r="A180" s="30"/>
      <c r="B180" s="31"/>
      <c r="C180" s="30"/>
      <c r="D180" s="30"/>
      <c r="E180" s="30"/>
      <c r="F180" s="32" t="str">
        <f t="shared" si="10"/>
        <v/>
      </c>
      <c r="G180" s="30"/>
      <c r="H180" s="30"/>
      <c r="I180" s="30"/>
      <c r="J180" s="32" t="str">
        <f t="shared" si="11"/>
        <v/>
      </c>
      <c r="K180" s="30" t="str">
        <f t="shared" si="12"/>
        <v/>
      </c>
      <c r="L180" s="30"/>
      <c r="M180" s="30"/>
      <c r="N180" s="22"/>
      <c r="O180" s="25"/>
      <c r="P180" s="26"/>
      <c r="Q180" s="22"/>
      <c r="R180" s="22"/>
      <c r="S180" s="22" t="str">
        <f t="shared" si="13"/>
        <v/>
      </c>
      <c r="T180" s="22" t="str">
        <f>IF(C180="","",IF(COUNTIF(tTQMReguliDoc[Cheie_regula],S180)&lt;&gt;1,"REGULA NECONFIGURATA",IF(COUNTIFS(tTQMReguliDoc[Cheie_regula],S180,tTQMReguliDoc[Stare],"Confirmata")=1,"Confirmata","De confirmat")))</f>
        <v/>
      </c>
      <c r="U180" s="22">
        <f>IF(OR(C180="",T180&lt;&gt;"Confirmata"),0,IF(COUNTIFS(tTQMReguliDoc[Cheie_regula],S180,tTQMReguliDoc[Aviz],"Da")=1,1,0))</f>
        <v>0</v>
      </c>
      <c r="V180" s="22">
        <f>IF(OR(C180="",T180&lt;&gt;"Confirmata"),0,IF(COUNTIFS(tTQMReguliDoc[Cheie_regula],S180,tTQMReguliDoc[Decl_conformitate],"Da")=1,1,0))</f>
        <v>0</v>
      </c>
      <c r="W180" s="22">
        <f>IF(OR(C180="",T180&lt;&gt;"Confirmata"),0,IF(COUNTIFS(tTQMReguliDoc[Cheie_regula],S180,tTQMReguliDoc[Decl_producator],"Da")=1,1,0))</f>
        <v>0</v>
      </c>
      <c r="X180" s="22">
        <f>IF(OR(C180="",T180&lt;&gt;"Confirmata"),0,IF(COUNTIFS(tTQMReguliDoc[Cheie_regula],S180,tTQMReguliDoc[Fise_tehnice],"Da")=1,1,0))</f>
        <v>0</v>
      </c>
      <c r="Y180" s="22" t="str">
        <f t="shared" si="14"/>
        <v/>
      </c>
      <c r="Z180" s="22"/>
      <c r="AA180" s="22"/>
    </row>
    <row r="181" spans="1:27" ht="15" customHeight="1">
      <c r="A181" s="30"/>
      <c r="B181" s="31"/>
      <c r="C181" s="30"/>
      <c r="D181" s="30"/>
      <c r="E181" s="30"/>
      <c r="F181" s="32" t="str">
        <f t="shared" si="10"/>
        <v/>
      </c>
      <c r="G181" s="30"/>
      <c r="H181" s="30"/>
      <c r="I181" s="30"/>
      <c r="J181" s="32" t="str">
        <f t="shared" si="11"/>
        <v/>
      </c>
      <c r="K181" s="30" t="str">
        <f t="shared" si="12"/>
        <v/>
      </c>
      <c r="L181" s="30"/>
      <c r="M181" s="30"/>
      <c r="N181" s="22"/>
      <c r="O181" s="25"/>
      <c r="P181" s="26"/>
      <c r="Q181" s="22"/>
      <c r="R181" s="22"/>
      <c r="S181" s="22" t="str">
        <f t="shared" si="13"/>
        <v/>
      </c>
      <c r="T181" s="22" t="str">
        <f>IF(C181="","",IF(COUNTIF(tTQMReguliDoc[Cheie_regula],S181)&lt;&gt;1,"REGULA NECONFIGURATA",IF(COUNTIFS(tTQMReguliDoc[Cheie_regula],S181,tTQMReguliDoc[Stare],"Confirmata")=1,"Confirmata","De confirmat")))</f>
        <v/>
      </c>
      <c r="U181" s="22">
        <f>IF(OR(C181="",T181&lt;&gt;"Confirmata"),0,IF(COUNTIFS(tTQMReguliDoc[Cheie_regula],S181,tTQMReguliDoc[Aviz],"Da")=1,1,0))</f>
        <v>0</v>
      </c>
      <c r="V181" s="22">
        <f>IF(OR(C181="",T181&lt;&gt;"Confirmata"),0,IF(COUNTIFS(tTQMReguliDoc[Cheie_regula],S181,tTQMReguliDoc[Decl_conformitate],"Da")=1,1,0))</f>
        <v>0</v>
      </c>
      <c r="W181" s="22">
        <f>IF(OR(C181="",T181&lt;&gt;"Confirmata"),0,IF(COUNTIFS(tTQMReguliDoc[Cheie_regula],S181,tTQMReguliDoc[Decl_producator],"Da")=1,1,0))</f>
        <v>0</v>
      </c>
      <c r="X181" s="22">
        <f>IF(OR(C181="",T181&lt;&gt;"Confirmata"),0,IF(COUNTIFS(tTQMReguliDoc[Cheie_regula],S181,tTQMReguliDoc[Fise_tehnice],"Da")=1,1,0))</f>
        <v>0</v>
      </c>
      <c r="Y181" s="22" t="str">
        <f t="shared" si="14"/>
        <v/>
      </c>
      <c r="Z181" s="22"/>
      <c r="AA181" s="22"/>
    </row>
    <row r="182" spans="1:27" ht="15" customHeight="1">
      <c r="A182" s="30"/>
      <c r="B182" s="31"/>
      <c r="C182" s="30"/>
      <c r="D182" s="30"/>
      <c r="E182" s="30"/>
      <c r="F182" s="32" t="str">
        <f t="shared" si="10"/>
        <v/>
      </c>
      <c r="G182" s="30"/>
      <c r="H182" s="30"/>
      <c r="I182" s="30"/>
      <c r="J182" s="32" t="str">
        <f t="shared" si="11"/>
        <v/>
      </c>
      <c r="K182" s="30" t="str">
        <f t="shared" si="12"/>
        <v/>
      </c>
      <c r="L182" s="30"/>
      <c r="M182" s="30"/>
      <c r="N182" s="22"/>
      <c r="O182" s="25"/>
      <c r="P182" s="26"/>
      <c r="Q182" s="22"/>
      <c r="R182" s="22"/>
      <c r="S182" s="22" t="str">
        <f t="shared" si="13"/>
        <v/>
      </c>
      <c r="T182" s="22" t="str">
        <f>IF(C182="","",IF(COUNTIF(tTQMReguliDoc[Cheie_regula],S182)&lt;&gt;1,"REGULA NECONFIGURATA",IF(COUNTIFS(tTQMReguliDoc[Cheie_regula],S182,tTQMReguliDoc[Stare],"Confirmata")=1,"Confirmata","De confirmat")))</f>
        <v/>
      </c>
      <c r="U182" s="22">
        <f>IF(OR(C182="",T182&lt;&gt;"Confirmata"),0,IF(COUNTIFS(tTQMReguliDoc[Cheie_regula],S182,tTQMReguliDoc[Aviz],"Da")=1,1,0))</f>
        <v>0</v>
      </c>
      <c r="V182" s="22">
        <f>IF(OR(C182="",T182&lt;&gt;"Confirmata"),0,IF(COUNTIFS(tTQMReguliDoc[Cheie_regula],S182,tTQMReguliDoc[Decl_conformitate],"Da")=1,1,0))</f>
        <v>0</v>
      </c>
      <c r="W182" s="22">
        <f>IF(OR(C182="",T182&lt;&gt;"Confirmata"),0,IF(COUNTIFS(tTQMReguliDoc[Cheie_regula],S182,tTQMReguliDoc[Decl_producator],"Da")=1,1,0))</f>
        <v>0</v>
      </c>
      <c r="X182" s="22">
        <f>IF(OR(C182="",T182&lt;&gt;"Confirmata"),0,IF(COUNTIFS(tTQMReguliDoc[Cheie_regula],S182,tTQMReguliDoc[Fise_tehnice],"Da")=1,1,0))</f>
        <v>0</v>
      </c>
      <c r="Y182" s="22" t="str">
        <f t="shared" si="14"/>
        <v/>
      </c>
      <c r="Z182" s="22"/>
      <c r="AA182" s="22"/>
    </row>
    <row r="183" spans="1:27" ht="15" customHeight="1">
      <c r="A183" s="30"/>
      <c r="B183" s="31"/>
      <c r="C183" s="30"/>
      <c r="D183" s="30"/>
      <c r="E183" s="30"/>
      <c r="F183" s="32" t="str">
        <f t="shared" si="10"/>
        <v/>
      </c>
      <c r="G183" s="30"/>
      <c r="H183" s="30"/>
      <c r="I183" s="30"/>
      <c r="J183" s="32" t="str">
        <f t="shared" si="11"/>
        <v/>
      </c>
      <c r="K183" s="30" t="str">
        <f t="shared" si="12"/>
        <v/>
      </c>
      <c r="L183" s="30"/>
      <c r="M183" s="30"/>
      <c r="N183" s="22"/>
      <c r="O183" s="25"/>
      <c r="P183" s="26"/>
      <c r="Q183" s="22"/>
      <c r="R183" s="22"/>
      <c r="S183" s="22" t="str">
        <f t="shared" si="13"/>
        <v/>
      </c>
      <c r="T183" s="22" t="str">
        <f>IF(C183="","",IF(COUNTIF(tTQMReguliDoc[Cheie_regula],S183)&lt;&gt;1,"REGULA NECONFIGURATA",IF(COUNTIFS(tTQMReguliDoc[Cheie_regula],S183,tTQMReguliDoc[Stare],"Confirmata")=1,"Confirmata","De confirmat")))</f>
        <v/>
      </c>
      <c r="U183" s="22">
        <f>IF(OR(C183="",T183&lt;&gt;"Confirmata"),0,IF(COUNTIFS(tTQMReguliDoc[Cheie_regula],S183,tTQMReguliDoc[Aviz],"Da")=1,1,0))</f>
        <v>0</v>
      </c>
      <c r="V183" s="22">
        <f>IF(OR(C183="",T183&lt;&gt;"Confirmata"),0,IF(COUNTIFS(tTQMReguliDoc[Cheie_regula],S183,tTQMReguliDoc[Decl_conformitate],"Da")=1,1,0))</f>
        <v>0</v>
      </c>
      <c r="W183" s="22">
        <f>IF(OR(C183="",T183&lt;&gt;"Confirmata"),0,IF(COUNTIFS(tTQMReguliDoc[Cheie_regula],S183,tTQMReguliDoc[Decl_producator],"Da")=1,1,0))</f>
        <v>0</v>
      </c>
      <c r="X183" s="22">
        <f>IF(OR(C183="",T183&lt;&gt;"Confirmata"),0,IF(COUNTIFS(tTQMReguliDoc[Cheie_regula],S183,tTQMReguliDoc[Fise_tehnice],"Da")=1,1,0))</f>
        <v>0</v>
      </c>
      <c r="Y183" s="22" t="str">
        <f t="shared" si="14"/>
        <v/>
      </c>
      <c r="Z183" s="22"/>
      <c r="AA183" s="22"/>
    </row>
    <row r="184" spans="1:27" ht="15" customHeight="1">
      <c r="A184" s="30"/>
      <c r="B184" s="31"/>
      <c r="C184" s="30"/>
      <c r="D184" s="30"/>
      <c r="E184" s="30"/>
      <c r="F184" s="32" t="str">
        <f t="shared" si="10"/>
        <v/>
      </c>
      <c r="G184" s="30"/>
      <c r="H184" s="30"/>
      <c r="I184" s="30"/>
      <c r="J184" s="32" t="str">
        <f t="shared" si="11"/>
        <v/>
      </c>
      <c r="K184" s="30" t="str">
        <f t="shared" si="12"/>
        <v/>
      </c>
      <c r="L184" s="30"/>
      <c r="M184" s="30"/>
      <c r="N184" s="22"/>
      <c r="O184" s="25"/>
      <c r="P184" s="26"/>
      <c r="Q184" s="22"/>
      <c r="R184" s="22"/>
      <c r="S184" s="22" t="str">
        <f t="shared" si="13"/>
        <v/>
      </c>
      <c r="T184" s="22" t="str">
        <f>IF(C184="","",IF(COUNTIF(tTQMReguliDoc[Cheie_regula],S184)&lt;&gt;1,"REGULA NECONFIGURATA",IF(COUNTIFS(tTQMReguliDoc[Cheie_regula],S184,tTQMReguliDoc[Stare],"Confirmata")=1,"Confirmata","De confirmat")))</f>
        <v/>
      </c>
      <c r="U184" s="22">
        <f>IF(OR(C184="",T184&lt;&gt;"Confirmata"),0,IF(COUNTIFS(tTQMReguliDoc[Cheie_regula],S184,tTQMReguliDoc[Aviz],"Da")=1,1,0))</f>
        <v>0</v>
      </c>
      <c r="V184" s="22">
        <f>IF(OR(C184="",T184&lt;&gt;"Confirmata"),0,IF(COUNTIFS(tTQMReguliDoc[Cheie_regula],S184,tTQMReguliDoc[Decl_conformitate],"Da")=1,1,0))</f>
        <v>0</v>
      </c>
      <c r="W184" s="22">
        <f>IF(OR(C184="",T184&lt;&gt;"Confirmata"),0,IF(COUNTIFS(tTQMReguliDoc[Cheie_regula],S184,tTQMReguliDoc[Decl_producator],"Da")=1,1,0))</f>
        <v>0</v>
      </c>
      <c r="X184" s="22">
        <f>IF(OR(C184="",T184&lt;&gt;"Confirmata"),0,IF(COUNTIFS(tTQMReguliDoc[Cheie_regula],S184,tTQMReguliDoc[Fise_tehnice],"Da")=1,1,0))</f>
        <v>0</v>
      </c>
      <c r="Y184" s="22" t="str">
        <f t="shared" si="14"/>
        <v/>
      </c>
      <c r="Z184" s="22"/>
      <c r="AA184" s="22"/>
    </row>
    <row r="185" spans="1:27" ht="15" customHeight="1">
      <c r="A185" s="30"/>
      <c r="B185" s="31"/>
      <c r="C185" s="30"/>
      <c r="D185" s="30"/>
      <c r="E185" s="30"/>
      <c r="F185" s="32" t="str">
        <f t="shared" si="10"/>
        <v/>
      </c>
      <c r="G185" s="30"/>
      <c r="H185" s="30"/>
      <c r="I185" s="30"/>
      <c r="J185" s="32" t="str">
        <f t="shared" si="11"/>
        <v/>
      </c>
      <c r="K185" s="30" t="str">
        <f t="shared" si="12"/>
        <v/>
      </c>
      <c r="L185" s="30"/>
      <c r="M185" s="30"/>
      <c r="N185" s="22"/>
      <c r="O185" s="25"/>
      <c r="P185" s="26"/>
      <c r="Q185" s="22"/>
      <c r="R185" s="22"/>
      <c r="S185" s="22" t="str">
        <f t="shared" si="13"/>
        <v/>
      </c>
      <c r="T185" s="22" t="str">
        <f>IF(C185="","",IF(COUNTIF(tTQMReguliDoc[Cheie_regula],S185)&lt;&gt;1,"REGULA NECONFIGURATA",IF(COUNTIFS(tTQMReguliDoc[Cheie_regula],S185,tTQMReguliDoc[Stare],"Confirmata")=1,"Confirmata","De confirmat")))</f>
        <v/>
      </c>
      <c r="U185" s="22">
        <f>IF(OR(C185="",T185&lt;&gt;"Confirmata"),0,IF(COUNTIFS(tTQMReguliDoc[Cheie_regula],S185,tTQMReguliDoc[Aviz],"Da")=1,1,0))</f>
        <v>0</v>
      </c>
      <c r="V185" s="22">
        <f>IF(OR(C185="",T185&lt;&gt;"Confirmata"),0,IF(COUNTIFS(tTQMReguliDoc[Cheie_regula],S185,tTQMReguliDoc[Decl_conformitate],"Da")=1,1,0))</f>
        <v>0</v>
      </c>
      <c r="W185" s="22">
        <f>IF(OR(C185="",T185&lt;&gt;"Confirmata"),0,IF(COUNTIFS(tTQMReguliDoc[Cheie_regula],S185,tTQMReguliDoc[Decl_producator],"Da")=1,1,0))</f>
        <v>0</v>
      </c>
      <c r="X185" s="22">
        <f>IF(OR(C185="",T185&lt;&gt;"Confirmata"),0,IF(COUNTIFS(tTQMReguliDoc[Cheie_regula],S185,tTQMReguliDoc[Fise_tehnice],"Da")=1,1,0))</f>
        <v>0</v>
      </c>
      <c r="Y185" s="22" t="str">
        <f t="shared" si="14"/>
        <v/>
      </c>
      <c r="Z185" s="22"/>
      <c r="AA185" s="22"/>
    </row>
    <row r="186" spans="1:27" ht="15" customHeight="1">
      <c r="A186" s="30"/>
      <c r="B186" s="31"/>
      <c r="C186" s="30"/>
      <c r="D186" s="30"/>
      <c r="E186" s="30"/>
      <c r="F186" s="32" t="str">
        <f t="shared" si="10"/>
        <v/>
      </c>
      <c r="G186" s="30"/>
      <c r="H186" s="30"/>
      <c r="I186" s="30"/>
      <c r="J186" s="32" t="str">
        <f t="shared" si="11"/>
        <v/>
      </c>
      <c r="K186" s="30" t="str">
        <f t="shared" si="12"/>
        <v/>
      </c>
      <c r="L186" s="30"/>
      <c r="M186" s="30"/>
      <c r="N186" s="22"/>
      <c r="O186" s="25"/>
      <c r="P186" s="26"/>
      <c r="Q186" s="22"/>
      <c r="R186" s="22"/>
      <c r="S186" s="22" t="str">
        <f t="shared" si="13"/>
        <v/>
      </c>
      <c r="T186" s="22" t="str">
        <f>IF(C186="","",IF(COUNTIF(tTQMReguliDoc[Cheie_regula],S186)&lt;&gt;1,"REGULA NECONFIGURATA",IF(COUNTIFS(tTQMReguliDoc[Cheie_regula],S186,tTQMReguliDoc[Stare],"Confirmata")=1,"Confirmata","De confirmat")))</f>
        <v/>
      </c>
      <c r="U186" s="22">
        <f>IF(OR(C186="",T186&lt;&gt;"Confirmata"),0,IF(COUNTIFS(tTQMReguliDoc[Cheie_regula],S186,tTQMReguliDoc[Aviz],"Da")=1,1,0))</f>
        <v>0</v>
      </c>
      <c r="V186" s="22">
        <f>IF(OR(C186="",T186&lt;&gt;"Confirmata"),0,IF(COUNTIFS(tTQMReguliDoc[Cheie_regula],S186,tTQMReguliDoc[Decl_conformitate],"Da")=1,1,0))</f>
        <v>0</v>
      </c>
      <c r="W186" s="22">
        <f>IF(OR(C186="",T186&lt;&gt;"Confirmata"),0,IF(COUNTIFS(tTQMReguliDoc[Cheie_regula],S186,tTQMReguliDoc[Decl_producator],"Da")=1,1,0))</f>
        <v>0</v>
      </c>
      <c r="X186" s="22">
        <f>IF(OR(C186="",T186&lt;&gt;"Confirmata"),0,IF(COUNTIFS(tTQMReguliDoc[Cheie_regula],S186,tTQMReguliDoc[Fise_tehnice],"Da")=1,1,0))</f>
        <v>0</v>
      </c>
      <c r="Y186" s="22" t="str">
        <f t="shared" si="14"/>
        <v/>
      </c>
      <c r="Z186" s="22"/>
      <c r="AA186" s="22"/>
    </row>
    <row r="187" spans="1:27" ht="15" customHeight="1">
      <c r="A187" s="30"/>
      <c r="B187" s="31"/>
      <c r="C187" s="30"/>
      <c r="D187" s="30"/>
      <c r="E187" s="30"/>
      <c r="F187" s="32" t="str">
        <f t="shared" si="10"/>
        <v/>
      </c>
      <c r="G187" s="30"/>
      <c r="H187" s="30"/>
      <c r="I187" s="30"/>
      <c r="J187" s="32" t="str">
        <f t="shared" si="11"/>
        <v/>
      </c>
      <c r="K187" s="30" t="str">
        <f t="shared" si="12"/>
        <v/>
      </c>
      <c r="L187" s="30"/>
      <c r="M187" s="30"/>
      <c r="N187" s="22"/>
      <c r="O187" s="25"/>
      <c r="P187" s="26"/>
      <c r="Q187" s="22"/>
      <c r="R187" s="22"/>
      <c r="S187" s="22" t="str">
        <f t="shared" si="13"/>
        <v/>
      </c>
      <c r="T187" s="22" t="str">
        <f>IF(C187="","",IF(COUNTIF(tTQMReguliDoc[Cheie_regula],S187)&lt;&gt;1,"REGULA NECONFIGURATA",IF(COUNTIFS(tTQMReguliDoc[Cheie_regula],S187,tTQMReguliDoc[Stare],"Confirmata")=1,"Confirmata","De confirmat")))</f>
        <v/>
      </c>
      <c r="U187" s="22">
        <f>IF(OR(C187="",T187&lt;&gt;"Confirmata"),0,IF(COUNTIFS(tTQMReguliDoc[Cheie_regula],S187,tTQMReguliDoc[Aviz],"Da")=1,1,0))</f>
        <v>0</v>
      </c>
      <c r="V187" s="22">
        <f>IF(OR(C187="",T187&lt;&gt;"Confirmata"),0,IF(COUNTIFS(tTQMReguliDoc[Cheie_regula],S187,tTQMReguliDoc[Decl_conformitate],"Da")=1,1,0))</f>
        <v>0</v>
      </c>
      <c r="W187" s="22">
        <f>IF(OR(C187="",T187&lt;&gt;"Confirmata"),0,IF(COUNTIFS(tTQMReguliDoc[Cheie_regula],S187,tTQMReguliDoc[Decl_producator],"Da")=1,1,0))</f>
        <v>0</v>
      </c>
      <c r="X187" s="22">
        <f>IF(OR(C187="",T187&lt;&gt;"Confirmata"),0,IF(COUNTIFS(tTQMReguliDoc[Cheie_regula],S187,tTQMReguliDoc[Fise_tehnice],"Da")=1,1,0))</f>
        <v>0</v>
      </c>
      <c r="Y187" s="22" t="str">
        <f t="shared" si="14"/>
        <v/>
      </c>
      <c r="Z187" s="22"/>
      <c r="AA187" s="22"/>
    </row>
    <row r="188" spans="1:27" ht="15" customHeight="1">
      <c r="A188" s="30"/>
      <c r="B188" s="31"/>
      <c r="C188" s="30"/>
      <c r="D188" s="30"/>
      <c r="E188" s="30"/>
      <c r="F188" s="32" t="str">
        <f t="shared" si="10"/>
        <v/>
      </c>
      <c r="G188" s="30"/>
      <c r="H188" s="30"/>
      <c r="I188" s="30"/>
      <c r="J188" s="32" t="str">
        <f t="shared" si="11"/>
        <v/>
      </c>
      <c r="K188" s="30" t="str">
        <f t="shared" si="12"/>
        <v/>
      </c>
      <c r="L188" s="30"/>
      <c r="M188" s="30"/>
      <c r="N188" s="22"/>
      <c r="O188" s="25"/>
      <c r="P188" s="26"/>
      <c r="Q188" s="22"/>
      <c r="R188" s="22"/>
      <c r="S188" s="22" t="str">
        <f t="shared" si="13"/>
        <v/>
      </c>
      <c r="T188" s="22" t="str">
        <f>IF(C188="","",IF(COUNTIF(tTQMReguliDoc[Cheie_regula],S188)&lt;&gt;1,"REGULA NECONFIGURATA",IF(COUNTIFS(tTQMReguliDoc[Cheie_regula],S188,tTQMReguliDoc[Stare],"Confirmata")=1,"Confirmata","De confirmat")))</f>
        <v/>
      </c>
      <c r="U188" s="22">
        <f>IF(OR(C188="",T188&lt;&gt;"Confirmata"),0,IF(COUNTIFS(tTQMReguliDoc[Cheie_regula],S188,tTQMReguliDoc[Aviz],"Da")=1,1,0))</f>
        <v>0</v>
      </c>
      <c r="V188" s="22">
        <f>IF(OR(C188="",T188&lt;&gt;"Confirmata"),0,IF(COUNTIFS(tTQMReguliDoc[Cheie_regula],S188,tTQMReguliDoc[Decl_conformitate],"Da")=1,1,0))</f>
        <v>0</v>
      </c>
      <c r="W188" s="22">
        <f>IF(OR(C188="",T188&lt;&gt;"Confirmata"),0,IF(COUNTIFS(tTQMReguliDoc[Cheie_regula],S188,tTQMReguliDoc[Decl_producator],"Da")=1,1,0))</f>
        <v>0</v>
      </c>
      <c r="X188" s="22">
        <f>IF(OR(C188="",T188&lt;&gt;"Confirmata"),0,IF(COUNTIFS(tTQMReguliDoc[Cheie_regula],S188,tTQMReguliDoc[Fise_tehnice],"Da")=1,1,0))</f>
        <v>0</v>
      </c>
      <c r="Y188" s="22" t="str">
        <f t="shared" si="14"/>
        <v/>
      </c>
      <c r="Z188" s="22"/>
      <c r="AA188" s="22"/>
    </row>
    <row r="189" spans="1:27" ht="15" customHeight="1">
      <c r="A189" s="30"/>
      <c r="B189" s="31"/>
      <c r="C189" s="30"/>
      <c r="D189" s="30"/>
      <c r="E189" s="30"/>
      <c r="F189" s="32" t="str">
        <f t="shared" si="10"/>
        <v/>
      </c>
      <c r="G189" s="30"/>
      <c r="H189" s="30"/>
      <c r="I189" s="30"/>
      <c r="J189" s="32" t="str">
        <f t="shared" si="11"/>
        <v/>
      </c>
      <c r="K189" s="30" t="str">
        <f t="shared" si="12"/>
        <v/>
      </c>
      <c r="L189" s="30"/>
      <c r="M189" s="30"/>
      <c r="N189" s="22"/>
      <c r="O189" s="25"/>
      <c r="P189" s="26"/>
      <c r="Q189" s="22"/>
      <c r="R189" s="22"/>
      <c r="S189" s="22" t="str">
        <f t="shared" si="13"/>
        <v/>
      </c>
      <c r="T189" s="22" t="str">
        <f>IF(C189="","",IF(COUNTIF(tTQMReguliDoc[Cheie_regula],S189)&lt;&gt;1,"REGULA NECONFIGURATA",IF(COUNTIFS(tTQMReguliDoc[Cheie_regula],S189,tTQMReguliDoc[Stare],"Confirmata")=1,"Confirmata","De confirmat")))</f>
        <v/>
      </c>
      <c r="U189" s="22">
        <f>IF(OR(C189="",T189&lt;&gt;"Confirmata"),0,IF(COUNTIFS(tTQMReguliDoc[Cheie_regula],S189,tTQMReguliDoc[Aviz],"Da")=1,1,0))</f>
        <v>0</v>
      </c>
      <c r="V189" s="22">
        <f>IF(OR(C189="",T189&lt;&gt;"Confirmata"),0,IF(COUNTIFS(tTQMReguliDoc[Cheie_regula],S189,tTQMReguliDoc[Decl_conformitate],"Da")=1,1,0))</f>
        <v>0</v>
      </c>
      <c r="W189" s="22">
        <f>IF(OR(C189="",T189&lt;&gt;"Confirmata"),0,IF(COUNTIFS(tTQMReguliDoc[Cheie_regula],S189,tTQMReguliDoc[Decl_producator],"Da")=1,1,0))</f>
        <v>0</v>
      </c>
      <c r="X189" s="22">
        <f>IF(OR(C189="",T189&lt;&gt;"Confirmata"),0,IF(COUNTIFS(tTQMReguliDoc[Cheie_regula],S189,tTQMReguliDoc[Fise_tehnice],"Da")=1,1,0))</f>
        <v>0</v>
      </c>
      <c r="Y189" s="22" t="str">
        <f t="shared" si="14"/>
        <v/>
      </c>
      <c r="Z189" s="22"/>
      <c r="AA189" s="22"/>
    </row>
    <row r="190" spans="1:27" ht="15" customHeight="1">
      <c r="A190" s="30"/>
      <c r="B190" s="31"/>
      <c r="C190" s="30"/>
      <c r="D190" s="30"/>
      <c r="E190" s="30"/>
      <c r="F190" s="32" t="str">
        <f t="shared" si="10"/>
        <v/>
      </c>
      <c r="G190" s="30"/>
      <c r="H190" s="30"/>
      <c r="I190" s="30"/>
      <c r="J190" s="32" t="str">
        <f t="shared" si="11"/>
        <v/>
      </c>
      <c r="K190" s="30" t="str">
        <f t="shared" si="12"/>
        <v/>
      </c>
      <c r="L190" s="30"/>
      <c r="M190" s="30"/>
      <c r="N190" s="22"/>
      <c r="O190" s="25"/>
      <c r="P190" s="26"/>
      <c r="Q190" s="22"/>
      <c r="R190" s="22"/>
      <c r="S190" s="22" t="str">
        <f t="shared" si="13"/>
        <v/>
      </c>
      <c r="T190" s="22" t="str">
        <f>IF(C190="","",IF(COUNTIF(tTQMReguliDoc[Cheie_regula],S190)&lt;&gt;1,"REGULA NECONFIGURATA",IF(COUNTIFS(tTQMReguliDoc[Cheie_regula],S190,tTQMReguliDoc[Stare],"Confirmata")=1,"Confirmata","De confirmat")))</f>
        <v/>
      </c>
      <c r="U190" s="22">
        <f>IF(OR(C190="",T190&lt;&gt;"Confirmata"),0,IF(COUNTIFS(tTQMReguliDoc[Cheie_regula],S190,tTQMReguliDoc[Aviz],"Da")=1,1,0))</f>
        <v>0</v>
      </c>
      <c r="V190" s="22">
        <f>IF(OR(C190="",T190&lt;&gt;"Confirmata"),0,IF(COUNTIFS(tTQMReguliDoc[Cheie_regula],S190,tTQMReguliDoc[Decl_conformitate],"Da")=1,1,0))</f>
        <v>0</v>
      </c>
      <c r="W190" s="22">
        <f>IF(OR(C190="",T190&lt;&gt;"Confirmata"),0,IF(COUNTIFS(tTQMReguliDoc[Cheie_regula],S190,tTQMReguliDoc[Decl_producator],"Da")=1,1,0))</f>
        <v>0</v>
      </c>
      <c r="X190" s="22">
        <f>IF(OR(C190="",T190&lt;&gt;"Confirmata"),0,IF(COUNTIFS(tTQMReguliDoc[Cheie_regula],S190,tTQMReguliDoc[Fise_tehnice],"Da")=1,1,0))</f>
        <v>0</v>
      </c>
      <c r="Y190" s="22" t="str">
        <f t="shared" si="14"/>
        <v/>
      </c>
      <c r="Z190" s="22"/>
      <c r="AA190" s="22"/>
    </row>
    <row r="191" spans="1:27" ht="15" customHeight="1">
      <c r="A191" s="30"/>
      <c r="B191" s="31"/>
      <c r="C191" s="30"/>
      <c r="D191" s="30"/>
      <c r="E191" s="30"/>
      <c r="F191" s="32" t="str">
        <f t="shared" si="10"/>
        <v/>
      </c>
      <c r="G191" s="30"/>
      <c r="H191" s="30"/>
      <c r="I191" s="30"/>
      <c r="J191" s="32" t="str">
        <f t="shared" si="11"/>
        <v/>
      </c>
      <c r="K191" s="30" t="str">
        <f t="shared" si="12"/>
        <v/>
      </c>
      <c r="L191" s="30"/>
      <c r="M191" s="30"/>
      <c r="N191" s="22"/>
      <c r="O191" s="25"/>
      <c r="P191" s="26"/>
      <c r="Q191" s="22"/>
      <c r="R191" s="22"/>
      <c r="S191" s="22" t="str">
        <f t="shared" si="13"/>
        <v/>
      </c>
      <c r="T191" s="22" t="str">
        <f>IF(C191="","",IF(COUNTIF(tTQMReguliDoc[Cheie_regula],S191)&lt;&gt;1,"REGULA NECONFIGURATA",IF(COUNTIFS(tTQMReguliDoc[Cheie_regula],S191,tTQMReguliDoc[Stare],"Confirmata")=1,"Confirmata","De confirmat")))</f>
        <v/>
      </c>
      <c r="U191" s="22">
        <f>IF(OR(C191="",T191&lt;&gt;"Confirmata"),0,IF(COUNTIFS(tTQMReguliDoc[Cheie_regula],S191,tTQMReguliDoc[Aviz],"Da")=1,1,0))</f>
        <v>0</v>
      </c>
      <c r="V191" s="22">
        <f>IF(OR(C191="",T191&lt;&gt;"Confirmata"),0,IF(COUNTIFS(tTQMReguliDoc[Cheie_regula],S191,tTQMReguliDoc[Decl_conformitate],"Da")=1,1,0))</f>
        <v>0</v>
      </c>
      <c r="W191" s="22">
        <f>IF(OR(C191="",T191&lt;&gt;"Confirmata"),0,IF(COUNTIFS(tTQMReguliDoc[Cheie_regula],S191,tTQMReguliDoc[Decl_producator],"Da")=1,1,0))</f>
        <v>0</v>
      </c>
      <c r="X191" s="22">
        <f>IF(OR(C191="",T191&lt;&gt;"Confirmata"),0,IF(COUNTIFS(tTQMReguliDoc[Cheie_regula],S191,tTQMReguliDoc[Fise_tehnice],"Da")=1,1,0))</f>
        <v>0</v>
      </c>
      <c r="Y191" s="22" t="str">
        <f t="shared" si="14"/>
        <v/>
      </c>
      <c r="Z191" s="22"/>
      <c r="AA191" s="22"/>
    </row>
    <row r="192" spans="1:27" ht="15" customHeight="1">
      <c r="A192" s="30"/>
      <c r="B192" s="31"/>
      <c r="C192" s="30"/>
      <c r="D192" s="30"/>
      <c r="E192" s="30"/>
      <c r="F192" s="32" t="str">
        <f t="shared" si="10"/>
        <v/>
      </c>
      <c r="G192" s="30"/>
      <c r="H192" s="30"/>
      <c r="I192" s="30"/>
      <c r="J192" s="32" t="str">
        <f t="shared" si="11"/>
        <v/>
      </c>
      <c r="K192" s="30" t="str">
        <f t="shared" si="12"/>
        <v/>
      </c>
      <c r="L192" s="30"/>
      <c r="M192" s="30"/>
      <c r="N192" s="22"/>
      <c r="O192" s="25"/>
      <c r="P192" s="26"/>
      <c r="Q192" s="22"/>
      <c r="R192" s="22"/>
      <c r="S192" s="22" t="str">
        <f t="shared" si="13"/>
        <v/>
      </c>
      <c r="T192" s="22" t="str">
        <f>IF(C192="","",IF(COUNTIF(tTQMReguliDoc[Cheie_regula],S192)&lt;&gt;1,"REGULA NECONFIGURATA",IF(COUNTIFS(tTQMReguliDoc[Cheie_regula],S192,tTQMReguliDoc[Stare],"Confirmata")=1,"Confirmata","De confirmat")))</f>
        <v/>
      </c>
      <c r="U192" s="22">
        <f>IF(OR(C192="",T192&lt;&gt;"Confirmata"),0,IF(COUNTIFS(tTQMReguliDoc[Cheie_regula],S192,tTQMReguliDoc[Aviz],"Da")=1,1,0))</f>
        <v>0</v>
      </c>
      <c r="V192" s="22">
        <f>IF(OR(C192="",T192&lt;&gt;"Confirmata"),0,IF(COUNTIFS(tTQMReguliDoc[Cheie_regula],S192,tTQMReguliDoc[Decl_conformitate],"Da")=1,1,0))</f>
        <v>0</v>
      </c>
      <c r="W192" s="22">
        <f>IF(OR(C192="",T192&lt;&gt;"Confirmata"),0,IF(COUNTIFS(tTQMReguliDoc[Cheie_regula],S192,tTQMReguliDoc[Decl_producator],"Da")=1,1,0))</f>
        <v>0</v>
      </c>
      <c r="X192" s="22">
        <f>IF(OR(C192="",T192&lt;&gt;"Confirmata"),0,IF(COUNTIFS(tTQMReguliDoc[Cheie_regula],S192,tTQMReguliDoc[Fise_tehnice],"Da")=1,1,0))</f>
        <v>0</v>
      </c>
      <c r="Y192" s="22" t="str">
        <f t="shared" si="14"/>
        <v/>
      </c>
      <c r="Z192" s="22"/>
      <c r="AA192" s="22"/>
    </row>
    <row r="193" spans="1:27" ht="15" customHeight="1">
      <c r="A193" s="30"/>
      <c r="B193" s="31"/>
      <c r="C193" s="30"/>
      <c r="D193" s="30"/>
      <c r="E193" s="30"/>
      <c r="F193" s="32" t="str">
        <f t="shared" si="10"/>
        <v/>
      </c>
      <c r="G193" s="30"/>
      <c r="H193" s="30"/>
      <c r="I193" s="30"/>
      <c r="J193" s="32" t="str">
        <f t="shared" si="11"/>
        <v/>
      </c>
      <c r="K193" s="30" t="str">
        <f t="shared" si="12"/>
        <v/>
      </c>
      <c r="L193" s="30"/>
      <c r="M193" s="30"/>
      <c r="N193" s="22"/>
      <c r="O193" s="25"/>
      <c r="P193" s="26"/>
      <c r="Q193" s="22"/>
      <c r="R193" s="22"/>
      <c r="S193" s="22" t="str">
        <f t="shared" si="13"/>
        <v/>
      </c>
      <c r="T193" s="22" t="str">
        <f>IF(C193="","",IF(COUNTIF(tTQMReguliDoc[Cheie_regula],S193)&lt;&gt;1,"REGULA NECONFIGURATA",IF(COUNTIFS(tTQMReguliDoc[Cheie_regula],S193,tTQMReguliDoc[Stare],"Confirmata")=1,"Confirmata","De confirmat")))</f>
        <v/>
      </c>
      <c r="U193" s="22">
        <f>IF(OR(C193="",T193&lt;&gt;"Confirmata"),0,IF(COUNTIFS(tTQMReguliDoc[Cheie_regula],S193,tTQMReguliDoc[Aviz],"Da")=1,1,0))</f>
        <v>0</v>
      </c>
      <c r="V193" s="22">
        <f>IF(OR(C193="",T193&lt;&gt;"Confirmata"),0,IF(COUNTIFS(tTQMReguliDoc[Cheie_regula],S193,tTQMReguliDoc[Decl_conformitate],"Da")=1,1,0))</f>
        <v>0</v>
      </c>
      <c r="W193" s="22">
        <f>IF(OR(C193="",T193&lt;&gt;"Confirmata"),0,IF(COUNTIFS(tTQMReguliDoc[Cheie_regula],S193,tTQMReguliDoc[Decl_producator],"Da")=1,1,0))</f>
        <v>0</v>
      </c>
      <c r="X193" s="22">
        <f>IF(OR(C193="",T193&lt;&gt;"Confirmata"),0,IF(COUNTIFS(tTQMReguliDoc[Cheie_regula],S193,tTQMReguliDoc[Fise_tehnice],"Da")=1,1,0))</f>
        <v>0</v>
      </c>
      <c r="Y193" s="22" t="str">
        <f t="shared" si="14"/>
        <v/>
      </c>
      <c r="Z193" s="22"/>
      <c r="AA193" s="22"/>
    </row>
    <row r="194" spans="1:27" ht="15" customHeight="1">
      <c r="A194" s="30"/>
      <c r="B194" s="31"/>
      <c r="C194" s="30"/>
      <c r="D194" s="30"/>
      <c r="E194" s="30"/>
      <c r="F194" s="32" t="str">
        <f t="shared" si="10"/>
        <v/>
      </c>
      <c r="G194" s="30"/>
      <c r="H194" s="30"/>
      <c r="I194" s="30"/>
      <c r="J194" s="32" t="str">
        <f t="shared" si="11"/>
        <v/>
      </c>
      <c r="K194" s="30" t="str">
        <f t="shared" si="12"/>
        <v/>
      </c>
      <c r="L194" s="30"/>
      <c r="M194" s="30"/>
      <c r="N194" s="22"/>
      <c r="O194" s="25"/>
      <c r="P194" s="26"/>
      <c r="Q194" s="22"/>
      <c r="R194" s="22"/>
      <c r="S194" s="22" t="str">
        <f t="shared" si="13"/>
        <v/>
      </c>
      <c r="T194" s="22" t="str">
        <f>IF(C194="","",IF(COUNTIF(tTQMReguliDoc[Cheie_regula],S194)&lt;&gt;1,"REGULA NECONFIGURATA",IF(COUNTIFS(tTQMReguliDoc[Cheie_regula],S194,tTQMReguliDoc[Stare],"Confirmata")=1,"Confirmata","De confirmat")))</f>
        <v/>
      </c>
      <c r="U194" s="22">
        <f>IF(OR(C194="",T194&lt;&gt;"Confirmata"),0,IF(COUNTIFS(tTQMReguliDoc[Cheie_regula],S194,tTQMReguliDoc[Aviz],"Da")=1,1,0))</f>
        <v>0</v>
      </c>
      <c r="V194" s="22">
        <f>IF(OR(C194="",T194&lt;&gt;"Confirmata"),0,IF(COUNTIFS(tTQMReguliDoc[Cheie_regula],S194,tTQMReguliDoc[Decl_conformitate],"Da")=1,1,0))</f>
        <v>0</v>
      </c>
      <c r="W194" s="22">
        <f>IF(OR(C194="",T194&lt;&gt;"Confirmata"),0,IF(COUNTIFS(tTQMReguliDoc[Cheie_regula],S194,tTQMReguliDoc[Decl_producator],"Da")=1,1,0))</f>
        <v>0</v>
      </c>
      <c r="X194" s="22">
        <f>IF(OR(C194="",T194&lt;&gt;"Confirmata"),0,IF(COUNTIFS(tTQMReguliDoc[Cheie_regula],S194,tTQMReguliDoc[Fise_tehnice],"Da")=1,1,0))</f>
        <v>0</v>
      </c>
      <c r="Y194" s="22" t="str">
        <f t="shared" si="14"/>
        <v/>
      </c>
      <c r="Z194" s="22"/>
      <c r="AA194" s="22"/>
    </row>
    <row r="195" spans="1:27" ht="15" customHeight="1">
      <c r="A195" s="30"/>
      <c r="B195" s="31"/>
      <c r="C195" s="30"/>
      <c r="D195" s="30"/>
      <c r="E195" s="30"/>
      <c r="F195" s="32" t="str">
        <f t="shared" si="10"/>
        <v/>
      </c>
      <c r="G195" s="30"/>
      <c r="H195" s="30"/>
      <c r="I195" s="30"/>
      <c r="J195" s="32" t="str">
        <f t="shared" si="11"/>
        <v/>
      </c>
      <c r="K195" s="30" t="str">
        <f t="shared" si="12"/>
        <v/>
      </c>
      <c r="L195" s="30"/>
      <c r="M195" s="30"/>
      <c r="N195" s="22"/>
      <c r="O195" s="25"/>
      <c r="P195" s="26"/>
      <c r="Q195" s="22"/>
      <c r="R195" s="22"/>
      <c r="S195" s="22" t="str">
        <f t="shared" si="13"/>
        <v/>
      </c>
      <c r="T195" s="22" t="str">
        <f>IF(C195="","",IF(COUNTIF(tTQMReguliDoc[Cheie_regula],S195)&lt;&gt;1,"REGULA NECONFIGURATA",IF(COUNTIFS(tTQMReguliDoc[Cheie_regula],S195,tTQMReguliDoc[Stare],"Confirmata")=1,"Confirmata","De confirmat")))</f>
        <v/>
      </c>
      <c r="U195" s="22">
        <f>IF(OR(C195="",T195&lt;&gt;"Confirmata"),0,IF(COUNTIFS(tTQMReguliDoc[Cheie_regula],S195,tTQMReguliDoc[Aviz],"Da")=1,1,0))</f>
        <v>0</v>
      </c>
      <c r="V195" s="22">
        <f>IF(OR(C195="",T195&lt;&gt;"Confirmata"),0,IF(COUNTIFS(tTQMReguliDoc[Cheie_regula],S195,tTQMReguliDoc[Decl_conformitate],"Da")=1,1,0))</f>
        <v>0</v>
      </c>
      <c r="W195" s="22">
        <f>IF(OR(C195="",T195&lt;&gt;"Confirmata"),0,IF(COUNTIFS(tTQMReguliDoc[Cheie_regula],S195,tTQMReguliDoc[Decl_producator],"Da")=1,1,0))</f>
        <v>0</v>
      </c>
      <c r="X195" s="22">
        <f>IF(OR(C195="",T195&lt;&gt;"Confirmata"),0,IF(COUNTIFS(tTQMReguliDoc[Cheie_regula],S195,tTQMReguliDoc[Fise_tehnice],"Da")=1,1,0))</f>
        <v>0</v>
      </c>
      <c r="Y195" s="22" t="str">
        <f t="shared" si="14"/>
        <v/>
      </c>
      <c r="Z195" s="22"/>
      <c r="AA195" s="22"/>
    </row>
    <row r="196" spans="1:27" ht="15" customHeight="1">
      <c r="A196" s="30"/>
      <c r="B196" s="31"/>
      <c r="C196" s="30"/>
      <c r="D196" s="30"/>
      <c r="E196" s="30"/>
      <c r="F196" s="32" t="str">
        <f t="shared" si="10"/>
        <v/>
      </c>
      <c r="G196" s="30"/>
      <c r="H196" s="30"/>
      <c r="I196" s="30"/>
      <c r="J196" s="32" t="str">
        <f t="shared" si="11"/>
        <v/>
      </c>
      <c r="K196" s="30" t="str">
        <f t="shared" si="12"/>
        <v/>
      </c>
      <c r="L196" s="30"/>
      <c r="M196" s="30"/>
      <c r="N196" s="22"/>
      <c r="O196" s="25"/>
      <c r="P196" s="26"/>
      <c r="Q196" s="22"/>
      <c r="R196" s="22"/>
      <c r="S196" s="22" t="str">
        <f t="shared" si="13"/>
        <v/>
      </c>
      <c r="T196" s="22" t="str">
        <f>IF(C196="","",IF(COUNTIF(tTQMReguliDoc[Cheie_regula],S196)&lt;&gt;1,"REGULA NECONFIGURATA",IF(COUNTIFS(tTQMReguliDoc[Cheie_regula],S196,tTQMReguliDoc[Stare],"Confirmata")=1,"Confirmata","De confirmat")))</f>
        <v/>
      </c>
      <c r="U196" s="22">
        <f>IF(OR(C196="",T196&lt;&gt;"Confirmata"),0,IF(COUNTIFS(tTQMReguliDoc[Cheie_regula],S196,tTQMReguliDoc[Aviz],"Da")=1,1,0))</f>
        <v>0</v>
      </c>
      <c r="V196" s="22">
        <f>IF(OR(C196="",T196&lt;&gt;"Confirmata"),0,IF(COUNTIFS(tTQMReguliDoc[Cheie_regula],S196,tTQMReguliDoc[Decl_conformitate],"Da")=1,1,0))</f>
        <v>0</v>
      </c>
      <c r="W196" s="22">
        <f>IF(OR(C196="",T196&lt;&gt;"Confirmata"),0,IF(COUNTIFS(tTQMReguliDoc[Cheie_regula],S196,tTQMReguliDoc[Decl_producator],"Da")=1,1,0))</f>
        <v>0</v>
      </c>
      <c r="X196" s="22">
        <f>IF(OR(C196="",T196&lt;&gt;"Confirmata"),0,IF(COUNTIFS(tTQMReguliDoc[Cheie_regula],S196,tTQMReguliDoc[Fise_tehnice],"Da")=1,1,0))</f>
        <v>0</v>
      </c>
      <c r="Y196" s="22" t="str">
        <f t="shared" si="14"/>
        <v/>
      </c>
      <c r="Z196" s="22"/>
      <c r="AA196" s="22"/>
    </row>
    <row r="197" spans="1:27" ht="15" customHeight="1">
      <c r="A197" s="30"/>
      <c r="B197" s="31"/>
      <c r="C197" s="30"/>
      <c r="D197" s="30"/>
      <c r="E197" s="30"/>
      <c r="F197" s="32" t="str">
        <f t="shared" si="10"/>
        <v/>
      </c>
      <c r="G197" s="30"/>
      <c r="H197" s="30"/>
      <c r="I197" s="30"/>
      <c r="J197" s="32" t="str">
        <f t="shared" si="11"/>
        <v/>
      </c>
      <c r="K197" s="30" t="str">
        <f t="shared" si="12"/>
        <v/>
      </c>
      <c r="L197" s="30"/>
      <c r="M197" s="30"/>
      <c r="N197" s="22"/>
      <c r="O197" s="25"/>
      <c r="P197" s="26"/>
      <c r="Q197" s="22"/>
      <c r="R197" s="22"/>
      <c r="S197" s="22" t="str">
        <f t="shared" si="13"/>
        <v/>
      </c>
      <c r="T197" s="22" t="str">
        <f>IF(C197="","",IF(COUNTIF(tTQMReguliDoc[Cheie_regula],S197)&lt;&gt;1,"REGULA NECONFIGURATA",IF(COUNTIFS(tTQMReguliDoc[Cheie_regula],S197,tTQMReguliDoc[Stare],"Confirmata")=1,"Confirmata","De confirmat")))</f>
        <v/>
      </c>
      <c r="U197" s="22">
        <f>IF(OR(C197="",T197&lt;&gt;"Confirmata"),0,IF(COUNTIFS(tTQMReguliDoc[Cheie_regula],S197,tTQMReguliDoc[Aviz],"Da")=1,1,0))</f>
        <v>0</v>
      </c>
      <c r="V197" s="22">
        <f>IF(OR(C197="",T197&lt;&gt;"Confirmata"),0,IF(COUNTIFS(tTQMReguliDoc[Cheie_regula],S197,tTQMReguliDoc[Decl_conformitate],"Da")=1,1,0))</f>
        <v>0</v>
      </c>
      <c r="W197" s="22">
        <f>IF(OR(C197="",T197&lt;&gt;"Confirmata"),0,IF(COUNTIFS(tTQMReguliDoc[Cheie_regula],S197,tTQMReguliDoc[Decl_producator],"Da")=1,1,0))</f>
        <v>0</v>
      </c>
      <c r="X197" s="22">
        <f>IF(OR(C197="",T197&lt;&gt;"Confirmata"),0,IF(COUNTIFS(tTQMReguliDoc[Cheie_regula],S197,tTQMReguliDoc[Fise_tehnice],"Da")=1,1,0))</f>
        <v>0</v>
      </c>
      <c r="Y197" s="22" t="str">
        <f t="shared" si="14"/>
        <v/>
      </c>
      <c r="Z197" s="22"/>
      <c r="AA197" s="22"/>
    </row>
    <row r="198" spans="1:27" ht="15" customHeight="1">
      <c r="A198" s="30"/>
      <c r="B198" s="31"/>
      <c r="C198" s="30"/>
      <c r="D198" s="30"/>
      <c r="E198" s="30"/>
      <c r="F198" s="32" t="str">
        <f t="shared" si="10"/>
        <v/>
      </c>
      <c r="G198" s="30"/>
      <c r="H198" s="30"/>
      <c r="I198" s="30"/>
      <c r="J198" s="32" t="str">
        <f t="shared" si="11"/>
        <v/>
      </c>
      <c r="K198" s="30" t="str">
        <f t="shared" si="12"/>
        <v/>
      </c>
      <c r="L198" s="30"/>
      <c r="M198" s="30"/>
      <c r="N198" s="22"/>
      <c r="O198" s="25"/>
      <c r="P198" s="26"/>
      <c r="Q198" s="22"/>
      <c r="R198" s="22"/>
      <c r="S198" s="22" t="str">
        <f t="shared" si="13"/>
        <v/>
      </c>
      <c r="T198" s="22" t="str">
        <f>IF(C198="","",IF(COUNTIF(tTQMReguliDoc[Cheie_regula],S198)&lt;&gt;1,"REGULA NECONFIGURATA",IF(COUNTIFS(tTQMReguliDoc[Cheie_regula],S198,tTQMReguliDoc[Stare],"Confirmata")=1,"Confirmata","De confirmat")))</f>
        <v/>
      </c>
      <c r="U198" s="22">
        <f>IF(OR(C198="",T198&lt;&gt;"Confirmata"),0,IF(COUNTIFS(tTQMReguliDoc[Cheie_regula],S198,tTQMReguliDoc[Aviz],"Da")=1,1,0))</f>
        <v>0</v>
      </c>
      <c r="V198" s="22">
        <f>IF(OR(C198="",T198&lt;&gt;"Confirmata"),0,IF(COUNTIFS(tTQMReguliDoc[Cheie_regula],S198,tTQMReguliDoc[Decl_conformitate],"Da")=1,1,0))</f>
        <v>0</v>
      </c>
      <c r="W198" s="22">
        <f>IF(OR(C198="",T198&lt;&gt;"Confirmata"),0,IF(COUNTIFS(tTQMReguliDoc[Cheie_regula],S198,tTQMReguliDoc[Decl_producator],"Da")=1,1,0))</f>
        <v>0</v>
      </c>
      <c r="X198" s="22">
        <f>IF(OR(C198="",T198&lt;&gt;"Confirmata"),0,IF(COUNTIFS(tTQMReguliDoc[Cheie_regula],S198,tTQMReguliDoc[Fise_tehnice],"Da")=1,1,0))</f>
        <v>0</v>
      </c>
      <c r="Y198" s="22" t="str">
        <f t="shared" si="14"/>
        <v/>
      </c>
      <c r="Z198" s="22"/>
      <c r="AA198" s="22"/>
    </row>
    <row r="199" spans="1:27" ht="15" customHeight="1">
      <c r="A199" s="30"/>
      <c r="B199" s="31"/>
      <c r="C199" s="30"/>
      <c r="D199" s="30"/>
      <c r="E199" s="30"/>
      <c r="F199" s="32" t="str">
        <f t="shared" si="10"/>
        <v/>
      </c>
      <c r="G199" s="30"/>
      <c r="H199" s="30"/>
      <c r="I199" s="30"/>
      <c r="J199" s="32" t="str">
        <f t="shared" si="11"/>
        <v/>
      </c>
      <c r="K199" s="30" t="str">
        <f t="shared" si="12"/>
        <v/>
      </c>
      <c r="L199" s="30"/>
      <c r="M199" s="30"/>
      <c r="N199" s="22"/>
      <c r="O199" s="25"/>
      <c r="P199" s="26"/>
      <c r="Q199" s="22"/>
      <c r="R199" s="22"/>
      <c r="S199" s="22" t="str">
        <f t="shared" si="13"/>
        <v/>
      </c>
      <c r="T199" s="22" t="str">
        <f>IF(C199="","",IF(COUNTIF(tTQMReguliDoc[Cheie_regula],S199)&lt;&gt;1,"REGULA NECONFIGURATA",IF(COUNTIFS(tTQMReguliDoc[Cheie_regula],S199,tTQMReguliDoc[Stare],"Confirmata")=1,"Confirmata","De confirmat")))</f>
        <v/>
      </c>
      <c r="U199" s="22">
        <f>IF(OR(C199="",T199&lt;&gt;"Confirmata"),0,IF(COUNTIFS(tTQMReguliDoc[Cheie_regula],S199,tTQMReguliDoc[Aviz],"Da")=1,1,0))</f>
        <v>0</v>
      </c>
      <c r="V199" s="22">
        <f>IF(OR(C199="",T199&lt;&gt;"Confirmata"),0,IF(COUNTIFS(tTQMReguliDoc[Cheie_regula],S199,tTQMReguliDoc[Decl_conformitate],"Da")=1,1,0))</f>
        <v>0</v>
      </c>
      <c r="W199" s="22">
        <f>IF(OR(C199="",T199&lt;&gt;"Confirmata"),0,IF(COUNTIFS(tTQMReguliDoc[Cheie_regula],S199,tTQMReguliDoc[Decl_producator],"Da")=1,1,0))</f>
        <v>0</v>
      </c>
      <c r="X199" s="22">
        <f>IF(OR(C199="",T199&lt;&gt;"Confirmata"),0,IF(COUNTIFS(tTQMReguliDoc[Cheie_regula],S199,tTQMReguliDoc[Fise_tehnice],"Da")=1,1,0))</f>
        <v>0</v>
      </c>
      <c r="Y199" s="22" t="str">
        <f t="shared" si="14"/>
        <v/>
      </c>
      <c r="Z199" s="22"/>
      <c r="AA199" s="22"/>
    </row>
    <row r="200" spans="1:27" ht="15" customHeight="1">
      <c r="A200" s="30"/>
      <c r="B200" s="31"/>
      <c r="C200" s="30"/>
      <c r="D200" s="30"/>
      <c r="E200" s="30"/>
      <c r="F200" s="32" t="str">
        <f t="shared" si="10"/>
        <v/>
      </c>
      <c r="G200" s="30"/>
      <c r="H200" s="30"/>
      <c r="I200" s="30"/>
      <c r="J200" s="32" t="str">
        <f t="shared" si="11"/>
        <v/>
      </c>
      <c r="K200" s="30" t="str">
        <f t="shared" si="12"/>
        <v/>
      </c>
      <c r="L200" s="30"/>
      <c r="M200" s="30"/>
      <c r="N200" s="22"/>
      <c r="O200" s="25"/>
      <c r="P200" s="26"/>
      <c r="Q200" s="22"/>
      <c r="R200" s="22"/>
      <c r="S200" s="22" t="str">
        <f t="shared" si="13"/>
        <v/>
      </c>
      <c r="T200" s="22" t="str">
        <f>IF(C200="","",IF(COUNTIF(tTQMReguliDoc[Cheie_regula],S200)&lt;&gt;1,"REGULA NECONFIGURATA",IF(COUNTIFS(tTQMReguliDoc[Cheie_regula],S200,tTQMReguliDoc[Stare],"Confirmata")=1,"Confirmata","De confirmat")))</f>
        <v/>
      </c>
      <c r="U200" s="22">
        <f>IF(OR(C200="",T200&lt;&gt;"Confirmata"),0,IF(COUNTIFS(tTQMReguliDoc[Cheie_regula],S200,tTQMReguliDoc[Aviz],"Da")=1,1,0))</f>
        <v>0</v>
      </c>
      <c r="V200" s="22">
        <f>IF(OR(C200="",T200&lt;&gt;"Confirmata"),0,IF(COUNTIFS(tTQMReguliDoc[Cheie_regula],S200,tTQMReguliDoc[Decl_conformitate],"Da")=1,1,0))</f>
        <v>0</v>
      </c>
      <c r="W200" s="22">
        <f>IF(OR(C200="",T200&lt;&gt;"Confirmata"),0,IF(COUNTIFS(tTQMReguliDoc[Cheie_regula],S200,tTQMReguliDoc[Decl_producator],"Da")=1,1,0))</f>
        <v>0</v>
      </c>
      <c r="X200" s="22">
        <f>IF(OR(C200="",T200&lt;&gt;"Confirmata"),0,IF(COUNTIFS(tTQMReguliDoc[Cheie_regula],S200,tTQMReguliDoc[Fise_tehnice],"Da")=1,1,0))</f>
        <v>0</v>
      </c>
      <c r="Y200" s="22" t="str">
        <f t="shared" si="14"/>
        <v/>
      </c>
      <c r="Z200" s="22"/>
      <c r="AA200" s="22"/>
    </row>
    <row r="201" spans="1:27" ht="15" customHeight="1">
      <c r="A201" s="30"/>
      <c r="B201" s="31"/>
      <c r="C201" s="30"/>
      <c r="D201" s="30"/>
      <c r="E201" s="30"/>
      <c r="F201" s="32" t="str">
        <f t="shared" si="10"/>
        <v/>
      </c>
      <c r="G201" s="30"/>
      <c r="H201" s="30"/>
      <c r="I201" s="30"/>
      <c r="J201" s="32" t="str">
        <f t="shared" si="11"/>
        <v/>
      </c>
      <c r="K201" s="30" t="str">
        <f t="shared" si="12"/>
        <v/>
      </c>
      <c r="L201" s="30"/>
      <c r="M201" s="30"/>
      <c r="N201" s="22"/>
      <c r="O201" s="25"/>
      <c r="P201" s="26"/>
      <c r="Q201" s="22"/>
      <c r="R201" s="22"/>
      <c r="S201" s="22" t="str">
        <f t="shared" si="13"/>
        <v/>
      </c>
      <c r="T201" s="22" t="str">
        <f>IF(C201="","",IF(COUNTIF(tTQMReguliDoc[Cheie_regula],S201)&lt;&gt;1,"REGULA NECONFIGURATA",IF(COUNTIFS(tTQMReguliDoc[Cheie_regula],S201,tTQMReguliDoc[Stare],"Confirmata")=1,"Confirmata","De confirmat")))</f>
        <v/>
      </c>
      <c r="U201" s="22">
        <f>IF(OR(C201="",T201&lt;&gt;"Confirmata"),0,IF(COUNTIFS(tTQMReguliDoc[Cheie_regula],S201,tTQMReguliDoc[Aviz],"Da")=1,1,0))</f>
        <v>0</v>
      </c>
      <c r="V201" s="22">
        <f>IF(OR(C201="",T201&lt;&gt;"Confirmata"),0,IF(COUNTIFS(tTQMReguliDoc[Cheie_regula],S201,tTQMReguliDoc[Decl_conformitate],"Da")=1,1,0))</f>
        <v>0</v>
      </c>
      <c r="W201" s="22">
        <f>IF(OR(C201="",T201&lt;&gt;"Confirmata"),0,IF(COUNTIFS(tTQMReguliDoc[Cheie_regula],S201,tTQMReguliDoc[Decl_producator],"Da")=1,1,0))</f>
        <v>0</v>
      </c>
      <c r="X201" s="22">
        <f>IF(OR(C201="",T201&lt;&gt;"Confirmata"),0,IF(COUNTIFS(tTQMReguliDoc[Cheie_regula],S201,tTQMReguliDoc[Fise_tehnice],"Da")=1,1,0))</f>
        <v>0</v>
      </c>
      <c r="Y201" s="22" t="str">
        <f t="shared" si="14"/>
        <v/>
      </c>
      <c r="Z201" s="22"/>
      <c r="AA201" s="22"/>
    </row>
    <row r="202" spans="1:27" ht="15" customHeight="1">
      <c r="A202" s="30"/>
      <c r="B202" s="31"/>
      <c r="C202" s="30"/>
      <c r="D202" s="30"/>
      <c r="E202" s="30"/>
      <c r="F202" s="32" t="str">
        <f t="shared" si="10"/>
        <v/>
      </c>
      <c r="G202" s="30"/>
      <c r="H202" s="30"/>
      <c r="I202" s="30"/>
      <c r="J202" s="32" t="str">
        <f t="shared" si="11"/>
        <v/>
      </c>
      <c r="K202" s="30" t="str">
        <f t="shared" si="12"/>
        <v/>
      </c>
      <c r="L202" s="30"/>
      <c r="M202" s="30"/>
      <c r="N202" s="22"/>
      <c r="O202" s="25"/>
      <c r="P202" s="26"/>
      <c r="Q202" s="22"/>
      <c r="R202" s="22"/>
      <c r="S202" s="22" t="str">
        <f t="shared" si="13"/>
        <v/>
      </c>
      <c r="T202" s="22" t="str">
        <f>IF(C202="","",IF(COUNTIF(tTQMReguliDoc[Cheie_regula],S202)&lt;&gt;1,"REGULA NECONFIGURATA",IF(COUNTIFS(tTQMReguliDoc[Cheie_regula],S202,tTQMReguliDoc[Stare],"Confirmata")=1,"Confirmata","De confirmat")))</f>
        <v/>
      </c>
      <c r="U202" s="22">
        <f>IF(OR(C202="",T202&lt;&gt;"Confirmata"),0,IF(COUNTIFS(tTQMReguliDoc[Cheie_regula],S202,tTQMReguliDoc[Aviz],"Da")=1,1,0))</f>
        <v>0</v>
      </c>
      <c r="V202" s="22">
        <f>IF(OR(C202="",T202&lt;&gt;"Confirmata"),0,IF(COUNTIFS(tTQMReguliDoc[Cheie_regula],S202,tTQMReguliDoc[Decl_conformitate],"Da")=1,1,0))</f>
        <v>0</v>
      </c>
      <c r="W202" s="22">
        <f>IF(OR(C202="",T202&lt;&gt;"Confirmata"),0,IF(COUNTIFS(tTQMReguliDoc[Cheie_regula],S202,tTQMReguliDoc[Decl_producator],"Da")=1,1,0))</f>
        <v>0</v>
      </c>
      <c r="X202" s="22">
        <f>IF(OR(C202="",T202&lt;&gt;"Confirmata"),0,IF(COUNTIFS(tTQMReguliDoc[Cheie_regula],S202,tTQMReguliDoc[Fise_tehnice],"Da")=1,1,0))</f>
        <v>0</v>
      </c>
      <c r="Y202" s="22" t="str">
        <f t="shared" si="14"/>
        <v/>
      </c>
      <c r="Z202" s="22"/>
      <c r="AA202" s="22"/>
    </row>
    <row r="203" spans="1:27" ht="15" customHeight="1">
      <c r="A203" s="30"/>
      <c r="B203" s="31"/>
      <c r="C203" s="30"/>
      <c r="D203" s="30"/>
      <c r="E203" s="30"/>
      <c r="F203" s="32" t="str">
        <f t="shared" si="10"/>
        <v/>
      </c>
      <c r="G203" s="30"/>
      <c r="H203" s="30"/>
      <c r="I203" s="30"/>
      <c r="J203" s="32" t="str">
        <f t="shared" si="11"/>
        <v/>
      </c>
      <c r="K203" s="30" t="str">
        <f t="shared" si="12"/>
        <v/>
      </c>
      <c r="L203" s="30"/>
      <c r="M203" s="30"/>
      <c r="N203" s="22"/>
      <c r="O203" s="25"/>
      <c r="P203" s="26"/>
      <c r="Q203" s="22"/>
      <c r="R203" s="22"/>
      <c r="S203" s="22" t="str">
        <f t="shared" si="13"/>
        <v/>
      </c>
      <c r="T203" s="22" t="str">
        <f>IF(C203="","",IF(COUNTIF(tTQMReguliDoc[Cheie_regula],S203)&lt;&gt;1,"REGULA NECONFIGURATA",IF(COUNTIFS(tTQMReguliDoc[Cheie_regula],S203,tTQMReguliDoc[Stare],"Confirmata")=1,"Confirmata","De confirmat")))</f>
        <v/>
      </c>
      <c r="U203" s="22">
        <f>IF(OR(C203="",T203&lt;&gt;"Confirmata"),0,IF(COUNTIFS(tTQMReguliDoc[Cheie_regula],S203,tTQMReguliDoc[Aviz],"Da")=1,1,0))</f>
        <v>0</v>
      </c>
      <c r="V203" s="22">
        <f>IF(OR(C203="",T203&lt;&gt;"Confirmata"),0,IF(COUNTIFS(tTQMReguliDoc[Cheie_regula],S203,tTQMReguliDoc[Decl_conformitate],"Da")=1,1,0))</f>
        <v>0</v>
      </c>
      <c r="W203" s="22">
        <f>IF(OR(C203="",T203&lt;&gt;"Confirmata"),0,IF(COUNTIFS(tTQMReguliDoc[Cheie_regula],S203,tTQMReguliDoc[Decl_producator],"Da")=1,1,0))</f>
        <v>0</v>
      </c>
      <c r="X203" s="22">
        <f>IF(OR(C203="",T203&lt;&gt;"Confirmata"),0,IF(COUNTIFS(tTQMReguliDoc[Cheie_regula],S203,tTQMReguliDoc[Fise_tehnice],"Da")=1,1,0))</f>
        <v>0</v>
      </c>
      <c r="Y203" s="22" t="str">
        <f t="shared" si="14"/>
        <v/>
      </c>
      <c r="Z203" s="22"/>
      <c r="AA203" s="22"/>
    </row>
    <row r="204" spans="1:27" ht="15" customHeight="1">
      <c r="A204" s="30"/>
      <c r="B204" s="31"/>
      <c r="C204" s="30"/>
      <c r="D204" s="30"/>
      <c r="E204" s="30"/>
      <c r="F204" s="32" t="str">
        <f t="shared" si="10"/>
        <v/>
      </c>
      <c r="G204" s="30"/>
      <c r="H204" s="30"/>
      <c r="I204" s="30"/>
      <c r="J204" s="32" t="str">
        <f t="shared" si="11"/>
        <v/>
      </c>
      <c r="K204" s="30" t="str">
        <f t="shared" si="12"/>
        <v/>
      </c>
      <c r="L204" s="30"/>
      <c r="M204" s="30"/>
      <c r="N204" s="22"/>
      <c r="O204" s="25"/>
      <c r="P204" s="26"/>
      <c r="Q204" s="22"/>
      <c r="R204" s="22"/>
      <c r="S204" s="22" t="str">
        <f t="shared" si="13"/>
        <v/>
      </c>
      <c r="T204" s="22" t="str">
        <f>IF(C204="","",IF(COUNTIF(tTQMReguliDoc[Cheie_regula],S204)&lt;&gt;1,"REGULA NECONFIGURATA",IF(COUNTIFS(tTQMReguliDoc[Cheie_regula],S204,tTQMReguliDoc[Stare],"Confirmata")=1,"Confirmata","De confirmat")))</f>
        <v/>
      </c>
      <c r="U204" s="22">
        <f>IF(OR(C204="",T204&lt;&gt;"Confirmata"),0,IF(COUNTIFS(tTQMReguliDoc[Cheie_regula],S204,tTQMReguliDoc[Aviz],"Da")=1,1,0))</f>
        <v>0</v>
      </c>
      <c r="V204" s="22">
        <f>IF(OR(C204="",T204&lt;&gt;"Confirmata"),0,IF(COUNTIFS(tTQMReguliDoc[Cheie_regula],S204,tTQMReguliDoc[Decl_conformitate],"Da")=1,1,0))</f>
        <v>0</v>
      </c>
      <c r="W204" s="22">
        <f>IF(OR(C204="",T204&lt;&gt;"Confirmata"),0,IF(COUNTIFS(tTQMReguliDoc[Cheie_regula],S204,tTQMReguliDoc[Decl_producator],"Da")=1,1,0))</f>
        <v>0</v>
      </c>
      <c r="X204" s="22">
        <f>IF(OR(C204="",T204&lt;&gt;"Confirmata"),0,IF(COUNTIFS(tTQMReguliDoc[Cheie_regula],S204,tTQMReguliDoc[Fise_tehnice],"Da")=1,1,0))</f>
        <v>0</v>
      </c>
      <c r="Y204" s="22" t="str">
        <f t="shared" si="14"/>
        <v/>
      </c>
      <c r="Z204" s="22"/>
      <c r="AA204" s="22"/>
    </row>
    <row r="205" spans="1:27" ht="15" customHeight="1">
      <c r="A205" s="30"/>
      <c r="B205" s="31"/>
      <c r="C205" s="30"/>
      <c r="D205" s="30"/>
      <c r="E205" s="30"/>
      <c r="F205" s="32" t="str">
        <f t="shared" si="10"/>
        <v/>
      </c>
      <c r="G205" s="30"/>
      <c r="H205" s="30"/>
      <c r="I205" s="30"/>
      <c r="J205" s="32" t="str">
        <f t="shared" si="11"/>
        <v/>
      </c>
      <c r="K205" s="30" t="str">
        <f t="shared" si="12"/>
        <v/>
      </c>
      <c r="L205" s="30"/>
      <c r="M205" s="30"/>
      <c r="N205" s="22"/>
      <c r="O205" s="25"/>
      <c r="P205" s="26"/>
      <c r="Q205" s="22"/>
      <c r="R205" s="22"/>
      <c r="S205" s="22" t="str">
        <f t="shared" si="13"/>
        <v/>
      </c>
      <c r="T205" s="22" t="str">
        <f>IF(C205="","",IF(COUNTIF(tTQMReguliDoc[Cheie_regula],S205)&lt;&gt;1,"REGULA NECONFIGURATA",IF(COUNTIFS(tTQMReguliDoc[Cheie_regula],S205,tTQMReguliDoc[Stare],"Confirmata")=1,"Confirmata","De confirmat")))</f>
        <v/>
      </c>
      <c r="U205" s="22">
        <f>IF(OR(C205="",T205&lt;&gt;"Confirmata"),0,IF(COUNTIFS(tTQMReguliDoc[Cheie_regula],S205,tTQMReguliDoc[Aviz],"Da")=1,1,0))</f>
        <v>0</v>
      </c>
      <c r="V205" s="22">
        <f>IF(OR(C205="",T205&lt;&gt;"Confirmata"),0,IF(COUNTIFS(tTQMReguliDoc[Cheie_regula],S205,tTQMReguliDoc[Decl_conformitate],"Da")=1,1,0))</f>
        <v>0</v>
      </c>
      <c r="W205" s="22">
        <f>IF(OR(C205="",T205&lt;&gt;"Confirmata"),0,IF(COUNTIFS(tTQMReguliDoc[Cheie_regula],S205,tTQMReguliDoc[Decl_producator],"Da")=1,1,0))</f>
        <v>0</v>
      </c>
      <c r="X205" s="22">
        <f>IF(OR(C205="",T205&lt;&gt;"Confirmata"),0,IF(COUNTIFS(tTQMReguliDoc[Cheie_regula],S205,tTQMReguliDoc[Fise_tehnice],"Da")=1,1,0))</f>
        <v>0</v>
      </c>
      <c r="Y205" s="22" t="str">
        <f t="shared" si="14"/>
        <v/>
      </c>
      <c r="Z205" s="22"/>
      <c r="AA205" s="22"/>
    </row>
    <row r="206" spans="1:27" ht="15" customHeight="1">
      <c r="A206" s="30"/>
      <c r="B206" s="31"/>
      <c r="C206" s="30"/>
      <c r="D206" s="30"/>
      <c r="E206" s="30"/>
      <c r="F206" s="32" t="str">
        <f t="shared" ref="F206:F269" si="15">IF(C206="","",IF(T206&lt;&gt;"Confirmata","DE CONFIRMAT",IF(U206=1,"OBLIGATORIU AVIZ","NU")))</f>
        <v/>
      </c>
      <c r="G206" s="30"/>
      <c r="H206" s="30"/>
      <c r="I206" s="30"/>
      <c r="J206" s="32" t="str">
        <f t="shared" ref="J206:J269" si="16">IF(C206="","",IF(K206="","DOSAR COMPLET","INCOMPLET - VERIFICARE DOCUMENTE"))</f>
        <v/>
      </c>
      <c r="K206" s="30" t="str">
        <f t="shared" ref="K206:K269" si="17">IF(C206="","",IF(Y206="","",LEFT(Y206,LEN(Y206)-2)))</f>
        <v/>
      </c>
      <c r="L206" s="30"/>
      <c r="M206" s="30"/>
      <c r="N206" s="22"/>
      <c r="O206" s="25"/>
      <c r="P206" s="26"/>
      <c r="Q206" s="22"/>
      <c r="R206" s="22"/>
      <c r="S206" s="22" t="str">
        <f t="shared" ref="S206:S269" si="18">IF(C206="","",IF(LEFT(LOWER(D206),4)="furn","Furnizor",IF(LEFT(LOWER(D206),4)="prod","Producator",IF(LEFT(LOWER(D206),4)="pres","Prestator",IF(LEFT(LOWER(D206),3)="alt","Alt partener",D206))))&amp;"|"&amp;IF(LEFT(LOWER(E206),4)="doar","Doar Aviz",IF(LEFT(LOWER(E206),4)="fact","Factura",E206)))</f>
        <v/>
      </c>
      <c r="T206" s="22" t="str">
        <f>IF(C206="","",IF(COUNTIF(tTQMReguliDoc[Cheie_regula],S206)&lt;&gt;1,"REGULA NECONFIGURATA",IF(COUNTIFS(tTQMReguliDoc[Cheie_regula],S206,tTQMReguliDoc[Stare],"Confirmata")=1,"Confirmata","De confirmat")))</f>
        <v/>
      </c>
      <c r="U206" s="22">
        <f>IF(OR(C206="",T206&lt;&gt;"Confirmata"),0,IF(COUNTIFS(tTQMReguliDoc[Cheie_regula],S206,tTQMReguliDoc[Aviz],"Da")=1,1,0))</f>
        <v>0</v>
      </c>
      <c r="V206" s="22">
        <f>IF(OR(C206="",T206&lt;&gt;"Confirmata"),0,IF(COUNTIFS(tTQMReguliDoc[Cheie_regula],S206,tTQMReguliDoc[Decl_conformitate],"Da")=1,1,0))</f>
        <v>0</v>
      </c>
      <c r="W206" s="22">
        <f>IF(OR(C206="",T206&lt;&gt;"Confirmata"),0,IF(COUNTIFS(tTQMReguliDoc[Cheie_regula],S206,tTQMReguliDoc[Decl_producator],"Da")=1,1,0))</f>
        <v>0</v>
      </c>
      <c r="X206" s="22">
        <f>IF(OR(C206="",T206&lt;&gt;"Confirmata"),0,IF(COUNTIFS(tTQMReguliDoc[Cheie_regula],S206,tTQMReguliDoc[Fise_tehnice],"Da")=1,1,0))</f>
        <v>0</v>
      </c>
      <c r="Y206" s="22" t="str">
        <f t="shared" ref="Y206:Y269" si="19">IF(C206="","",IF(T206&lt;&gt;"Confirmata","Confirmati regulile documentelor; ",IF(AND(U206=1,Z206&lt;&gt;"Primit"),"Aviz; ","")&amp;IF(AND(V206=1,G206&lt;&gt;"Primit"),"Declaratie conformitate; ","")&amp;IF(AND(W206=1,H206&lt;&gt;"Primit"),"Declaratie producator; ","")&amp;IF(AND(X206=1,I206&lt;&gt;"Primit"),"Fise tehnice; ","")))</f>
        <v/>
      </c>
      <c r="Z206" s="22"/>
      <c r="AA206" s="22"/>
    </row>
    <row r="207" spans="1:27" ht="15" customHeight="1">
      <c r="A207" s="30"/>
      <c r="B207" s="31"/>
      <c r="C207" s="30"/>
      <c r="D207" s="30"/>
      <c r="E207" s="30"/>
      <c r="F207" s="32" t="str">
        <f t="shared" si="15"/>
        <v/>
      </c>
      <c r="G207" s="30"/>
      <c r="H207" s="30"/>
      <c r="I207" s="30"/>
      <c r="J207" s="32" t="str">
        <f t="shared" si="16"/>
        <v/>
      </c>
      <c r="K207" s="30" t="str">
        <f t="shared" si="17"/>
        <v/>
      </c>
      <c r="L207" s="30"/>
      <c r="M207" s="30"/>
      <c r="N207" s="22"/>
      <c r="O207" s="25"/>
      <c r="P207" s="26"/>
      <c r="Q207" s="22"/>
      <c r="R207" s="22"/>
      <c r="S207" s="22" t="str">
        <f t="shared" si="18"/>
        <v/>
      </c>
      <c r="T207" s="22" t="str">
        <f>IF(C207="","",IF(COUNTIF(tTQMReguliDoc[Cheie_regula],S207)&lt;&gt;1,"REGULA NECONFIGURATA",IF(COUNTIFS(tTQMReguliDoc[Cheie_regula],S207,tTQMReguliDoc[Stare],"Confirmata")=1,"Confirmata","De confirmat")))</f>
        <v/>
      </c>
      <c r="U207" s="22">
        <f>IF(OR(C207="",T207&lt;&gt;"Confirmata"),0,IF(COUNTIFS(tTQMReguliDoc[Cheie_regula],S207,tTQMReguliDoc[Aviz],"Da")=1,1,0))</f>
        <v>0</v>
      </c>
      <c r="V207" s="22">
        <f>IF(OR(C207="",T207&lt;&gt;"Confirmata"),0,IF(COUNTIFS(tTQMReguliDoc[Cheie_regula],S207,tTQMReguliDoc[Decl_conformitate],"Da")=1,1,0))</f>
        <v>0</v>
      </c>
      <c r="W207" s="22">
        <f>IF(OR(C207="",T207&lt;&gt;"Confirmata"),0,IF(COUNTIFS(tTQMReguliDoc[Cheie_regula],S207,tTQMReguliDoc[Decl_producator],"Da")=1,1,0))</f>
        <v>0</v>
      </c>
      <c r="X207" s="22">
        <f>IF(OR(C207="",T207&lt;&gt;"Confirmata"),0,IF(COUNTIFS(tTQMReguliDoc[Cheie_regula],S207,tTQMReguliDoc[Fise_tehnice],"Da")=1,1,0))</f>
        <v>0</v>
      </c>
      <c r="Y207" s="22" t="str">
        <f t="shared" si="19"/>
        <v/>
      </c>
      <c r="Z207" s="22"/>
      <c r="AA207" s="22"/>
    </row>
    <row r="208" spans="1:27" ht="15" customHeight="1">
      <c r="A208" s="30"/>
      <c r="B208" s="31"/>
      <c r="C208" s="30"/>
      <c r="D208" s="30"/>
      <c r="E208" s="30"/>
      <c r="F208" s="32" t="str">
        <f t="shared" si="15"/>
        <v/>
      </c>
      <c r="G208" s="30"/>
      <c r="H208" s="30"/>
      <c r="I208" s="30"/>
      <c r="J208" s="32" t="str">
        <f t="shared" si="16"/>
        <v/>
      </c>
      <c r="K208" s="30" t="str">
        <f t="shared" si="17"/>
        <v/>
      </c>
      <c r="L208" s="30"/>
      <c r="M208" s="30"/>
      <c r="N208" s="22"/>
      <c r="O208" s="25"/>
      <c r="P208" s="26"/>
      <c r="Q208" s="22"/>
      <c r="R208" s="22"/>
      <c r="S208" s="22" t="str">
        <f t="shared" si="18"/>
        <v/>
      </c>
      <c r="T208" s="22" t="str">
        <f>IF(C208="","",IF(COUNTIF(tTQMReguliDoc[Cheie_regula],S208)&lt;&gt;1,"REGULA NECONFIGURATA",IF(COUNTIFS(tTQMReguliDoc[Cheie_regula],S208,tTQMReguliDoc[Stare],"Confirmata")=1,"Confirmata","De confirmat")))</f>
        <v/>
      </c>
      <c r="U208" s="22">
        <f>IF(OR(C208="",T208&lt;&gt;"Confirmata"),0,IF(COUNTIFS(tTQMReguliDoc[Cheie_regula],S208,tTQMReguliDoc[Aviz],"Da")=1,1,0))</f>
        <v>0</v>
      </c>
      <c r="V208" s="22">
        <f>IF(OR(C208="",T208&lt;&gt;"Confirmata"),0,IF(COUNTIFS(tTQMReguliDoc[Cheie_regula],S208,tTQMReguliDoc[Decl_conformitate],"Da")=1,1,0))</f>
        <v>0</v>
      </c>
      <c r="W208" s="22">
        <f>IF(OR(C208="",T208&lt;&gt;"Confirmata"),0,IF(COUNTIFS(tTQMReguliDoc[Cheie_regula],S208,tTQMReguliDoc[Decl_producator],"Da")=1,1,0))</f>
        <v>0</v>
      </c>
      <c r="X208" s="22">
        <f>IF(OR(C208="",T208&lt;&gt;"Confirmata"),0,IF(COUNTIFS(tTQMReguliDoc[Cheie_regula],S208,tTQMReguliDoc[Fise_tehnice],"Da")=1,1,0))</f>
        <v>0</v>
      </c>
      <c r="Y208" s="22" t="str">
        <f t="shared" si="19"/>
        <v/>
      </c>
      <c r="Z208" s="22"/>
      <c r="AA208" s="22"/>
    </row>
    <row r="209" spans="1:27" ht="15" customHeight="1">
      <c r="A209" s="30"/>
      <c r="B209" s="31"/>
      <c r="C209" s="30"/>
      <c r="D209" s="30"/>
      <c r="E209" s="30"/>
      <c r="F209" s="32" t="str">
        <f t="shared" si="15"/>
        <v/>
      </c>
      <c r="G209" s="30"/>
      <c r="H209" s="30"/>
      <c r="I209" s="30"/>
      <c r="J209" s="32" t="str">
        <f t="shared" si="16"/>
        <v/>
      </c>
      <c r="K209" s="30" t="str">
        <f t="shared" si="17"/>
        <v/>
      </c>
      <c r="L209" s="30"/>
      <c r="M209" s="30"/>
      <c r="N209" s="22"/>
      <c r="O209" s="25"/>
      <c r="P209" s="26"/>
      <c r="Q209" s="22"/>
      <c r="R209" s="22"/>
      <c r="S209" s="22" t="str">
        <f t="shared" si="18"/>
        <v/>
      </c>
      <c r="T209" s="22" t="str">
        <f>IF(C209="","",IF(COUNTIF(tTQMReguliDoc[Cheie_regula],S209)&lt;&gt;1,"REGULA NECONFIGURATA",IF(COUNTIFS(tTQMReguliDoc[Cheie_regula],S209,tTQMReguliDoc[Stare],"Confirmata")=1,"Confirmata","De confirmat")))</f>
        <v/>
      </c>
      <c r="U209" s="22">
        <f>IF(OR(C209="",T209&lt;&gt;"Confirmata"),0,IF(COUNTIFS(tTQMReguliDoc[Cheie_regula],S209,tTQMReguliDoc[Aviz],"Da")=1,1,0))</f>
        <v>0</v>
      </c>
      <c r="V209" s="22">
        <f>IF(OR(C209="",T209&lt;&gt;"Confirmata"),0,IF(COUNTIFS(tTQMReguliDoc[Cheie_regula],S209,tTQMReguliDoc[Decl_conformitate],"Da")=1,1,0))</f>
        <v>0</v>
      </c>
      <c r="W209" s="22">
        <f>IF(OR(C209="",T209&lt;&gt;"Confirmata"),0,IF(COUNTIFS(tTQMReguliDoc[Cheie_regula],S209,tTQMReguliDoc[Decl_producator],"Da")=1,1,0))</f>
        <v>0</v>
      </c>
      <c r="X209" s="22">
        <f>IF(OR(C209="",T209&lt;&gt;"Confirmata"),0,IF(COUNTIFS(tTQMReguliDoc[Cheie_regula],S209,tTQMReguliDoc[Fise_tehnice],"Da")=1,1,0))</f>
        <v>0</v>
      </c>
      <c r="Y209" s="22" t="str">
        <f t="shared" si="19"/>
        <v/>
      </c>
      <c r="Z209" s="22"/>
      <c r="AA209" s="22"/>
    </row>
    <row r="210" spans="1:27" ht="15" customHeight="1">
      <c r="A210" s="30"/>
      <c r="B210" s="31"/>
      <c r="C210" s="30"/>
      <c r="D210" s="30"/>
      <c r="E210" s="30"/>
      <c r="F210" s="32" t="str">
        <f t="shared" si="15"/>
        <v/>
      </c>
      <c r="G210" s="30"/>
      <c r="H210" s="30"/>
      <c r="I210" s="30"/>
      <c r="J210" s="32" t="str">
        <f t="shared" si="16"/>
        <v/>
      </c>
      <c r="K210" s="30" t="str">
        <f t="shared" si="17"/>
        <v/>
      </c>
      <c r="L210" s="30"/>
      <c r="M210" s="30"/>
      <c r="N210" s="22"/>
      <c r="O210" s="25"/>
      <c r="P210" s="26"/>
      <c r="Q210" s="22"/>
      <c r="R210" s="22"/>
      <c r="S210" s="22" t="str">
        <f t="shared" si="18"/>
        <v/>
      </c>
      <c r="T210" s="22" t="str">
        <f>IF(C210="","",IF(COUNTIF(tTQMReguliDoc[Cheie_regula],S210)&lt;&gt;1,"REGULA NECONFIGURATA",IF(COUNTIFS(tTQMReguliDoc[Cheie_regula],S210,tTQMReguliDoc[Stare],"Confirmata")=1,"Confirmata","De confirmat")))</f>
        <v/>
      </c>
      <c r="U210" s="22">
        <f>IF(OR(C210="",T210&lt;&gt;"Confirmata"),0,IF(COUNTIFS(tTQMReguliDoc[Cheie_regula],S210,tTQMReguliDoc[Aviz],"Da")=1,1,0))</f>
        <v>0</v>
      </c>
      <c r="V210" s="22">
        <f>IF(OR(C210="",T210&lt;&gt;"Confirmata"),0,IF(COUNTIFS(tTQMReguliDoc[Cheie_regula],S210,tTQMReguliDoc[Decl_conformitate],"Da")=1,1,0))</f>
        <v>0</v>
      </c>
      <c r="W210" s="22">
        <f>IF(OR(C210="",T210&lt;&gt;"Confirmata"),0,IF(COUNTIFS(tTQMReguliDoc[Cheie_regula],S210,tTQMReguliDoc[Decl_producator],"Da")=1,1,0))</f>
        <v>0</v>
      </c>
      <c r="X210" s="22">
        <f>IF(OR(C210="",T210&lt;&gt;"Confirmata"),0,IF(COUNTIFS(tTQMReguliDoc[Cheie_regula],S210,tTQMReguliDoc[Fise_tehnice],"Da")=1,1,0))</f>
        <v>0</v>
      </c>
      <c r="Y210" s="22" t="str">
        <f t="shared" si="19"/>
        <v/>
      </c>
      <c r="Z210" s="22"/>
      <c r="AA210" s="22"/>
    </row>
    <row r="211" spans="1:27" ht="15" customHeight="1">
      <c r="A211" s="30"/>
      <c r="B211" s="31"/>
      <c r="C211" s="30"/>
      <c r="D211" s="30"/>
      <c r="E211" s="30"/>
      <c r="F211" s="32" t="str">
        <f t="shared" si="15"/>
        <v/>
      </c>
      <c r="G211" s="30"/>
      <c r="H211" s="30"/>
      <c r="I211" s="30"/>
      <c r="J211" s="32" t="str">
        <f t="shared" si="16"/>
        <v/>
      </c>
      <c r="K211" s="30" t="str">
        <f t="shared" si="17"/>
        <v/>
      </c>
      <c r="L211" s="30"/>
      <c r="M211" s="30"/>
      <c r="N211" s="22"/>
      <c r="O211" s="25"/>
      <c r="P211" s="26"/>
      <c r="Q211" s="22"/>
      <c r="R211" s="22"/>
      <c r="S211" s="22" t="str">
        <f t="shared" si="18"/>
        <v/>
      </c>
      <c r="T211" s="22" t="str">
        <f>IF(C211="","",IF(COUNTIF(tTQMReguliDoc[Cheie_regula],S211)&lt;&gt;1,"REGULA NECONFIGURATA",IF(COUNTIFS(tTQMReguliDoc[Cheie_regula],S211,tTQMReguliDoc[Stare],"Confirmata")=1,"Confirmata","De confirmat")))</f>
        <v/>
      </c>
      <c r="U211" s="22">
        <f>IF(OR(C211="",T211&lt;&gt;"Confirmata"),0,IF(COUNTIFS(tTQMReguliDoc[Cheie_regula],S211,tTQMReguliDoc[Aviz],"Da")=1,1,0))</f>
        <v>0</v>
      </c>
      <c r="V211" s="22">
        <f>IF(OR(C211="",T211&lt;&gt;"Confirmata"),0,IF(COUNTIFS(tTQMReguliDoc[Cheie_regula],S211,tTQMReguliDoc[Decl_conformitate],"Da")=1,1,0))</f>
        <v>0</v>
      </c>
      <c r="W211" s="22">
        <f>IF(OR(C211="",T211&lt;&gt;"Confirmata"),0,IF(COUNTIFS(tTQMReguliDoc[Cheie_regula],S211,tTQMReguliDoc[Decl_producator],"Da")=1,1,0))</f>
        <v>0</v>
      </c>
      <c r="X211" s="22">
        <f>IF(OR(C211="",T211&lt;&gt;"Confirmata"),0,IF(COUNTIFS(tTQMReguliDoc[Cheie_regula],S211,tTQMReguliDoc[Fise_tehnice],"Da")=1,1,0))</f>
        <v>0</v>
      </c>
      <c r="Y211" s="22" t="str">
        <f t="shared" si="19"/>
        <v/>
      </c>
      <c r="Z211" s="22"/>
      <c r="AA211" s="22"/>
    </row>
    <row r="212" spans="1:27" ht="15" customHeight="1">
      <c r="A212" s="30"/>
      <c r="B212" s="31"/>
      <c r="C212" s="30"/>
      <c r="D212" s="30"/>
      <c r="E212" s="30"/>
      <c r="F212" s="32" t="str">
        <f t="shared" si="15"/>
        <v/>
      </c>
      <c r="G212" s="30"/>
      <c r="H212" s="30"/>
      <c r="I212" s="30"/>
      <c r="J212" s="32" t="str">
        <f t="shared" si="16"/>
        <v/>
      </c>
      <c r="K212" s="30" t="str">
        <f t="shared" si="17"/>
        <v/>
      </c>
      <c r="L212" s="30"/>
      <c r="M212" s="30"/>
      <c r="N212" s="22"/>
      <c r="O212" s="25"/>
      <c r="P212" s="26"/>
      <c r="Q212" s="22"/>
      <c r="R212" s="22"/>
      <c r="S212" s="22" t="str">
        <f t="shared" si="18"/>
        <v/>
      </c>
      <c r="T212" s="22" t="str">
        <f>IF(C212="","",IF(COUNTIF(tTQMReguliDoc[Cheie_regula],S212)&lt;&gt;1,"REGULA NECONFIGURATA",IF(COUNTIFS(tTQMReguliDoc[Cheie_regula],S212,tTQMReguliDoc[Stare],"Confirmata")=1,"Confirmata","De confirmat")))</f>
        <v/>
      </c>
      <c r="U212" s="22">
        <f>IF(OR(C212="",T212&lt;&gt;"Confirmata"),0,IF(COUNTIFS(tTQMReguliDoc[Cheie_regula],S212,tTQMReguliDoc[Aviz],"Da")=1,1,0))</f>
        <v>0</v>
      </c>
      <c r="V212" s="22">
        <f>IF(OR(C212="",T212&lt;&gt;"Confirmata"),0,IF(COUNTIFS(tTQMReguliDoc[Cheie_regula],S212,tTQMReguliDoc[Decl_conformitate],"Da")=1,1,0))</f>
        <v>0</v>
      </c>
      <c r="W212" s="22">
        <f>IF(OR(C212="",T212&lt;&gt;"Confirmata"),0,IF(COUNTIFS(tTQMReguliDoc[Cheie_regula],S212,tTQMReguliDoc[Decl_producator],"Da")=1,1,0))</f>
        <v>0</v>
      </c>
      <c r="X212" s="22">
        <f>IF(OR(C212="",T212&lt;&gt;"Confirmata"),0,IF(COUNTIFS(tTQMReguliDoc[Cheie_regula],S212,tTQMReguliDoc[Fise_tehnice],"Da")=1,1,0))</f>
        <v>0</v>
      </c>
      <c r="Y212" s="22" t="str">
        <f t="shared" si="19"/>
        <v/>
      </c>
      <c r="Z212" s="22"/>
      <c r="AA212" s="22"/>
    </row>
    <row r="213" spans="1:27" ht="15" customHeight="1">
      <c r="A213" s="30"/>
      <c r="B213" s="31"/>
      <c r="C213" s="30"/>
      <c r="D213" s="30"/>
      <c r="E213" s="30"/>
      <c r="F213" s="32" t="str">
        <f t="shared" si="15"/>
        <v/>
      </c>
      <c r="G213" s="30"/>
      <c r="H213" s="30"/>
      <c r="I213" s="30"/>
      <c r="J213" s="32" t="str">
        <f t="shared" si="16"/>
        <v/>
      </c>
      <c r="K213" s="30" t="str">
        <f t="shared" si="17"/>
        <v/>
      </c>
      <c r="L213" s="30"/>
      <c r="M213" s="30"/>
      <c r="N213" s="22"/>
      <c r="O213" s="25"/>
      <c r="P213" s="26"/>
      <c r="Q213" s="22"/>
      <c r="R213" s="22"/>
      <c r="S213" s="22" t="str">
        <f t="shared" si="18"/>
        <v/>
      </c>
      <c r="T213" s="22" t="str">
        <f>IF(C213="","",IF(COUNTIF(tTQMReguliDoc[Cheie_regula],S213)&lt;&gt;1,"REGULA NECONFIGURATA",IF(COUNTIFS(tTQMReguliDoc[Cheie_regula],S213,tTQMReguliDoc[Stare],"Confirmata")=1,"Confirmata","De confirmat")))</f>
        <v/>
      </c>
      <c r="U213" s="22">
        <f>IF(OR(C213="",T213&lt;&gt;"Confirmata"),0,IF(COUNTIFS(tTQMReguliDoc[Cheie_regula],S213,tTQMReguliDoc[Aviz],"Da")=1,1,0))</f>
        <v>0</v>
      </c>
      <c r="V213" s="22">
        <f>IF(OR(C213="",T213&lt;&gt;"Confirmata"),0,IF(COUNTIFS(tTQMReguliDoc[Cheie_regula],S213,tTQMReguliDoc[Decl_conformitate],"Da")=1,1,0))</f>
        <v>0</v>
      </c>
      <c r="W213" s="22">
        <f>IF(OR(C213="",T213&lt;&gt;"Confirmata"),0,IF(COUNTIFS(tTQMReguliDoc[Cheie_regula],S213,tTQMReguliDoc[Decl_producator],"Da")=1,1,0))</f>
        <v>0</v>
      </c>
      <c r="X213" s="22">
        <f>IF(OR(C213="",T213&lt;&gt;"Confirmata"),0,IF(COUNTIFS(tTQMReguliDoc[Cheie_regula],S213,tTQMReguliDoc[Fise_tehnice],"Da")=1,1,0))</f>
        <v>0</v>
      </c>
      <c r="Y213" s="22" t="str">
        <f t="shared" si="19"/>
        <v/>
      </c>
      <c r="Z213" s="22"/>
      <c r="AA213" s="22"/>
    </row>
    <row r="214" spans="1:27" ht="15" customHeight="1">
      <c r="A214" s="30"/>
      <c r="B214" s="31"/>
      <c r="C214" s="30"/>
      <c r="D214" s="30"/>
      <c r="E214" s="30"/>
      <c r="F214" s="32" t="str">
        <f t="shared" si="15"/>
        <v/>
      </c>
      <c r="G214" s="30"/>
      <c r="H214" s="30"/>
      <c r="I214" s="30"/>
      <c r="J214" s="32" t="str">
        <f t="shared" si="16"/>
        <v/>
      </c>
      <c r="K214" s="30" t="str">
        <f t="shared" si="17"/>
        <v/>
      </c>
      <c r="L214" s="30"/>
      <c r="M214" s="30"/>
      <c r="N214" s="22"/>
      <c r="O214" s="25"/>
      <c r="P214" s="26"/>
      <c r="Q214" s="22"/>
      <c r="R214" s="22"/>
      <c r="S214" s="22" t="str">
        <f t="shared" si="18"/>
        <v/>
      </c>
      <c r="T214" s="22" t="str">
        <f>IF(C214="","",IF(COUNTIF(tTQMReguliDoc[Cheie_regula],S214)&lt;&gt;1,"REGULA NECONFIGURATA",IF(COUNTIFS(tTQMReguliDoc[Cheie_regula],S214,tTQMReguliDoc[Stare],"Confirmata")=1,"Confirmata","De confirmat")))</f>
        <v/>
      </c>
      <c r="U214" s="22">
        <f>IF(OR(C214="",T214&lt;&gt;"Confirmata"),0,IF(COUNTIFS(tTQMReguliDoc[Cheie_regula],S214,tTQMReguliDoc[Aviz],"Da")=1,1,0))</f>
        <v>0</v>
      </c>
      <c r="V214" s="22">
        <f>IF(OR(C214="",T214&lt;&gt;"Confirmata"),0,IF(COUNTIFS(tTQMReguliDoc[Cheie_regula],S214,tTQMReguliDoc[Decl_conformitate],"Da")=1,1,0))</f>
        <v>0</v>
      </c>
      <c r="W214" s="22">
        <f>IF(OR(C214="",T214&lt;&gt;"Confirmata"),0,IF(COUNTIFS(tTQMReguliDoc[Cheie_regula],S214,tTQMReguliDoc[Decl_producator],"Da")=1,1,0))</f>
        <v>0</v>
      </c>
      <c r="X214" s="22">
        <f>IF(OR(C214="",T214&lt;&gt;"Confirmata"),0,IF(COUNTIFS(tTQMReguliDoc[Cheie_regula],S214,tTQMReguliDoc[Fise_tehnice],"Da")=1,1,0))</f>
        <v>0</v>
      </c>
      <c r="Y214" s="22" t="str">
        <f t="shared" si="19"/>
        <v/>
      </c>
      <c r="Z214" s="22"/>
      <c r="AA214" s="22"/>
    </row>
    <row r="215" spans="1:27" ht="15" customHeight="1">
      <c r="A215" s="30"/>
      <c r="B215" s="31"/>
      <c r="C215" s="30"/>
      <c r="D215" s="30"/>
      <c r="E215" s="30"/>
      <c r="F215" s="32" t="str">
        <f t="shared" si="15"/>
        <v/>
      </c>
      <c r="G215" s="30"/>
      <c r="H215" s="30"/>
      <c r="I215" s="30"/>
      <c r="J215" s="32" t="str">
        <f t="shared" si="16"/>
        <v/>
      </c>
      <c r="K215" s="30" t="str">
        <f t="shared" si="17"/>
        <v/>
      </c>
      <c r="L215" s="30"/>
      <c r="M215" s="30"/>
      <c r="N215" s="22"/>
      <c r="O215" s="25"/>
      <c r="P215" s="26"/>
      <c r="Q215" s="22"/>
      <c r="R215" s="22"/>
      <c r="S215" s="22" t="str">
        <f t="shared" si="18"/>
        <v/>
      </c>
      <c r="T215" s="22" t="str">
        <f>IF(C215="","",IF(COUNTIF(tTQMReguliDoc[Cheie_regula],S215)&lt;&gt;1,"REGULA NECONFIGURATA",IF(COUNTIFS(tTQMReguliDoc[Cheie_regula],S215,tTQMReguliDoc[Stare],"Confirmata")=1,"Confirmata","De confirmat")))</f>
        <v/>
      </c>
      <c r="U215" s="22">
        <f>IF(OR(C215="",T215&lt;&gt;"Confirmata"),0,IF(COUNTIFS(tTQMReguliDoc[Cheie_regula],S215,tTQMReguliDoc[Aviz],"Da")=1,1,0))</f>
        <v>0</v>
      </c>
      <c r="V215" s="22">
        <f>IF(OR(C215="",T215&lt;&gt;"Confirmata"),0,IF(COUNTIFS(tTQMReguliDoc[Cheie_regula],S215,tTQMReguliDoc[Decl_conformitate],"Da")=1,1,0))</f>
        <v>0</v>
      </c>
      <c r="W215" s="22">
        <f>IF(OR(C215="",T215&lt;&gt;"Confirmata"),0,IF(COUNTIFS(tTQMReguliDoc[Cheie_regula],S215,tTQMReguliDoc[Decl_producator],"Da")=1,1,0))</f>
        <v>0</v>
      </c>
      <c r="X215" s="22">
        <f>IF(OR(C215="",T215&lt;&gt;"Confirmata"),0,IF(COUNTIFS(tTQMReguliDoc[Cheie_regula],S215,tTQMReguliDoc[Fise_tehnice],"Da")=1,1,0))</f>
        <v>0</v>
      </c>
      <c r="Y215" s="22" t="str">
        <f t="shared" si="19"/>
        <v/>
      </c>
      <c r="Z215" s="22"/>
      <c r="AA215" s="22"/>
    </row>
    <row r="216" spans="1:27" ht="15" customHeight="1">
      <c r="A216" s="30"/>
      <c r="B216" s="31"/>
      <c r="C216" s="30"/>
      <c r="D216" s="30"/>
      <c r="E216" s="30"/>
      <c r="F216" s="32" t="str">
        <f t="shared" si="15"/>
        <v/>
      </c>
      <c r="G216" s="30"/>
      <c r="H216" s="30"/>
      <c r="I216" s="30"/>
      <c r="J216" s="32" t="str">
        <f t="shared" si="16"/>
        <v/>
      </c>
      <c r="K216" s="30" t="str">
        <f t="shared" si="17"/>
        <v/>
      </c>
      <c r="L216" s="30"/>
      <c r="M216" s="30"/>
      <c r="N216" s="22"/>
      <c r="O216" s="25"/>
      <c r="P216" s="26"/>
      <c r="Q216" s="22"/>
      <c r="R216" s="22"/>
      <c r="S216" s="22" t="str">
        <f t="shared" si="18"/>
        <v/>
      </c>
      <c r="T216" s="22" t="str">
        <f>IF(C216="","",IF(COUNTIF(tTQMReguliDoc[Cheie_regula],S216)&lt;&gt;1,"REGULA NECONFIGURATA",IF(COUNTIFS(tTQMReguliDoc[Cheie_regula],S216,tTQMReguliDoc[Stare],"Confirmata")=1,"Confirmata","De confirmat")))</f>
        <v/>
      </c>
      <c r="U216" s="22">
        <f>IF(OR(C216="",T216&lt;&gt;"Confirmata"),0,IF(COUNTIFS(tTQMReguliDoc[Cheie_regula],S216,tTQMReguliDoc[Aviz],"Da")=1,1,0))</f>
        <v>0</v>
      </c>
      <c r="V216" s="22">
        <f>IF(OR(C216="",T216&lt;&gt;"Confirmata"),0,IF(COUNTIFS(tTQMReguliDoc[Cheie_regula],S216,tTQMReguliDoc[Decl_conformitate],"Da")=1,1,0))</f>
        <v>0</v>
      </c>
      <c r="W216" s="22">
        <f>IF(OR(C216="",T216&lt;&gt;"Confirmata"),0,IF(COUNTIFS(tTQMReguliDoc[Cheie_regula],S216,tTQMReguliDoc[Decl_producator],"Da")=1,1,0))</f>
        <v>0</v>
      </c>
      <c r="X216" s="22">
        <f>IF(OR(C216="",T216&lt;&gt;"Confirmata"),0,IF(COUNTIFS(tTQMReguliDoc[Cheie_regula],S216,tTQMReguliDoc[Fise_tehnice],"Da")=1,1,0))</f>
        <v>0</v>
      </c>
      <c r="Y216" s="22" t="str">
        <f t="shared" si="19"/>
        <v/>
      </c>
      <c r="Z216" s="22"/>
      <c r="AA216" s="22"/>
    </row>
    <row r="217" spans="1:27" ht="15" customHeight="1">
      <c r="A217" s="30"/>
      <c r="B217" s="31"/>
      <c r="C217" s="30"/>
      <c r="D217" s="30"/>
      <c r="E217" s="30"/>
      <c r="F217" s="32" t="str">
        <f t="shared" si="15"/>
        <v/>
      </c>
      <c r="G217" s="30"/>
      <c r="H217" s="30"/>
      <c r="I217" s="30"/>
      <c r="J217" s="32" t="str">
        <f t="shared" si="16"/>
        <v/>
      </c>
      <c r="K217" s="30" t="str">
        <f t="shared" si="17"/>
        <v/>
      </c>
      <c r="L217" s="30"/>
      <c r="M217" s="30"/>
      <c r="N217" s="22"/>
      <c r="O217" s="25"/>
      <c r="P217" s="26"/>
      <c r="Q217" s="22"/>
      <c r="R217" s="22"/>
      <c r="S217" s="22" t="str">
        <f t="shared" si="18"/>
        <v/>
      </c>
      <c r="T217" s="22" t="str">
        <f>IF(C217="","",IF(COUNTIF(tTQMReguliDoc[Cheie_regula],S217)&lt;&gt;1,"REGULA NECONFIGURATA",IF(COUNTIFS(tTQMReguliDoc[Cheie_regula],S217,tTQMReguliDoc[Stare],"Confirmata")=1,"Confirmata","De confirmat")))</f>
        <v/>
      </c>
      <c r="U217" s="22">
        <f>IF(OR(C217="",T217&lt;&gt;"Confirmata"),0,IF(COUNTIFS(tTQMReguliDoc[Cheie_regula],S217,tTQMReguliDoc[Aviz],"Da")=1,1,0))</f>
        <v>0</v>
      </c>
      <c r="V217" s="22">
        <f>IF(OR(C217="",T217&lt;&gt;"Confirmata"),0,IF(COUNTIFS(tTQMReguliDoc[Cheie_regula],S217,tTQMReguliDoc[Decl_conformitate],"Da")=1,1,0))</f>
        <v>0</v>
      </c>
      <c r="W217" s="22">
        <f>IF(OR(C217="",T217&lt;&gt;"Confirmata"),0,IF(COUNTIFS(tTQMReguliDoc[Cheie_regula],S217,tTQMReguliDoc[Decl_producator],"Da")=1,1,0))</f>
        <v>0</v>
      </c>
      <c r="X217" s="22">
        <f>IF(OR(C217="",T217&lt;&gt;"Confirmata"),0,IF(COUNTIFS(tTQMReguliDoc[Cheie_regula],S217,tTQMReguliDoc[Fise_tehnice],"Da")=1,1,0))</f>
        <v>0</v>
      </c>
      <c r="Y217" s="22" t="str">
        <f t="shared" si="19"/>
        <v/>
      </c>
      <c r="Z217" s="22"/>
      <c r="AA217" s="22"/>
    </row>
    <row r="218" spans="1:27" ht="15" customHeight="1">
      <c r="A218" s="30"/>
      <c r="B218" s="31"/>
      <c r="C218" s="30"/>
      <c r="D218" s="30"/>
      <c r="E218" s="30"/>
      <c r="F218" s="32" t="str">
        <f t="shared" si="15"/>
        <v/>
      </c>
      <c r="G218" s="30"/>
      <c r="H218" s="30"/>
      <c r="I218" s="30"/>
      <c r="J218" s="32" t="str">
        <f t="shared" si="16"/>
        <v/>
      </c>
      <c r="K218" s="30" t="str">
        <f t="shared" si="17"/>
        <v/>
      </c>
      <c r="L218" s="30"/>
      <c r="M218" s="30"/>
      <c r="N218" s="22"/>
      <c r="O218" s="25"/>
      <c r="P218" s="26"/>
      <c r="Q218" s="22"/>
      <c r="R218" s="22"/>
      <c r="S218" s="22" t="str">
        <f t="shared" si="18"/>
        <v/>
      </c>
      <c r="T218" s="22" t="str">
        <f>IF(C218="","",IF(COUNTIF(tTQMReguliDoc[Cheie_regula],S218)&lt;&gt;1,"REGULA NECONFIGURATA",IF(COUNTIFS(tTQMReguliDoc[Cheie_regula],S218,tTQMReguliDoc[Stare],"Confirmata")=1,"Confirmata","De confirmat")))</f>
        <v/>
      </c>
      <c r="U218" s="22">
        <f>IF(OR(C218="",T218&lt;&gt;"Confirmata"),0,IF(COUNTIFS(tTQMReguliDoc[Cheie_regula],S218,tTQMReguliDoc[Aviz],"Da")=1,1,0))</f>
        <v>0</v>
      </c>
      <c r="V218" s="22">
        <f>IF(OR(C218="",T218&lt;&gt;"Confirmata"),0,IF(COUNTIFS(tTQMReguliDoc[Cheie_regula],S218,tTQMReguliDoc[Decl_conformitate],"Da")=1,1,0))</f>
        <v>0</v>
      </c>
      <c r="W218" s="22">
        <f>IF(OR(C218="",T218&lt;&gt;"Confirmata"),0,IF(COUNTIFS(tTQMReguliDoc[Cheie_regula],S218,tTQMReguliDoc[Decl_producator],"Da")=1,1,0))</f>
        <v>0</v>
      </c>
      <c r="X218" s="22">
        <f>IF(OR(C218="",T218&lt;&gt;"Confirmata"),0,IF(COUNTIFS(tTQMReguliDoc[Cheie_regula],S218,tTQMReguliDoc[Fise_tehnice],"Da")=1,1,0))</f>
        <v>0</v>
      </c>
      <c r="Y218" s="22" t="str">
        <f t="shared" si="19"/>
        <v/>
      </c>
      <c r="Z218" s="22"/>
      <c r="AA218" s="22"/>
    </row>
    <row r="219" spans="1:27" ht="15" customHeight="1">
      <c r="A219" s="30"/>
      <c r="B219" s="31"/>
      <c r="C219" s="30"/>
      <c r="D219" s="30"/>
      <c r="E219" s="30"/>
      <c r="F219" s="32" t="str">
        <f t="shared" si="15"/>
        <v/>
      </c>
      <c r="G219" s="30"/>
      <c r="H219" s="30"/>
      <c r="I219" s="30"/>
      <c r="J219" s="32" t="str">
        <f t="shared" si="16"/>
        <v/>
      </c>
      <c r="K219" s="30" t="str">
        <f t="shared" si="17"/>
        <v/>
      </c>
      <c r="L219" s="30"/>
      <c r="M219" s="30"/>
      <c r="N219" s="22"/>
      <c r="O219" s="25"/>
      <c r="P219" s="26"/>
      <c r="Q219" s="22"/>
      <c r="R219" s="22"/>
      <c r="S219" s="22" t="str">
        <f t="shared" si="18"/>
        <v/>
      </c>
      <c r="T219" s="22" t="str">
        <f>IF(C219="","",IF(COUNTIF(tTQMReguliDoc[Cheie_regula],S219)&lt;&gt;1,"REGULA NECONFIGURATA",IF(COUNTIFS(tTQMReguliDoc[Cheie_regula],S219,tTQMReguliDoc[Stare],"Confirmata")=1,"Confirmata","De confirmat")))</f>
        <v/>
      </c>
      <c r="U219" s="22">
        <f>IF(OR(C219="",T219&lt;&gt;"Confirmata"),0,IF(COUNTIFS(tTQMReguliDoc[Cheie_regula],S219,tTQMReguliDoc[Aviz],"Da")=1,1,0))</f>
        <v>0</v>
      </c>
      <c r="V219" s="22">
        <f>IF(OR(C219="",T219&lt;&gt;"Confirmata"),0,IF(COUNTIFS(tTQMReguliDoc[Cheie_regula],S219,tTQMReguliDoc[Decl_conformitate],"Da")=1,1,0))</f>
        <v>0</v>
      </c>
      <c r="W219" s="22">
        <f>IF(OR(C219="",T219&lt;&gt;"Confirmata"),0,IF(COUNTIFS(tTQMReguliDoc[Cheie_regula],S219,tTQMReguliDoc[Decl_producator],"Da")=1,1,0))</f>
        <v>0</v>
      </c>
      <c r="X219" s="22">
        <f>IF(OR(C219="",T219&lt;&gt;"Confirmata"),0,IF(COUNTIFS(tTQMReguliDoc[Cheie_regula],S219,tTQMReguliDoc[Fise_tehnice],"Da")=1,1,0))</f>
        <v>0</v>
      </c>
      <c r="Y219" s="22" t="str">
        <f t="shared" si="19"/>
        <v/>
      </c>
      <c r="Z219" s="22"/>
      <c r="AA219" s="22"/>
    </row>
    <row r="220" spans="1:27" ht="15" customHeight="1">
      <c r="A220" s="30"/>
      <c r="B220" s="31"/>
      <c r="C220" s="30"/>
      <c r="D220" s="30"/>
      <c r="E220" s="30"/>
      <c r="F220" s="32" t="str">
        <f t="shared" si="15"/>
        <v/>
      </c>
      <c r="G220" s="30"/>
      <c r="H220" s="30"/>
      <c r="I220" s="30"/>
      <c r="J220" s="32" t="str">
        <f t="shared" si="16"/>
        <v/>
      </c>
      <c r="K220" s="30" t="str">
        <f t="shared" si="17"/>
        <v/>
      </c>
      <c r="L220" s="30"/>
      <c r="M220" s="30"/>
      <c r="N220" s="22"/>
      <c r="O220" s="25"/>
      <c r="P220" s="26"/>
      <c r="Q220" s="22"/>
      <c r="R220" s="22"/>
      <c r="S220" s="22" t="str">
        <f t="shared" si="18"/>
        <v/>
      </c>
      <c r="T220" s="22" t="str">
        <f>IF(C220="","",IF(COUNTIF(tTQMReguliDoc[Cheie_regula],S220)&lt;&gt;1,"REGULA NECONFIGURATA",IF(COUNTIFS(tTQMReguliDoc[Cheie_regula],S220,tTQMReguliDoc[Stare],"Confirmata")=1,"Confirmata","De confirmat")))</f>
        <v/>
      </c>
      <c r="U220" s="22">
        <f>IF(OR(C220="",T220&lt;&gt;"Confirmata"),0,IF(COUNTIFS(tTQMReguliDoc[Cheie_regula],S220,tTQMReguliDoc[Aviz],"Da")=1,1,0))</f>
        <v>0</v>
      </c>
      <c r="V220" s="22">
        <f>IF(OR(C220="",T220&lt;&gt;"Confirmata"),0,IF(COUNTIFS(tTQMReguliDoc[Cheie_regula],S220,tTQMReguliDoc[Decl_conformitate],"Da")=1,1,0))</f>
        <v>0</v>
      </c>
      <c r="W220" s="22">
        <f>IF(OR(C220="",T220&lt;&gt;"Confirmata"),0,IF(COUNTIFS(tTQMReguliDoc[Cheie_regula],S220,tTQMReguliDoc[Decl_producator],"Da")=1,1,0))</f>
        <v>0</v>
      </c>
      <c r="X220" s="22">
        <f>IF(OR(C220="",T220&lt;&gt;"Confirmata"),0,IF(COUNTIFS(tTQMReguliDoc[Cheie_regula],S220,tTQMReguliDoc[Fise_tehnice],"Da")=1,1,0))</f>
        <v>0</v>
      </c>
      <c r="Y220" s="22" t="str">
        <f t="shared" si="19"/>
        <v/>
      </c>
      <c r="Z220" s="22"/>
      <c r="AA220" s="22"/>
    </row>
    <row r="221" spans="1:27" ht="15" customHeight="1">
      <c r="A221" s="30"/>
      <c r="B221" s="31"/>
      <c r="C221" s="30"/>
      <c r="D221" s="30"/>
      <c r="E221" s="30"/>
      <c r="F221" s="32" t="str">
        <f t="shared" si="15"/>
        <v/>
      </c>
      <c r="G221" s="30"/>
      <c r="H221" s="30"/>
      <c r="I221" s="30"/>
      <c r="J221" s="32" t="str">
        <f t="shared" si="16"/>
        <v/>
      </c>
      <c r="K221" s="30" t="str">
        <f t="shared" si="17"/>
        <v/>
      </c>
      <c r="L221" s="30"/>
      <c r="M221" s="30"/>
      <c r="N221" s="22"/>
      <c r="O221" s="25"/>
      <c r="P221" s="26"/>
      <c r="Q221" s="22"/>
      <c r="R221" s="22"/>
      <c r="S221" s="22" t="str">
        <f t="shared" si="18"/>
        <v/>
      </c>
      <c r="T221" s="22" t="str">
        <f>IF(C221="","",IF(COUNTIF(tTQMReguliDoc[Cheie_regula],S221)&lt;&gt;1,"REGULA NECONFIGURATA",IF(COUNTIFS(tTQMReguliDoc[Cheie_regula],S221,tTQMReguliDoc[Stare],"Confirmata")=1,"Confirmata","De confirmat")))</f>
        <v/>
      </c>
      <c r="U221" s="22">
        <f>IF(OR(C221="",T221&lt;&gt;"Confirmata"),0,IF(COUNTIFS(tTQMReguliDoc[Cheie_regula],S221,tTQMReguliDoc[Aviz],"Da")=1,1,0))</f>
        <v>0</v>
      </c>
      <c r="V221" s="22">
        <f>IF(OR(C221="",T221&lt;&gt;"Confirmata"),0,IF(COUNTIFS(tTQMReguliDoc[Cheie_regula],S221,tTQMReguliDoc[Decl_conformitate],"Da")=1,1,0))</f>
        <v>0</v>
      </c>
      <c r="W221" s="22">
        <f>IF(OR(C221="",T221&lt;&gt;"Confirmata"),0,IF(COUNTIFS(tTQMReguliDoc[Cheie_regula],S221,tTQMReguliDoc[Decl_producator],"Da")=1,1,0))</f>
        <v>0</v>
      </c>
      <c r="X221" s="22">
        <f>IF(OR(C221="",T221&lt;&gt;"Confirmata"),0,IF(COUNTIFS(tTQMReguliDoc[Cheie_regula],S221,tTQMReguliDoc[Fise_tehnice],"Da")=1,1,0))</f>
        <v>0</v>
      </c>
      <c r="Y221" s="22" t="str">
        <f t="shared" si="19"/>
        <v/>
      </c>
      <c r="Z221" s="22"/>
      <c r="AA221" s="22"/>
    </row>
    <row r="222" spans="1:27" ht="15" customHeight="1">
      <c r="A222" s="30"/>
      <c r="B222" s="31"/>
      <c r="C222" s="30"/>
      <c r="D222" s="30"/>
      <c r="E222" s="30"/>
      <c r="F222" s="32" t="str">
        <f t="shared" si="15"/>
        <v/>
      </c>
      <c r="G222" s="30"/>
      <c r="H222" s="30"/>
      <c r="I222" s="30"/>
      <c r="J222" s="32" t="str">
        <f t="shared" si="16"/>
        <v/>
      </c>
      <c r="K222" s="30" t="str">
        <f t="shared" si="17"/>
        <v/>
      </c>
      <c r="L222" s="30"/>
      <c r="M222" s="30"/>
      <c r="N222" s="22"/>
      <c r="O222" s="25"/>
      <c r="P222" s="26"/>
      <c r="Q222" s="22"/>
      <c r="R222" s="22"/>
      <c r="S222" s="22" t="str">
        <f t="shared" si="18"/>
        <v/>
      </c>
      <c r="T222" s="22" t="str">
        <f>IF(C222="","",IF(COUNTIF(tTQMReguliDoc[Cheie_regula],S222)&lt;&gt;1,"REGULA NECONFIGURATA",IF(COUNTIFS(tTQMReguliDoc[Cheie_regula],S222,tTQMReguliDoc[Stare],"Confirmata")=1,"Confirmata","De confirmat")))</f>
        <v/>
      </c>
      <c r="U222" s="22">
        <f>IF(OR(C222="",T222&lt;&gt;"Confirmata"),0,IF(COUNTIFS(tTQMReguliDoc[Cheie_regula],S222,tTQMReguliDoc[Aviz],"Da")=1,1,0))</f>
        <v>0</v>
      </c>
      <c r="V222" s="22">
        <f>IF(OR(C222="",T222&lt;&gt;"Confirmata"),0,IF(COUNTIFS(tTQMReguliDoc[Cheie_regula],S222,tTQMReguliDoc[Decl_conformitate],"Da")=1,1,0))</f>
        <v>0</v>
      </c>
      <c r="W222" s="22">
        <f>IF(OR(C222="",T222&lt;&gt;"Confirmata"),0,IF(COUNTIFS(tTQMReguliDoc[Cheie_regula],S222,tTQMReguliDoc[Decl_producator],"Da")=1,1,0))</f>
        <v>0</v>
      </c>
      <c r="X222" s="22">
        <f>IF(OR(C222="",T222&lt;&gt;"Confirmata"),0,IF(COUNTIFS(tTQMReguliDoc[Cheie_regula],S222,tTQMReguliDoc[Fise_tehnice],"Da")=1,1,0))</f>
        <v>0</v>
      </c>
      <c r="Y222" s="22" t="str">
        <f t="shared" si="19"/>
        <v/>
      </c>
      <c r="Z222" s="22"/>
      <c r="AA222" s="22"/>
    </row>
    <row r="223" spans="1:27" ht="15" customHeight="1">
      <c r="A223" s="30"/>
      <c r="B223" s="31"/>
      <c r="C223" s="30"/>
      <c r="D223" s="30"/>
      <c r="E223" s="30"/>
      <c r="F223" s="32" t="str">
        <f t="shared" si="15"/>
        <v/>
      </c>
      <c r="G223" s="30"/>
      <c r="H223" s="30"/>
      <c r="I223" s="30"/>
      <c r="J223" s="32" t="str">
        <f t="shared" si="16"/>
        <v/>
      </c>
      <c r="K223" s="30" t="str">
        <f t="shared" si="17"/>
        <v/>
      </c>
      <c r="L223" s="30"/>
      <c r="M223" s="30"/>
      <c r="N223" s="22"/>
      <c r="O223" s="25"/>
      <c r="P223" s="26"/>
      <c r="Q223" s="22"/>
      <c r="R223" s="22"/>
      <c r="S223" s="22" t="str">
        <f t="shared" si="18"/>
        <v/>
      </c>
      <c r="T223" s="22" t="str">
        <f>IF(C223="","",IF(COUNTIF(tTQMReguliDoc[Cheie_regula],S223)&lt;&gt;1,"REGULA NECONFIGURATA",IF(COUNTIFS(tTQMReguliDoc[Cheie_regula],S223,tTQMReguliDoc[Stare],"Confirmata")=1,"Confirmata","De confirmat")))</f>
        <v/>
      </c>
      <c r="U223" s="22">
        <f>IF(OR(C223="",T223&lt;&gt;"Confirmata"),0,IF(COUNTIFS(tTQMReguliDoc[Cheie_regula],S223,tTQMReguliDoc[Aviz],"Da")=1,1,0))</f>
        <v>0</v>
      </c>
      <c r="V223" s="22">
        <f>IF(OR(C223="",T223&lt;&gt;"Confirmata"),0,IF(COUNTIFS(tTQMReguliDoc[Cheie_regula],S223,tTQMReguliDoc[Decl_conformitate],"Da")=1,1,0))</f>
        <v>0</v>
      </c>
      <c r="W223" s="22">
        <f>IF(OR(C223="",T223&lt;&gt;"Confirmata"),0,IF(COUNTIFS(tTQMReguliDoc[Cheie_regula],S223,tTQMReguliDoc[Decl_producator],"Da")=1,1,0))</f>
        <v>0</v>
      </c>
      <c r="X223" s="22">
        <f>IF(OR(C223="",T223&lt;&gt;"Confirmata"),0,IF(COUNTIFS(tTQMReguliDoc[Cheie_regula],S223,tTQMReguliDoc[Fise_tehnice],"Da")=1,1,0))</f>
        <v>0</v>
      </c>
      <c r="Y223" s="22" t="str">
        <f t="shared" si="19"/>
        <v/>
      </c>
      <c r="Z223" s="22"/>
      <c r="AA223" s="22"/>
    </row>
    <row r="224" spans="1:27" ht="15" customHeight="1">
      <c r="A224" s="30"/>
      <c r="B224" s="31"/>
      <c r="C224" s="30"/>
      <c r="D224" s="30"/>
      <c r="E224" s="30"/>
      <c r="F224" s="32" t="str">
        <f t="shared" si="15"/>
        <v/>
      </c>
      <c r="G224" s="30"/>
      <c r="H224" s="30"/>
      <c r="I224" s="30"/>
      <c r="J224" s="32" t="str">
        <f t="shared" si="16"/>
        <v/>
      </c>
      <c r="K224" s="30" t="str">
        <f t="shared" si="17"/>
        <v/>
      </c>
      <c r="L224" s="30"/>
      <c r="M224" s="30"/>
      <c r="N224" s="22"/>
      <c r="O224" s="25"/>
      <c r="P224" s="26"/>
      <c r="Q224" s="22"/>
      <c r="R224" s="22"/>
      <c r="S224" s="22" t="str">
        <f t="shared" si="18"/>
        <v/>
      </c>
      <c r="T224" s="22" t="str">
        <f>IF(C224="","",IF(COUNTIF(tTQMReguliDoc[Cheie_regula],S224)&lt;&gt;1,"REGULA NECONFIGURATA",IF(COUNTIFS(tTQMReguliDoc[Cheie_regula],S224,tTQMReguliDoc[Stare],"Confirmata")=1,"Confirmata","De confirmat")))</f>
        <v/>
      </c>
      <c r="U224" s="22">
        <f>IF(OR(C224="",T224&lt;&gt;"Confirmata"),0,IF(COUNTIFS(tTQMReguliDoc[Cheie_regula],S224,tTQMReguliDoc[Aviz],"Da")=1,1,0))</f>
        <v>0</v>
      </c>
      <c r="V224" s="22">
        <f>IF(OR(C224="",T224&lt;&gt;"Confirmata"),0,IF(COUNTIFS(tTQMReguliDoc[Cheie_regula],S224,tTQMReguliDoc[Decl_conformitate],"Da")=1,1,0))</f>
        <v>0</v>
      </c>
      <c r="W224" s="22">
        <f>IF(OR(C224="",T224&lt;&gt;"Confirmata"),0,IF(COUNTIFS(tTQMReguliDoc[Cheie_regula],S224,tTQMReguliDoc[Decl_producator],"Da")=1,1,0))</f>
        <v>0</v>
      </c>
      <c r="X224" s="22">
        <f>IF(OR(C224="",T224&lt;&gt;"Confirmata"),0,IF(COUNTIFS(tTQMReguliDoc[Cheie_regula],S224,tTQMReguliDoc[Fise_tehnice],"Da")=1,1,0))</f>
        <v>0</v>
      </c>
      <c r="Y224" s="22" t="str">
        <f t="shared" si="19"/>
        <v/>
      </c>
      <c r="Z224" s="22"/>
      <c r="AA224" s="22"/>
    </row>
    <row r="225" spans="1:27" ht="15" customHeight="1">
      <c r="A225" s="30"/>
      <c r="B225" s="31"/>
      <c r="C225" s="30"/>
      <c r="D225" s="30"/>
      <c r="E225" s="30"/>
      <c r="F225" s="32" t="str">
        <f t="shared" si="15"/>
        <v/>
      </c>
      <c r="G225" s="30"/>
      <c r="H225" s="30"/>
      <c r="I225" s="30"/>
      <c r="J225" s="32" t="str">
        <f t="shared" si="16"/>
        <v/>
      </c>
      <c r="K225" s="30" t="str">
        <f t="shared" si="17"/>
        <v/>
      </c>
      <c r="L225" s="30"/>
      <c r="M225" s="30"/>
      <c r="N225" s="22"/>
      <c r="O225" s="25"/>
      <c r="P225" s="26"/>
      <c r="Q225" s="22"/>
      <c r="R225" s="22"/>
      <c r="S225" s="22" t="str">
        <f t="shared" si="18"/>
        <v/>
      </c>
      <c r="T225" s="22" t="str">
        <f>IF(C225="","",IF(COUNTIF(tTQMReguliDoc[Cheie_regula],S225)&lt;&gt;1,"REGULA NECONFIGURATA",IF(COUNTIFS(tTQMReguliDoc[Cheie_regula],S225,tTQMReguliDoc[Stare],"Confirmata")=1,"Confirmata","De confirmat")))</f>
        <v/>
      </c>
      <c r="U225" s="22">
        <f>IF(OR(C225="",T225&lt;&gt;"Confirmata"),0,IF(COUNTIFS(tTQMReguliDoc[Cheie_regula],S225,tTQMReguliDoc[Aviz],"Da")=1,1,0))</f>
        <v>0</v>
      </c>
      <c r="V225" s="22">
        <f>IF(OR(C225="",T225&lt;&gt;"Confirmata"),0,IF(COUNTIFS(tTQMReguliDoc[Cheie_regula],S225,tTQMReguliDoc[Decl_conformitate],"Da")=1,1,0))</f>
        <v>0</v>
      </c>
      <c r="W225" s="22">
        <f>IF(OR(C225="",T225&lt;&gt;"Confirmata"),0,IF(COUNTIFS(tTQMReguliDoc[Cheie_regula],S225,tTQMReguliDoc[Decl_producator],"Da")=1,1,0))</f>
        <v>0</v>
      </c>
      <c r="X225" s="22">
        <f>IF(OR(C225="",T225&lt;&gt;"Confirmata"),0,IF(COUNTIFS(tTQMReguliDoc[Cheie_regula],S225,tTQMReguliDoc[Fise_tehnice],"Da")=1,1,0))</f>
        <v>0</v>
      </c>
      <c r="Y225" s="22" t="str">
        <f t="shared" si="19"/>
        <v/>
      </c>
      <c r="Z225" s="22"/>
      <c r="AA225" s="22"/>
    </row>
    <row r="226" spans="1:27" ht="15" customHeight="1">
      <c r="A226" s="30"/>
      <c r="B226" s="31"/>
      <c r="C226" s="30"/>
      <c r="D226" s="30"/>
      <c r="E226" s="30"/>
      <c r="F226" s="32" t="str">
        <f t="shared" si="15"/>
        <v/>
      </c>
      <c r="G226" s="30"/>
      <c r="H226" s="30"/>
      <c r="I226" s="30"/>
      <c r="J226" s="32" t="str">
        <f t="shared" si="16"/>
        <v/>
      </c>
      <c r="K226" s="30" t="str">
        <f t="shared" si="17"/>
        <v/>
      </c>
      <c r="L226" s="30"/>
      <c r="M226" s="30"/>
      <c r="N226" s="22"/>
      <c r="O226" s="25"/>
      <c r="P226" s="26"/>
      <c r="Q226" s="22"/>
      <c r="R226" s="22"/>
      <c r="S226" s="22" t="str">
        <f t="shared" si="18"/>
        <v/>
      </c>
      <c r="T226" s="22" t="str">
        <f>IF(C226="","",IF(COUNTIF(tTQMReguliDoc[Cheie_regula],S226)&lt;&gt;1,"REGULA NECONFIGURATA",IF(COUNTIFS(tTQMReguliDoc[Cheie_regula],S226,tTQMReguliDoc[Stare],"Confirmata")=1,"Confirmata","De confirmat")))</f>
        <v/>
      </c>
      <c r="U226" s="22">
        <f>IF(OR(C226="",T226&lt;&gt;"Confirmata"),0,IF(COUNTIFS(tTQMReguliDoc[Cheie_regula],S226,tTQMReguliDoc[Aviz],"Da")=1,1,0))</f>
        <v>0</v>
      </c>
      <c r="V226" s="22">
        <f>IF(OR(C226="",T226&lt;&gt;"Confirmata"),0,IF(COUNTIFS(tTQMReguliDoc[Cheie_regula],S226,tTQMReguliDoc[Decl_conformitate],"Da")=1,1,0))</f>
        <v>0</v>
      </c>
      <c r="W226" s="22">
        <f>IF(OR(C226="",T226&lt;&gt;"Confirmata"),0,IF(COUNTIFS(tTQMReguliDoc[Cheie_regula],S226,tTQMReguliDoc[Decl_producator],"Da")=1,1,0))</f>
        <v>0</v>
      </c>
      <c r="X226" s="22">
        <f>IF(OR(C226="",T226&lt;&gt;"Confirmata"),0,IF(COUNTIFS(tTQMReguliDoc[Cheie_regula],S226,tTQMReguliDoc[Fise_tehnice],"Da")=1,1,0))</f>
        <v>0</v>
      </c>
      <c r="Y226" s="22" t="str">
        <f t="shared" si="19"/>
        <v/>
      </c>
      <c r="Z226" s="22"/>
      <c r="AA226" s="22"/>
    </row>
    <row r="227" spans="1:27" ht="15" customHeight="1">
      <c r="A227" s="30"/>
      <c r="B227" s="31"/>
      <c r="C227" s="30"/>
      <c r="D227" s="30"/>
      <c r="E227" s="30"/>
      <c r="F227" s="32" t="str">
        <f t="shared" si="15"/>
        <v/>
      </c>
      <c r="G227" s="30"/>
      <c r="H227" s="30"/>
      <c r="I227" s="30"/>
      <c r="J227" s="32" t="str">
        <f t="shared" si="16"/>
        <v/>
      </c>
      <c r="K227" s="30" t="str">
        <f t="shared" si="17"/>
        <v/>
      </c>
      <c r="L227" s="30"/>
      <c r="M227" s="30"/>
      <c r="N227" s="22"/>
      <c r="O227" s="25"/>
      <c r="P227" s="26"/>
      <c r="Q227" s="22"/>
      <c r="R227" s="22"/>
      <c r="S227" s="22" t="str">
        <f t="shared" si="18"/>
        <v/>
      </c>
      <c r="T227" s="22" t="str">
        <f>IF(C227="","",IF(COUNTIF(tTQMReguliDoc[Cheie_regula],S227)&lt;&gt;1,"REGULA NECONFIGURATA",IF(COUNTIFS(tTQMReguliDoc[Cheie_regula],S227,tTQMReguliDoc[Stare],"Confirmata")=1,"Confirmata","De confirmat")))</f>
        <v/>
      </c>
      <c r="U227" s="22">
        <f>IF(OR(C227="",T227&lt;&gt;"Confirmata"),0,IF(COUNTIFS(tTQMReguliDoc[Cheie_regula],S227,tTQMReguliDoc[Aviz],"Da")=1,1,0))</f>
        <v>0</v>
      </c>
      <c r="V227" s="22">
        <f>IF(OR(C227="",T227&lt;&gt;"Confirmata"),0,IF(COUNTIFS(tTQMReguliDoc[Cheie_regula],S227,tTQMReguliDoc[Decl_conformitate],"Da")=1,1,0))</f>
        <v>0</v>
      </c>
      <c r="W227" s="22">
        <f>IF(OR(C227="",T227&lt;&gt;"Confirmata"),0,IF(COUNTIFS(tTQMReguliDoc[Cheie_regula],S227,tTQMReguliDoc[Decl_producator],"Da")=1,1,0))</f>
        <v>0</v>
      </c>
      <c r="X227" s="22">
        <f>IF(OR(C227="",T227&lt;&gt;"Confirmata"),0,IF(COUNTIFS(tTQMReguliDoc[Cheie_regula],S227,tTQMReguliDoc[Fise_tehnice],"Da")=1,1,0))</f>
        <v>0</v>
      </c>
      <c r="Y227" s="22" t="str">
        <f t="shared" si="19"/>
        <v/>
      </c>
      <c r="Z227" s="22"/>
      <c r="AA227" s="22"/>
    </row>
    <row r="228" spans="1:27" ht="15" customHeight="1">
      <c r="A228" s="30"/>
      <c r="B228" s="31"/>
      <c r="C228" s="30"/>
      <c r="D228" s="30"/>
      <c r="E228" s="30"/>
      <c r="F228" s="32" t="str">
        <f t="shared" si="15"/>
        <v/>
      </c>
      <c r="G228" s="30"/>
      <c r="H228" s="30"/>
      <c r="I228" s="30"/>
      <c r="J228" s="32" t="str">
        <f t="shared" si="16"/>
        <v/>
      </c>
      <c r="K228" s="30" t="str">
        <f t="shared" si="17"/>
        <v/>
      </c>
      <c r="L228" s="30"/>
      <c r="M228" s="30"/>
      <c r="N228" s="22"/>
      <c r="O228" s="25"/>
      <c r="P228" s="26"/>
      <c r="Q228" s="22"/>
      <c r="R228" s="22"/>
      <c r="S228" s="22" t="str">
        <f t="shared" si="18"/>
        <v/>
      </c>
      <c r="T228" s="22" t="str">
        <f>IF(C228="","",IF(COUNTIF(tTQMReguliDoc[Cheie_regula],S228)&lt;&gt;1,"REGULA NECONFIGURATA",IF(COUNTIFS(tTQMReguliDoc[Cheie_regula],S228,tTQMReguliDoc[Stare],"Confirmata")=1,"Confirmata","De confirmat")))</f>
        <v/>
      </c>
      <c r="U228" s="22">
        <f>IF(OR(C228="",T228&lt;&gt;"Confirmata"),0,IF(COUNTIFS(tTQMReguliDoc[Cheie_regula],S228,tTQMReguliDoc[Aviz],"Da")=1,1,0))</f>
        <v>0</v>
      </c>
      <c r="V228" s="22">
        <f>IF(OR(C228="",T228&lt;&gt;"Confirmata"),0,IF(COUNTIFS(tTQMReguliDoc[Cheie_regula],S228,tTQMReguliDoc[Decl_conformitate],"Da")=1,1,0))</f>
        <v>0</v>
      </c>
      <c r="W228" s="22">
        <f>IF(OR(C228="",T228&lt;&gt;"Confirmata"),0,IF(COUNTIFS(tTQMReguliDoc[Cheie_regula],S228,tTQMReguliDoc[Decl_producator],"Da")=1,1,0))</f>
        <v>0</v>
      </c>
      <c r="X228" s="22">
        <f>IF(OR(C228="",T228&lt;&gt;"Confirmata"),0,IF(COUNTIFS(tTQMReguliDoc[Cheie_regula],S228,tTQMReguliDoc[Fise_tehnice],"Da")=1,1,0))</f>
        <v>0</v>
      </c>
      <c r="Y228" s="22" t="str">
        <f t="shared" si="19"/>
        <v/>
      </c>
      <c r="Z228" s="22"/>
      <c r="AA228" s="22"/>
    </row>
    <row r="229" spans="1:27" ht="15" customHeight="1">
      <c r="A229" s="30"/>
      <c r="B229" s="31"/>
      <c r="C229" s="30"/>
      <c r="D229" s="30"/>
      <c r="E229" s="30"/>
      <c r="F229" s="32" t="str">
        <f t="shared" si="15"/>
        <v/>
      </c>
      <c r="G229" s="30"/>
      <c r="H229" s="30"/>
      <c r="I229" s="30"/>
      <c r="J229" s="32" t="str">
        <f t="shared" si="16"/>
        <v/>
      </c>
      <c r="K229" s="30" t="str">
        <f t="shared" si="17"/>
        <v/>
      </c>
      <c r="L229" s="30"/>
      <c r="M229" s="30"/>
      <c r="N229" s="22"/>
      <c r="O229" s="25"/>
      <c r="P229" s="26"/>
      <c r="Q229" s="22"/>
      <c r="R229" s="22"/>
      <c r="S229" s="22" t="str">
        <f t="shared" si="18"/>
        <v/>
      </c>
      <c r="T229" s="22" t="str">
        <f>IF(C229="","",IF(COUNTIF(tTQMReguliDoc[Cheie_regula],S229)&lt;&gt;1,"REGULA NECONFIGURATA",IF(COUNTIFS(tTQMReguliDoc[Cheie_regula],S229,tTQMReguliDoc[Stare],"Confirmata")=1,"Confirmata","De confirmat")))</f>
        <v/>
      </c>
      <c r="U229" s="22">
        <f>IF(OR(C229="",T229&lt;&gt;"Confirmata"),0,IF(COUNTIFS(tTQMReguliDoc[Cheie_regula],S229,tTQMReguliDoc[Aviz],"Da")=1,1,0))</f>
        <v>0</v>
      </c>
      <c r="V229" s="22">
        <f>IF(OR(C229="",T229&lt;&gt;"Confirmata"),0,IF(COUNTIFS(tTQMReguliDoc[Cheie_regula],S229,tTQMReguliDoc[Decl_conformitate],"Da")=1,1,0))</f>
        <v>0</v>
      </c>
      <c r="W229" s="22">
        <f>IF(OR(C229="",T229&lt;&gt;"Confirmata"),0,IF(COUNTIFS(tTQMReguliDoc[Cheie_regula],S229,tTQMReguliDoc[Decl_producator],"Da")=1,1,0))</f>
        <v>0</v>
      </c>
      <c r="X229" s="22">
        <f>IF(OR(C229="",T229&lt;&gt;"Confirmata"),0,IF(COUNTIFS(tTQMReguliDoc[Cheie_regula],S229,tTQMReguliDoc[Fise_tehnice],"Da")=1,1,0))</f>
        <v>0</v>
      </c>
      <c r="Y229" s="22" t="str">
        <f t="shared" si="19"/>
        <v/>
      </c>
      <c r="Z229" s="22"/>
      <c r="AA229" s="22"/>
    </row>
    <row r="230" spans="1:27" ht="15" customHeight="1">
      <c r="A230" s="30"/>
      <c r="B230" s="31"/>
      <c r="C230" s="30"/>
      <c r="D230" s="30"/>
      <c r="E230" s="30"/>
      <c r="F230" s="32" t="str">
        <f t="shared" si="15"/>
        <v/>
      </c>
      <c r="G230" s="30"/>
      <c r="H230" s="30"/>
      <c r="I230" s="30"/>
      <c r="J230" s="32" t="str">
        <f t="shared" si="16"/>
        <v/>
      </c>
      <c r="K230" s="30" t="str">
        <f t="shared" si="17"/>
        <v/>
      </c>
      <c r="L230" s="30"/>
      <c r="M230" s="30"/>
      <c r="N230" s="22"/>
      <c r="O230" s="25"/>
      <c r="P230" s="26"/>
      <c r="Q230" s="22"/>
      <c r="R230" s="22"/>
      <c r="S230" s="22" t="str">
        <f t="shared" si="18"/>
        <v/>
      </c>
      <c r="T230" s="22" t="str">
        <f>IF(C230="","",IF(COUNTIF(tTQMReguliDoc[Cheie_regula],S230)&lt;&gt;1,"REGULA NECONFIGURATA",IF(COUNTIFS(tTQMReguliDoc[Cheie_regula],S230,tTQMReguliDoc[Stare],"Confirmata")=1,"Confirmata","De confirmat")))</f>
        <v/>
      </c>
      <c r="U230" s="22">
        <f>IF(OR(C230="",T230&lt;&gt;"Confirmata"),0,IF(COUNTIFS(tTQMReguliDoc[Cheie_regula],S230,tTQMReguliDoc[Aviz],"Da")=1,1,0))</f>
        <v>0</v>
      </c>
      <c r="V230" s="22">
        <f>IF(OR(C230="",T230&lt;&gt;"Confirmata"),0,IF(COUNTIFS(tTQMReguliDoc[Cheie_regula],S230,tTQMReguliDoc[Decl_conformitate],"Da")=1,1,0))</f>
        <v>0</v>
      </c>
      <c r="W230" s="22">
        <f>IF(OR(C230="",T230&lt;&gt;"Confirmata"),0,IF(COUNTIFS(tTQMReguliDoc[Cheie_regula],S230,tTQMReguliDoc[Decl_producator],"Da")=1,1,0))</f>
        <v>0</v>
      </c>
      <c r="X230" s="22">
        <f>IF(OR(C230="",T230&lt;&gt;"Confirmata"),0,IF(COUNTIFS(tTQMReguliDoc[Cheie_regula],S230,tTQMReguliDoc[Fise_tehnice],"Da")=1,1,0))</f>
        <v>0</v>
      </c>
      <c r="Y230" s="22" t="str">
        <f t="shared" si="19"/>
        <v/>
      </c>
      <c r="Z230" s="22"/>
      <c r="AA230" s="22"/>
    </row>
    <row r="231" spans="1:27" ht="15" customHeight="1">
      <c r="A231" s="30"/>
      <c r="B231" s="31"/>
      <c r="C231" s="30"/>
      <c r="D231" s="30"/>
      <c r="E231" s="30"/>
      <c r="F231" s="32" t="str">
        <f t="shared" si="15"/>
        <v/>
      </c>
      <c r="G231" s="30"/>
      <c r="H231" s="30"/>
      <c r="I231" s="30"/>
      <c r="J231" s="32" t="str">
        <f t="shared" si="16"/>
        <v/>
      </c>
      <c r="K231" s="30" t="str">
        <f t="shared" si="17"/>
        <v/>
      </c>
      <c r="L231" s="30"/>
      <c r="M231" s="30"/>
      <c r="N231" s="22"/>
      <c r="O231" s="25"/>
      <c r="P231" s="26"/>
      <c r="Q231" s="22"/>
      <c r="R231" s="22"/>
      <c r="S231" s="22" t="str">
        <f t="shared" si="18"/>
        <v/>
      </c>
      <c r="T231" s="22" t="str">
        <f>IF(C231="","",IF(COUNTIF(tTQMReguliDoc[Cheie_regula],S231)&lt;&gt;1,"REGULA NECONFIGURATA",IF(COUNTIFS(tTQMReguliDoc[Cheie_regula],S231,tTQMReguliDoc[Stare],"Confirmata")=1,"Confirmata","De confirmat")))</f>
        <v/>
      </c>
      <c r="U231" s="22">
        <f>IF(OR(C231="",T231&lt;&gt;"Confirmata"),0,IF(COUNTIFS(tTQMReguliDoc[Cheie_regula],S231,tTQMReguliDoc[Aviz],"Da")=1,1,0))</f>
        <v>0</v>
      </c>
      <c r="V231" s="22">
        <f>IF(OR(C231="",T231&lt;&gt;"Confirmata"),0,IF(COUNTIFS(tTQMReguliDoc[Cheie_regula],S231,tTQMReguliDoc[Decl_conformitate],"Da")=1,1,0))</f>
        <v>0</v>
      </c>
      <c r="W231" s="22">
        <f>IF(OR(C231="",T231&lt;&gt;"Confirmata"),0,IF(COUNTIFS(tTQMReguliDoc[Cheie_regula],S231,tTQMReguliDoc[Decl_producator],"Da")=1,1,0))</f>
        <v>0</v>
      </c>
      <c r="X231" s="22">
        <f>IF(OR(C231="",T231&lt;&gt;"Confirmata"),0,IF(COUNTIFS(tTQMReguliDoc[Cheie_regula],S231,tTQMReguliDoc[Fise_tehnice],"Da")=1,1,0))</f>
        <v>0</v>
      </c>
      <c r="Y231" s="22" t="str">
        <f t="shared" si="19"/>
        <v/>
      </c>
      <c r="Z231" s="22"/>
      <c r="AA231" s="22"/>
    </row>
    <row r="232" spans="1:27" ht="15" customHeight="1">
      <c r="A232" s="30"/>
      <c r="B232" s="31"/>
      <c r="C232" s="30"/>
      <c r="D232" s="30"/>
      <c r="E232" s="30"/>
      <c r="F232" s="32" t="str">
        <f t="shared" si="15"/>
        <v/>
      </c>
      <c r="G232" s="30"/>
      <c r="H232" s="30"/>
      <c r="I232" s="30"/>
      <c r="J232" s="32" t="str">
        <f t="shared" si="16"/>
        <v/>
      </c>
      <c r="K232" s="30" t="str">
        <f t="shared" si="17"/>
        <v/>
      </c>
      <c r="L232" s="30"/>
      <c r="M232" s="30"/>
      <c r="N232" s="22"/>
      <c r="O232" s="25"/>
      <c r="P232" s="26"/>
      <c r="Q232" s="22"/>
      <c r="R232" s="22"/>
      <c r="S232" s="22" t="str">
        <f t="shared" si="18"/>
        <v/>
      </c>
      <c r="T232" s="22" t="str">
        <f>IF(C232="","",IF(COUNTIF(tTQMReguliDoc[Cheie_regula],S232)&lt;&gt;1,"REGULA NECONFIGURATA",IF(COUNTIFS(tTQMReguliDoc[Cheie_regula],S232,tTQMReguliDoc[Stare],"Confirmata")=1,"Confirmata","De confirmat")))</f>
        <v/>
      </c>
      <c r="U232" s="22">
        <f>IF(OR(C232="",T232&lt;&gt;"Confirmata"),0,IF(COUNTIFS(tTQMReguliDoc[Cheie_regula],S232,tTQMReguliDoc[Aviz],"Da")=1,1,0))</f>
        <v>0</v>
      </c>
      <c r="V232" s="22">
        <f>IF(OR(C232="",T232&lt;&gt;"Confirmata"),0,IF(COUNTIFS(tTQMReguliDoc[Cheie_regula],S232,tTQMReguliDoc[Decl_conformitate],"Da")=1,1,0))</f>
        <v>0</v>
      </c>
      <c r="W232" s="22">
        <f>IF(OR(C232="",T232&lt;&gt;"Confirmata"),0,IF(COUNTIFS(tTQMReguliDoc[Cheie_regula],S232,tTQMReguliDoc[Decl_producator],"Da")=1,1,0))</f>
        <v>0</v>
      </c>
      <c r="X232" s="22">
        <f>IF(OR(C232="",T232&lt;&gt;"Confirmata"),0,IF(COUNTIFS(tTQMReguliDoc[Cheie_regula],S232,tTQMReguliDoc[Fise_tehnice],"Da")=1,1,0))</f>
        <v>0</v>
      </c>
      <c r="Y232" s="22" t="str">
        <f t="shared" si="19"/>
        <v/>
      </c>
      <c r="Z232" s="22"/>
      <c r="AA232" s="22"/>
    </row>
    <row r="233" spans="1:27" ht="15" customHeight="1">
      <c r="A233" s="30"/>
      <c r="B233" s="31"/>
      <c r="C233" s="30"/>
      <c r="D233" s="30"/>
      <c r="E233" s="30"/>
      <c r="F233" s="32" t="str">
        <f t="shared" si="15"/>
        <v/>
      </c>
      <c r="G233" s="30"/>
      <c r="H233" s="30"/>
      <c r="I233" s="30"/>
      <c r="J233" s="32" t="str">
        <f t="shared" si="16"/>
        <v/>
      </c>
      <c r="K233" s="30" t="str">
        <f t="shared" si="17"/>
        <v/>
      </c>
      <c r="L233" s="30"/>
      <c r="M233" s="30"/>
      <c r="N233" s="22"/>
      <c r="O233" s="25"/>
      <c r="P233" s="26"/>
      <c r="Q233" s="22"/>
      <c r="R233" s="22"/>
      <c r="S233" s="22" t="str">
        <f t="shared" si="18"/>
        <v/>
      </c>
      <c r="T233" s="22" t="str">
        <f>IF(C233="","",IF(COUNTIF(tTQMReguliDoc[Cheie_regula],S233)&lt;&gt;1,"REGULA NECONFIGURATA",IF(COUNTIFS(tTQMReguliDoc[Cheie_regula],S233,tTQMReguliDoc[Stare],"Confirmata")=1,"Confirmata","De confirmat")))</f>
        <v/>
      </c>
      <c r="U233" s="22">
        <f>IF(OR(C233="",T233&lt;&gt;"Confirmata"),0,IF(COUNTIFS(tTQMReguliDoc[Cheie_regula],S233,tTQMReguliDoc[Aviz],"Da")=1,1,0))</f>
        <v>0</v>
      </c>
      <c r="V233" s="22">
        <f>IF(OR(C233="",T233&lt;&gt;"Confirmata"),0,IF(COUNTIFS(tTQMReguliDoc[Cheie_regula],S233,tTQMReguliDoc[Decl_conformitate],"Da")=1,1,0))</f>
        <v>0</v>
      </c>
      <c r="W233" s="22">
        <f>IF(OR(C233="",T233&lt;&gt;"Confirmata"),0,IF(COUNTIFS(tTQMReguliDoc[Cheie_regula],S233,tTQMReguliDoc[Decl_producator],"Da")=1,1,0))</f>
        <v>0</v>
      </c>
      <c r="X233" s="22">
        <f>IF(OR(C233="",T233&lt;&gt;"Confirmata"),0,IF(COUNTIFS(tTQMReguliDoc[Cheie_regula],S233,tTQMReguliDoc[Fise_tehnice],"Da")=1,1,0))</f>
        <v>0</v>
      </c>
      <c r="Y233" s="22" t="str">
        <f t="shared" si="19"/>
        <v/>
      </c>
      <c r="Z233" s="22"/>
      <c r="AA233" s="22"/>
    </row>
    <row r="234" spans="1:27" ht="15" customHeight="1">
      <c r="A234" s="30"/>
      <c r="B234" s="31"/>
      <c r="C234" s="30"/>
      <c r="D234" s="30"/>
      <c r="E234" s="30"/>
      <c r="F234" s="32" t="str">
        <f t="shared" si="15"/>
        <v/>
      </c>
      <c r="G234" s="30"/>
      <c r="H234" s="30"/>
      <c r="I234" s="30"/>
      <c r="J234" s="32" t="str">
        <f t="shared" si="16"/>
        <v/>
      </c>
      <c r="K234" s="30" t="str">
        <f t="shared" si="17"/>
        <v/>
      </c>
      <c r="L234" s="30"/>
      <c r="M234" s="30"/>
      <c r="N234" s="22"/>
      <c r="O234" s="25"/>
      <c r="P234" s="26"/>
      <c r="Q234" s="22"/>
      <c r="R234" s="22"/>
      <c r="S234" s="22" t="str">
        <f t="shared" si="18"/>
        <v/>
      </c>
      <c r="T234" s="22" t="str">
        <f>IF(C234="","",IF(COUNTIF(tTQMReguliDoc[Cheie_regula],S234)&lt;&gt;1,"REGULA NECONFIGURATA",IF(COUNTIFS(tTQMReguliDoc[Cheie_regula],S234,tTQMReguliDoc[Stare],"Confirmata")=1,"Confirmata","De confirmat")))</f>
        <v/>
      </c>
      <c r="U234" s="22">
        <f>IF(OR(C234="",T234&lt;&gt;"Confirmata"),0,IF(COUNTIFS(tTQMReguliDoc[Cheie_regula],S234,tTQMReguliDoc[Aviz],"Da")=1,1,0))</f>
        <v>0</v>
      </c>
      <c r="V234" s="22">
        <f>IF(OR(C234="",T234&lt;&gt;"Confirmata"),0,IF(COUNTIFS(tTQMReguliDoc[Cheie_regula],S234,tTQMReguliDoc[Decl_conformitate],"Da")=1,1,0))</f>
        <v>0</v>
      </c>
      <c r="W234" s="22">
        <f>IF(OR(C234="",T234&lt;&gt;"Confirmata"),0,IF(COUNTIFS(tTQMReguliDoc[Cheie_regula],S234,tTQMReguliDoc[Decl_producator],"Da")=1,1,0))</f>
        <v>0</v>
      </c>
      <c r="X234" s="22">
        <f>IF(OR(C234="",T234&lt;&gt;"Confirmata"),0,IF(COUNTIFS(tTQMReguliDoc[Cheie_regula],S234,tTQMReguliDoc[Fise_tehnice],"Da")=1,1,0))</f>
        <v>0</v>
      </c>
      <c r="Y234" s="22" t="str">
        <f t="shared" si="19"/>
        <v/>
      </c>
      <c r="Z234" s="22"/>
      <c r="AA234" s="22"/>
    </row>
    <row r="235" spans="1:27" ht="15" customHeight="1">
      <c r="A235" s="30"/>
      <c r="B235" s="31"/>
      <c r="C235" s="30"/>
      <c r="D235" s="30"/>
      <c r="E235" s="30"/>
      <c r="F235" s="32" t="str">
        <f t="shared" si="15"/>
        <v/>
      </c>
      <c r="G235" s="30"/>
      <c r="H235" s="30"/>
      <c r="I235" s="30"/>
      <c r="J235" s="32" t="str">
        <f t="shared" si="16"/>
        <v/>
      </c>
      <c r="K235" s="30" t="str">
        <f t="shared" si="17"/>
        <v/>
      </c>
      <c r="L235" s="30"/>
      <c r="M235" s="30"/>
      <c r="N235" s="22"/>
      <c r="O235" s="25"/>
      <c r="P235" s="26"/>
      <c r="Q235" s="22"/>
      <c r="R235" s="22"/>
      <c r="S235" s="22" t="str">
        <f t="shared" si="18"/>
        <v/>
      </c>
      <c r="T235" s="22" t="str">
        <f>IF(C235="","",IF(COUNTIF(tTQMReguliDoc[Cheie_regula],S235)&lt;&gt;1,"REGULA NECONFIGURATA",IF(COUNTIFS(tTQMReguliDoc[Cheie_regula],S235,tTQMReguliDoc[Stare],"Confirmata")=1,"Confirmata","De confirmat")))</f>
        <v/>
      </c>
      <c r="U235" s="22">
        <f>IF(OR(C235="",T235&lt;&gt;"Confirmata"),0,IF(COUNTIFS(tTQMReguliDoc[Cheie_regula],S235,tTQMReguliDoc[Aviz],"Da")=1,1,0))</f>
        <v>0</v>
      </c>
      <c r="V235" s="22">
        <f>IF(OR(C235="",T235&lt;&gt;"Confirmata"),0,IF(COUNTIFS(tTQMReguliDoc[Cheie_regula],S235,tTQMReguliDoc[Decl_conformitate],"Da")=1,1,0))</f>
        <v>0</v>
      </c>
      <c r="W235" s="22">
        <f>IF(OR(C235="",T235&lt;&gt;"Confirmata"),0,IF(COUNTIFS(tTQMReguliDoc[Cheie_regula],S235,tTQMReguliDoc[Decl_producator],"Da")=1,1,0))</f>
        <v>0</v>
      </c>
      <c r="X235" s="22">
        <f>IF(OR(C235="",T235&lt;&gt;"Confirmata"),0,IF(COUNTIFS(tTQMReguliDoc[Cheie_regula],S235,tTQMReguliDoc[Fise_tehnice],"Da")=1,1,0))</f>
        <v>0</v>
      </c>
      <c r="Y235" s="22" t="str">
        <f t="shared" si="19"/>
        <v/>
      </c>
      <c r="Z235" s="22"/>
      <c r="AA235" s="22"/>
    </row>
    <row r="236" spans="1:27" ht="15" customHeight="1">
      <c r="A236" s="30"/>
      <c r="B236" s="31"/>
      <c r="C236" s="30"/>
      <c r="D236" s="30"/>
      <c r="E236" s="30"/>
      <c r="F236" s="32" t="str">
        <f t="shared" si="15"/>
        <v/>
      </c>
      <c r="G236" s="30"/>
      <c r="H236" s="30"/>
      <c r="I236" s="30"/>
      <c r="J236" s="32" t="str">
        <f t="shared" si="16"/>
        <v/>
      </c>
      <c r="K236" s="30" t="str">
        <f t="shared" si="17"/>
        <v/>
      </c>
      <c r="L236" s="30"/>
      <c r="M236" s="30"/>
      <c r="N236" s="22"/>
      <c r="O236" s="25"/>
      <c r="P236" s="26"/>
      <c r="Q236" s="22"/>
      <c r="R236" s="22"/>
      <c r="S236" s="22" t="str">
        <f t="shared" si="18"/>
        <v/>
      </c>
      <c r="T236" s="22" t="str">
        <f>IF(C236="","",IF(COUNTIF(tTQMReguliDoc[Cheie_regula],S236)&lt;&gt;1,"REGULA NECONFIGURATA",IF(COUNTIFS(tTQMReguliDoc[Cheie_regula],S236,tTQMReguliDoc[Stare],"Confirmata")=1,"Confirmata","De confirmat")))</f>
        <v/>
      </c>
      <c r="U236" s="22">
        <f>IF(OR(C236="",T236&lt;&gt;"Confirmata"),0,IF(COUNTIFS(tTQMReguliDoc[Cheie_regula],S236,tTQMReguliDoc[Aviz],"Da")=1,1,0))</f>
        <v>0</v>
      </c>
      <c r="V236" s="22">
        <f>IF(OR(C236="",T236&lt;&gt;"Confirmata"),0,IF(COUNTIFS(tTQMReguliDoc[Cheie_regula],S236,tTQMReguliDoc[Decl_conformitate],"Da")=1,1,0))</f>
        <v>0</v>
      </c>
      <c r="W236" s="22">
        <f>IF(OR(C236="",T236&lt;&gt;"Confirmata"),0,IF(COUNTIFS(tTQMReguliDoc[Cheie_regula],S236,tTQMReguliDoc[Decl_producator],"Da")=1,1,0))</f>
        <v>0</v>
      </c>
      <c r="X236" s="22">
        <f>IF(OR(C236="",T236&lt;&gt;"Confirmata"),0,IF(COUNTIFS(tTQMReguliDoc[Cheie_regula],S236,tTQMReguliDoc[Fise_tehnice],"Da")=1,1,0))</f>
        <v>0</v>
      </c>
      <c r="Y236" s="22" t="str">
        <f t="shared" si="19"/>
        <v/>
      </c>
      <c r="Z236" s="22"/>
      <c r="AA236" s="22"/>
    </row>
    <row r="237" spans="1:27" ht="15" customHeight="1">
      <c r="A237" s="30"/>
      <c r="B237" s="31"/>
      <c r="C237" s="30"/>
      <c r="D237" s="30"/>
      <c r="E237" s="30"/>
      <c r="F237" s="32" t="str">
        <f t="shared" si="15"/>
        <v/>
      </c>
      <c r="G237" s="30"/>
      <c r="H237" s="30"/>
      <c r="I237" s="30"/>
      <c r="J237" s="32" t="str">
        <f t="shared" si="16"/>
        <v/>
      </c>
      <c r="K237" s="30" t="str">
        <f t="shared" si="17"/>
        <v/>
      </c>
      <c r="L237" s="30"/>
      <c r="M237" s="30"/>
      <c r="N237" s="22"/>
      <c r="O237" s="25"/>
      <c r="P237" s="26"/>
      <c r="Q237" s="22"/>
      <c r="R237" s="22"/>
      <c r="S237" s="22" t="str">
        <f t="shared" si="18"/>
        <v/>
      </c>
      <c r="T237" s="22" t="str">
        <f>IF(C237="","",IF(COUNTIF(tTQMReguliDoc[Cheie_regula],S237)&lt;&gt;1,"REGULA NECONFIGURATA",IF(COUNTIFS(tTQMReguliDoc[Cheie_regula],S237,tTQMReguliDoc[Stare],"Confirmata")=1,"Confirmata","De confirmat")))</f>
        <v/>
      </c>
      <c r="U237" s="22">
        <f>IF(OR(C237="",T237&lt;&gt;"Confirmata"),0,IF(COUNTIFS(tTQMReguliDoc[Cheie_regula],S237,tTQMReguliDoc[Aviz],"Da")=1,1,0))</f>
        <v>0</v>
      </c>
      <c r="V237" s="22">
        <f>IF(OR(C237="",T237&lt;&gt;"Confirmata"),0,IF(COUNTIFS(tTQMReguliDoc[Cheie_regula],S237,tTQMReguliDoc[Decl_conformitate],"Da")=1,1,0))</f>
        <v>0</v>
      </c>
      <c r="W237" s="22">
        <f>IF(OR(C237="",T237&lt;&gt;"Confirmata"),0,IF(COUNTIFS(tTQMReguliDoc[Cheie_regula],S237,tTQMReguliDoc[Decl_producator],"Da")=1,1,0))</f>
        <v>0</v>
      </c>
      <c r="X237" s="22">
        <f>IF(OR(C237="",T237&lt;&gt;"Confirmata"),0,IF(COUNTIFS(tTQMReguliDoc[Cheie_regula],S237,tTQMReguliDoc[Fise_tehnice],"Da")=1,1,0))</f>
        <v>0</v>
      </c>
      <c r="Y237" s="22" t="str">
        <f t="shared" si="19"/>
        <v/>
      </c>
      <c r="Z237" s="22"/>
      <c r="AA237" s="22"/>
    </row>
    <row r="238" spans="1:27" ht="15" customHeight="1">
      <c r="A238" s="30"/>
      <c r="B238" s="31"/>
      <c r="C238" s="30"/>
      <c r="D238" s="30"/>
      <c r="E238" s="30"/>
      <c r="F238" s="32" t="str">
        <f t="shared" si="15"/>
        <v/>
      </c>
      <c r="G238" s="30"/>
      <c r="H238" s="30"/>
      <c r="I238" s="30"/>
      <c r="J238" s="32" t="str">
        <f t="shared" si="16"/>
        <v/>
      </c>
      <c r="K238" s="30" t="str">
        <f t="shared" si="17"/>
        <v/>
      </c>
      <c r="L238" s="30"/>
      <c r="M238" s="30"/>
      <c r="N238" s="22"/>
      <c r="O238" s="25"/>
      <c r="P238" s="26"/>
      <c r="Q238" s="22"/>
      <c r="R238" s="22"/>
      <c r="S238" s="22" t="str">
        <f t="shared" si="18"/>
        <v/>
      </c>
      <c r="T238" s="22" t="str">
        <f>IF(C238="","",IF(COUNTIF(tTQMReguliDoc[Cheie_regula],S238)&lt;&gt;1,"REGULA NECONFIGURATA",IF(COUNTIFS(tTQMReguliDoc[Cheie_regula],S238,tTQMReguliDoc[Stare],"Confirmata")=1,"Confirmata","De confirmat")))</f>
        <v/>
      </c>
      <c r="U238" s="22">
        <f>IF(OR(C238="",T238&lt;&gt;"Confirmata"),0,IF(COUNTIFS(tTQMReguliDoc[Cheie_regula],S238,tTQMReguliDoc[Aviz],"Da")=1,1,0))</f>
        <v>0</v>
      </c>
      <c r="V238" s="22">
        <f>IF(OR(C238="",T238&lt;&gt;"Confirmata"),0,IF(COUNTIFS(tTQMReguliDoc[Cheie_regula],S238,tTQMReguliDoc[Decl_conformitate],"Da")=1,1,0))</f>
        <v>0</v>
      </c>
      <c r="W238" s="22">
        <f>IF(OR(C238="",T238&lt;&gt;"Confirmata"),0,IF(COUNTIFS(tTQMReguliDoc[Cheie_regula],S238,tTQMReguliDoc[Decl_producator],"Da")=1,1,0))</f>
        <v>0</v>
      </c>
      <c r="X238" s="22">
        <f>IF(OR(C238="",T238&lt;&gt;"Confirmata"),0,IF(COUNTIFS(tTQMReguliDoc[Cheie_regula],S238,tTQMReguliDoc[Fise_tehnice],"Da")=1,1,0))</f>
        <v>0</v>
      </c>
      <c r="Y238" s="22" t="str">
        <f t="shared" si="19"/>
        <v/>
      </c>
      <c r="Z238" s="22"/>
      <c r="AA238" s="22"/>
    </row>
    <row r="239" spans="1:27" ht="15" customHeight="1">
      <c r="A239" s="30"/>
      <c r="B239" s="31"/>
      <c r="C239" s="30"/>
      <c r="D239" s="30"/>
      <c r="E239" s="30"/>
      <c r="F239" s="32" t="str">
        <f t="shared" si="15"/>
        <v/>
      </c>
      <c r="G239" s="30"/>
      <c r="H239" s="30"/>
      <c r="I239" s="30"/>
      <c r="J239" s="32" t="str">
        <f t="shared" si="16"/>
        <v/>
      </c>
      <c r="K239" s="30" t="str">
        <f t="shared" si="17"/>
        <v/>
      </c>
      <c r="L239" s="30"/>
      <c r="M239" s="30"/>
      <c r="N239" s="22"/>
      <c r="O239" s="25"/>
      <c r="P239" s="26"/>
      <c r="Q239" s="22"/>
      <c r="R239" s="22"/>
      <c r="S239" s="22" t="str">
        <f t="shared" si="18"/>
        <v/>
      </c>
      <c r="T239" s="22" t="str">
        <f>IF(C239="","",IF(COUNTIF(tTQMReguliDoc[Cheie_regula],S239)&lt;&gt;1,"REGULA NECONFIGURATA",IF(COUNTIFS(tTQMReguliDoc[Cheie_regula],S239,tTQMReguliDoc[Stare],"Confirmata")=1,"Confirmata","De confirmat")))</f>
        <v/>
      </c>
      <c r="U239" s="22">
        <f>IF(OR(C239="",T239&lt;&gt;"Confirmata"),0,IF(COUNTIFS(tTQMReguliDoc[Cheie_regula],S239,tTQMReguliDoc[Aviz],"Da")=1,1,0))</f>
        <v>0</v>
      </c>
      <c r="V239" s="22">
        <f>IF(OR(C239="",T239&lt;&gt;"Confirmata"),0,IF(COUNTIFS(tTQMReguliDoc[Cheie_regula],S239,tTQMReguliDoc[Decl_conformitate],"Da")=1,1,0))</f>
        <v>0</v>
      </c>
      <c r="W239" s="22">
        <f>IF(OR(C239="",T239&lt;&gt;"Confirmata"),0,IF(COUNTIFS(tTQMReguliDoc[Cheie_regula],S239,tTQMReguliDoc[Decl_producator],"Da")=1,1,0))</f>
        <v>0</v>
      </c>
      <c r="X239" s="22">
        <f>IF(OR(C239="",T239&lt;&gt;"Confirmata"),0,IF(COUNTIFS(tTQMReguliDoc[Cheie_regula],S239,tTQMReguliDoc[Fise_tehnice],"Da")=1,1,0))</f>
        <v>0</v>
      </c>
      <c r="Y239" s="22" t="str">
        <f t="shared" si="19"/>
        <v/>
      </c>
      <c r="Z239" s="22"/>
      <c r="AA239" s="22"/>
    </row>
    <row r="240" spans="1:27" ht="15" customHeight="1">
      <c r="A240" s="30"/>
      <c r="B240" s="31"/>
      <c r="C240" s="30"/>
      <c r="D240" s="30"/>
      <c r="E240" s="30"/>
      <c r="F240" s="32" t="str">
        <f t="shared" si="15"/>
        <v/>
      </c>
      <c r="G240" s="30"/>
      <c r="H240" s="30"/>
      <c r="I240" s="30"/>
      <c r="J240" s="32" t="str">
        <f t="shared" si="16"/>
        <v/>
      </c>
      <c r="K240" s="30" t="str">
        <f t="shared" si="17"/>
        <v/>
      </c>
      <c r="L240" s="30"/>
      <c r="M240" s="30"/>
      <c r="N240" s="22"/>
      <c r="O240" s="25"/>
      <c r="P240" s="26"/>
      <c r="Q240" s="22"/>
      <c r="R240" s="22"/>
      <c r="S240" s="22" t="str">
        <f t="shared" si="18"/>
        <v/>
      </c>
      <c r="T240" s="22" t="str">
        <f>IF(C240="","",IF(COUNTIF(tTQMReguliDoc[Cheie_regula],S240)&lt;&gt;1,"REGULA NECONFIGURATA",IF(COUNTIFS(tTQMReguliDoc[Cheie_regula],S240,tTQMReguliDoc[Stare],"Confirmata")=1,"Confirmata","De confirmat")))</f>
        <v/>
      </c>
      <c r="U240" s="22">
        <f>IF(OR(C240="",T240&lt;&gt;"Confirmata"),0,IF(COUNTIFS(tTQMReguliDoc[Cheie_regula],S240,tTQMReguliDoc[Aviz],"Da")=1,1,0))</f>
        <v>0</v>
      </c>
      <c r="V240" s="22">
        <f>IF(OR(C240="",T240&lt;&gt;"Confirmata"),0,IF(COUNTIFS(tTQMReguliDoc[Cheie_regula],S240,tTQMReguliDoc[Decl_conformitate],"Da")=1,1,0))</f>
        <v>0</v>
      </c>
      <c r="W240" s="22">
        <f>IF(OR(C240="",T240&lt;&gt;"Confirmata"),0,IF(COUNTIFS(tTQMReguliDoc[Cheie_regula],S240,tTQMReguliDoc[Decl_producator],"Da")=1,1,0))</f>
        <v>0</v>
      </c>
      <c r="X240" s="22">
        <f>IF(OR(C240="",T240&lt;&gt;"Confirmata"),0,IF(COUNTIFS(tTQMReguliDoc[Cheie_regula],S240,tTQMReguliDoc[Fise_tehnice],"Da")=1,1,0))</f>
        <v>0</v>
      </c>
      <c r="Y240" s="22" t="str">
        <f t="shared" si="19"/>
        <v/>
      </c>
      <c r="Z240" s="22"/>
      <c r="AA240" s="22"/>
    </row>
    <row r="241" spans="1:27" ht="15" customHeight="1">
      <c r="A241" s="30"/>
      <c r="B241" s="31"/>
      <c r="C241" s="30"/>
      <c r="D241" s="30"/>
      <c r="E241" s="30"/>
      <c r="F241" s="32" t="str">
        <f t="shared" si="15"/>
        <v/>
      </c>
      <c r="G241" s="30"/>
      <c r="H241" s="30"/>
      <c r="I241" s="30"/>
      <c r="J241" s="32" t="str">
        <f t="shared" si="16"/>
        <v/>
      </c>
      <c r="K241" s="30" t="str">
        <f t="shared" si="17"/>
        <v/>
      </c>
      <c r="L241" s="30"/>
      <c r="M241" s="30"/>
      <c r="N241" s="22"/>
      <c r="O241" s="25"/>
      <c r="P241" s="26"/>
      <c r="Q241" s="22"/>
      <c r="R241" s="22"/>
      <c r="S241" s="22" t="str">
        <f t="shared" si="18"/>
        <v/>
      </c>
      <c r="T241" s="22" t="str">
        <f>IF(C241="","",IF(COUNTIF(tTQMReguliDoc[Cheie_regula],S241)&lt;&gt;1,"REGULA NECONFIGURATA",IF(COUNTIFS(tTQMReguliDoc[Cheie_regula],S241,tTQMReguliDoc[Stare],"Confirmata")=1,"Confirmata","De confirmat")))</f>
        <v/>
      </c>
      <c r="U241" s="22">
        <f>IF(OR(C241="",T241&lt;&gt;"Confirmata"),0,IF(COUNTIFS(tTQMReguliDoc[Cheie_regula],S241,tTQMReguliDoc[Aviz],"Da")=1,1,0))</f>
        <v>0</v>
      </c>
      <c r="V241" s="22">
        <f>IF(OR(C241="",T241&lt;&gt;"Confirmata"),0,IF(COUNTIFS(tTQMReguliDoc[Cheie_regula],S241,tTQMReguliDoc[Decl_conformitate],"Da")=1,1,0))</f>
        <v>0</v>
      </c>
      <c r="W241" s="22">
        <f>IF(OR(C241="",T241&lt;&gt;"Confirmata"),0,IF(COUNTIFS(tTQMReguliDoc[Cheie_regula],S241,tTQMReguliDoc[Decl_producator],"Da")=1,1,0))</f>
        <v>0</v>
      </c>
      <c r="X241" s="22">
        <f>IF(OR(C241="",T241&lt;&gt;"Confirmata"),0,IF(COUNTIFS(tTQMReguliDoc[Cheie_regula],S241,tTQMReguliDoc[Fise_tehnice],"Da")=1,1,0))</f>
        <v>0</v>
      </c>
      <c r="Y241" s="22" t="str">
        <f t="shared" si="19"/>
        <v/>
      </c>
      <c r="Z241" s="22"/>
      <c r="AA241" s="22"/>
    </row>
    <row r="242" spans="1:27" ht="15" customHeight="1">
      <c r="A242" s="30"/>
      <c r="B242" s="31"/>
      <c r="C242" s="30"/>
      <c r="D242" s="30"/>
      <c r="E242" s="30"/>
      <c r="F242" s="32" t="str">
        <f t="shared" si="15"/>
        <v/>
      </c>
      <c r="G242" s="30"/>
      <c r="H242" s="30"/>
      <c r="I242" s="30"/>
      <c r="J242" s="32" t="str">
        <f t="shared" si="16"/>
        <v/>
      </c>
      <c r="K242" s="30" t="str">
        <f t="shared" si="17"/>
        <v/>
      </c>
      <c r="L242" s="30"/>
      <c r="M242" s="30"/>
      <c r="N242" s="22"/>
      <c r="O242" s="25"/>
      <c r="P242" s="26"/>
      <c r="Q242" s="22"/>
      <c r="R242" s="22"/>
      <c r="S242" s="22" t="str">
        <f t="shared" si="18"/>
        <v/>
      </c>
      <c r="T242" s="22" t="str">
        <f>IF(C242="","",IF(COUNTIF(tTQMReguliDoc[Cheie_regula],S242)&lt;&gt;1,"REGULA NECONFIGURATA",IF(COUNTIFS(tTQMReguliDoc[Cheie_regula],S242,tTQMReguliDoc[Stare],"Confirmata")=1,"Confirmata","De confirmat")))</f>
        <v/>
      </c>
      <c r="U242" s="22">
        <f>IF(OR(C242="",T242&lt;&gt;"Confirmata"),0,IF(COUNTIFS(tTQMReguliDoc[Cheie_regula],S242,tTQMReguliDoc[Aviz],"Da")=1,1,0))</f>
        <v>0</v>
      </c>
      <c r="V242" s="22">
        <f>IF(OR(C242="",T242&lt;&gt;"Confirmata"),0,IF(COUNTIFS(tTQMReguliDoc[Cheie_regula],S242,tTQMReguliDoc[Decl_conformitate],"Da")=1,1,0))</f>
        <v>0</v>
      </c>
      <c r="W242" s="22">
        <f>IF(OR(C242="",T242&lt;&gt;"Confirmata"),0,IF(COUNTIFS(tTQMReguliDoc[Cheie_regula],S242,tTQMReguliDoc[Decl_producator],"Da")=1,1,0))</f>
        <v>0</v>
      </c>
      <c r="X242" s="22">
        <f>IF(OR(C242="",T242&lt;&gt;"Confirmata"),0,IF(COUNTIFS(tTQMReguliDoc[Cheie_regula],S242,tTQMReguliDoc[Fise_tehnice],"Da")=1,1,0))</f>
        <v>0</v>
      </c>
      <c r="Y242" s="22" t="str">
        <f t="shared" si="19"/>
        <v/>
      </c>
      <c r="Z242" s="22"/>
      <c r="AA242" s="22"/>
    </row>
    <row r="243" spans="1:27" ht="15" customHeight="1">
      <c r="A243" s="30"/>
      <c r="B243" s="31"/>
      <c r="C243" s="30"/>
      <c r="D243" s="30"/>
      <c r="E243" s="30"/>
      <c r="F243" s="32" t="str">
        <f t="shared" si="15"/>
        <v/>
      </c>
      <c r="G243" s="30"/>
      <c r="H243" s="30"/>
      <c r="I243" s="30"/>
      <c r="J243" s="32" t="str">
        <f t="shared" si="16"/>
        <v/>
      </c>
      <c r="K243" s="30" t="str">
        <f t="shared" si="17"/>
        <v/>
      </c>
      <c r="L243" s="30"/>
      <c r="M243" s="30"/>
      <c r="N243" s="22"/>
      <c r="O243" s="25"/>
      <c r="P243" s="26"/>
      <c r="Q243" s="22"/>
      <c r="R243" s="22"/>
      <c r="S243" s="22" t="str">
        <f t="shared" si="18"/>
        <v/>
      </c>
      <c r="T243" s="22" t="str">
        <f>IF(C243="","",IF(COUNTIF(tTQMReguliDoc[Cheie_regula],S243)&lt;&gt;1,"REGULA NECONFIGURATA",IF(COUNTIFS(tTQMReguliDoc[Cheie_regula],S243,tTQMReguliDoc[Stare],"Confirmata")=1,"Confirmata","De confirmat")))</f>
        <v/>
      </c>
      <c r="U243" s="22">
        <f>IF(OR(C243="",T243&lt;&gt;"Confirmata"),0,IF(COUNTIFS(tTQMReguliDoc[Cheie_regula],S243,tTQMReguliDoc[Aviz],"Da")=1,1,0))</f>
        <v>0</v>
      </c>
      <c r="V243" s="22">
        <f>IF(OR(C243="",T243&lt;&gt;"Confirmata"),0,IF(COUNTIFS(tTQMReguliDoc[Cheie_regula],S243,tTQMReguliDoc[Decl_conformitate],"Da")=1,1,0))</f>
        <v>0</v>
      </c>
      <c r="W243" s="22">
        <f>IF(OR(C243="",T243&lt;&gt;"Confirmata"),0,IF(COUNTIFS(tTQMReguliDoc[Cheie_regula],S243,tTQMReguliDoc[Decl_producator],"Da")=1,1,0))</f>
        <v>0</v>
      </c>
      <c r="X243" s="22">
        <f>IF(OR(C243="",T243&lt;&gt;"Confirmata"),0,IF(COUNTIFS(tTQMReguliDoc[Cheie_regula],S243,tTQMReguliDoc[Fise_tehnice],"Da")=1,1,0))</f>
        <v>0</v>
      </c>
      <c r="Y243" s="22" t="str">
        <f t="shared" si="19"/>
        <v/>
      </c>
      <c r="Z243" s="22"/>
      <c r="AA243" s="22"/>
    </row>
    <row r="244" spans="1:27" ht="15" customHeight="1">
      <c r="A244" s="30"/>
      <c r="B244" s="31"/>
      <c r="C244" s="30"/>
      <c r="D244" s="30"/>
      <c r="E244" s="30"/>
      <c r="F244" s="32" t="str">
        <f t="shared" si="15"/>
        <v/>
      </c>
      <c r="G244" s="30"/>
      <c r="H244" s="30"/>
      <c r="I244" s="30"/>
      <c r="J244" s="32" t="str">
        <f t="shared" si="16"/>
        <v/>
      </c>
      <c r="K244" s="30" t="str">
        <f t="shared" si="17"/>
        <v/>
      </c>
      <c r="L244" s="30"/>
      <c r="M244" s="30"/>
      <c r="N244" s="22"/>
      <c r="O244" s="25"/>
      <c r="P244" s="26"/>
      <c r="Q244" s="22"/>
      <c r="R244" s="22"/>
      <c r="S244" s="22" t="str">
        <f t="shared" si="18"/>
        <v/>
      </c>
      <c r="T244" s="22" t="str">
        <f>IF(C244="","",IF(COUNTIF(tTQMReguliDoc[Cheie_regula],S244)&lt;&gt;1,"REGULA NECONFIGURATA",IF(COUNTIFS(tTQMReguliDoc[Cheie_regula],S244,tTQMReguliDoc[Stare],"Confirmata")=1,"Confirmata","De confirmat")))</f>
        <v/>
      </c>
      <c r="U244" s="22">
        <f>IF(OR(C244="",T244&lt;&gt;"Confirmata"),0,IF(COUNTIFS(tTQMReguliDoc[Cheie_regula],S244,tTQMReguliDoc[Aviz],"Da")=1,1,0))</f>
        <v>0</v>
      </c>
      <c r="V244" s="22">
        <f>IF(OR(C244="",T244&lt;&gt;"Confirmata"),0,IF(COUNTIFS(tTQMReguliDoc[Cheie_regula],S244,tTQMReguliDoc[Decl_conformitate],"Da")=1,1,0))</f>
        <v>0</v>
      </c>
      <c r="W244" s="22">
        <f>IF(OR(C244="",T244&lt;&gt;"Confirmata"),0,IF(COUNTIFS(tTQMReguliDoc[Cheie_regula],S244,tTQMReguliDoc[Decl_producator],"Da")=1,1,0))</f>
        <v>0</v>
      </c>
      <c r="X244" s="22">
        <f>IF(OR(C244="",T244&lt;&gt;"Confirmata"),0,IF(COUNTIFS(tTQMReguliDoc[Cheie_regula],S244,tTQMReguliDoc[Fise_tehnice],"Da")=1,1,0))</f>
        <v>0</v>
      </c>
      <c r="Y244" s="22" t="str">
        <f t="shared" si="19"/>
        <v/>
      </c>
      <c r="Z244" s="22"/>
      <c r="AA244" s="22"/>
    </row>
    <row r="245" spans="1:27" ht="15" customHeight="1">
      <c r="A245" s="30"/>
      <c r="B245" s="31"/>
      <c r="C245" s="30"/>
      <c r="D245" s="30"/>
      <c r="E245" s="30"/>
      <c r="F245" s="32" t="str">
        <f t="shared" si="15"/>
        <v/>
      </c>
      <c r="G245" s="30"/>
      <c r="H245" s="30"/>
      <c r="I245" s="30"/>
      <c r="J245" s="32" t="str">
        <f t="shared" si="16"/>
        <v/>
      </c>
      <c r="K245" s="30" t="str">
        <f t="shared" si="17"/>
        <v/>
      </c>
      <c r="L245" s="30"/>
      <c r="M245" s="30"/>
      <c r="N245" s="22"/>
      <c r="O245" s="25"/>
      <c r="P245" s="26"/>
      <c r="Q245" s="22"/>
      <c r="R245" s="22"/>
      <c r="S245" s="22" t="str">
        <f t="shared" si="18"/>
        <v/>
      </c>
      <c r="T245" s="22" t="str">
        <f>IF(C245="","",IF(COUNTIF(tTQMReguliDoc[Cheie_regula],S245)&lt;&gt;1,"REGULA NECONFIGURATA",IF(COUNTIFS(tTQMReguliDoc[Cheie_regula],S245,tTQMReguliDoc[Stare],"Confirmata")=1,"Confirmata","De confirmat")))</f>
        <v/>
      </c>
      <c r="U245" s="22">
        <f>IF(OR(C245="",T245&lt;&gt;"Confirmata"),0,IF(COUNTIFS(tTQMReguliDoc[Cheie_regula],S245,tTQMReguliDoc[Aviz],"Da")=1,1,0))</f>
        <v>0</v>
      </c>
      <c r="V245" s="22">
        <f>IF(OR(C245="",T245&lt;&gt;"Confirmata"),0,IF(COUNTIFS(tTQMReguliDoc[Cheie_regula],S245,tTQMReguliDoc[Decl_conformitate],"Da")=1,1,0))</f>
        <v>0</v>
      </c>
      <c r="W245" s="22">
        <f>IF(OR(C245="",T245&lt;&gt;"Confirmata"),0,IF(COUNTIFS(tTQMReguliDoc[Cheie_regula],S245,tTQMReguliDoc[Decl_producator],"Da")=1,1,0))</f>
        <v>0</v>
      </c>
      <c r="X245" s="22">
        <f>IF(OR(C245="",T245&lt;&gt;"Confirmata"),0,IF(COUNTIFS(tTQMReguliDoc[Cheie_regula],S245,tTQMReguliDoc[Fise_tehnice],"Da")=1,1,0))</f>
        <v>0</v>
      </c>
      <c r="Y245" s="22" t="str">
        <f t="shared" si="19"/>
        <v/>
      </c>
      <c r="Z245" s="22"/>
      <c r="AA245" s="22"/>
    </row>
    <row r="246" spans="1:27" ht="15" customHeight="1">
      <c r="A246" s="30"/>
      <c r="B246" s="31"/>
      <c r="C246" s="30"/>
      <c r="D246" s="30"/>
      <c r="E246" s="30"/>
      <c r="F246" s="32" t="str">
        <f t="shared" si="15"/>
        <v/>
      </c>
      <c r="G246" s="30"/>
      <c r="H246" s="30"/>
      <c r="I246" s="30"/>
      <c r="J246" s="32" t="str">
        <f t="shared" si="16"/>
        <v/>
      </c>
      <c r="K246" s="30" t="str">
        <f t="shared" si="17"/>
        <v/>
      </c>
      <c r="L246" s="30"/>
      <c r="M246" s="30"/>
      <c r="N246" s="22"/>
      <c r="O246" s="25"/>
      <c r="P246" s="26"/>
      <c r="Q246" s="22"/>
      <c r="R246" s="22"/>
      <c r="S246" s="22" t="str">
        <f t="shared" si="18"/>
        <v/>
      </c>
      <c r="T246" s="22" t="str">
        <f>IF(C246="","",IF(COUNTIF(tTQMReguliDoc[Cheie_regula],S246)&lt;&gt;1,"REGULA NECONFIGURATA",IF(COUNTIFS(tTQMReguliDoc[Cheie_regula],S246,tTQMReguliDoc[Stare],"Confirmata")=1,"Confirmata","De confirmat")))</f>
        <v/>
      </c>
      <c r="U246" s="22">
        <f>IF(OR(C246="",T246&lt;&gt;"Confirmata"),0,IF(COUNTIFS(tTQMReguliDoc[Cheie_regula],S246,tTQMReguliDoc[Aviz],"Da")=1,1,0))</f>
        <v>0</v>
      </c>
      <c r="V246" s="22">
        <f>IF(OR(C246="",T246&lt;&gt;"Confirmata"),0,IF(COUNTIFS(tTQMReguliDoc[Cheie_regula],S246,tTQMReguliDoc[Decl_conformitate],"Da")=1,1,0))</f>
        <v>0</v>
      </c>
      <c r="W246" s="22">
        <f>IF(OR(C246="",T246&lt;&gt;"Confirmata"),0,IF(COUNTIFS(tTQMReguliDoc[Cheie_regula],S246,tTQMReguliDoc[Decl_producator],"Da")=1,1,0))</f>
        <v>0</v>
      </c>
      <c r="X246" s="22">
        <f>IF(OR(C246="",T246&lt;&gt;"Confirmata"),0,IF(COUNTIFS(tTQMReguliDoc[Cheie_regula],S246,tTQMReguliDoc[Fise_tehnice],"Da")=1,1,0))</f>
        <v>0</v>
      </c>
      <c r="Y246" s="22" t="str">
        <f t="shared" si="19"/>
        <v/>
      </c>
      <c r="Z246" s="22"/>
      <c r="AA246" s="22"/>
    </row>
    <row r="247" spans="1:27" ht="15" customHeight="1">
      <c r="A247" s="30"/>
      <c r="B247" s="31"/>
      <c r="C247" s="30"/>
      <c r="D247" s="30"/>
      <c r="E247" s="30"/>
      <c r="F247" s="32" t="str">
        <f t="shared" si="15"/>
        <v/>
      </c>
      <c r="G247" s="30"/>
      <c r="H247" s="30"/>
      <c r="I247" s="30"/>
      <c r="J247" s="32" t="str">
        <f t="shared" si="16"/>
        <v/>
      </c>
      <c r="K247" s="30" t="str">
        <f t="shared" si="17"/>
        <v/>
      </c>
      <c r="L247" s="30"/>
      <c r="M247" s="30"/>
      <c r="N247" s="22"/>
      <c r="O247" s="25"/>
      <c r="P247" s="26"/>
      <c r="Q247" s="22"/>
      <c r="R247" s="22"/>
      <c r="S247" s="22" t="str">
        <f t="shared" si="18"/>
        <v/>
      </c>
      <c r="T247" s="22" t="str">
        <f>IF(C247="","",IF(COUNTIF(tTQMReguliDoc[Cheie_regula],S247)&lt;&gt;1,"REGULA NECONFIGURATA",IF(COUNTIFS(tTQMReguliDoc[Cheie_regula],S247,tTQMReguliDoc[Stare],"Confirmata")=1,"Confirmata","De confirmat")))</f>
        <v/>
      </c>
      <c r="U247" s="22">
        <f>IF(OR(C247="",T247&lt;&gt;"Confirmata"),0,IF(COUNTIFS(tTQMReguliDoc[Cheie_regula],S247,tTQMReguliDoc[Aviz],"Da")=1,1,0))</f>
        <v>0</v>
      </c>
      <c r="V247" s="22">
        <f>IF(OR(C247="",T247&lt;&gt;"Confirmata"),0,IF(COUNTIFS(tTQMReguliDoc[Cheie_regula],S247,tTQMReguliDoc[Decl_conformitate],"Da")=1,1,0))</f>
        <v>0</v>
      </c>
      <c r="W247" s="22">
        <f>IF(OR(C247="",T247&lt;&gt;"Confirmata"),0,IF(COUNTIFS(tTQMReguliDoc[Cheie_regula],S247,tTQMReguliDoc[Decl_producator],"Da")=1,1,0))</f>
        <v>0</v>
      </c>
      <c r="X247" s="22">
        <f>IF(OR(C247="",T247&lt;&gt;"Confirmata"),0,IF(COUNTIFS(tTQMReguliDoc[Cheie_regula],S247,tTQMReguliDoc[Fise_tehnice],"Da")=1,1,0))</f>
        <v>0</v>
      </c>
      <c r="Y247" s="22" t="str">
        <f t="shared" si="19"/>
        <v/>
      </c>
      <c r="Z247" s="22"/>
      <c r="AA247" s="22"/>
    </row>
    <row r="248" spans="1:27" ht="15" customHeight="1">
      <c r="A248" s="30"/>
      <c r="B248" s="31"/>
      <c r="C248" s="30"/>
      <c r="D248" s="30"/>
      <c r="E248" s="30"/>
      <c r="F248" s="32" t="str">
        <f t="shared" si="15"/>
        <v/>
      </c>
      <c r="G248" s="30"/>
      <c r="H248" s="30"/>
      <c r="I248" s="30"/>
      <c r="J248" s="32" t="str">
        <f t="shared" si="16"/>
        <v/>
      </c>
      <c r="K248" s="30" t="str">
        <f t="shared" si="17"/>
        <v/>
      </c>
      <c r="L248" s="30"/>
      <c r="M248" s="30"/>
      <c r="N248" s="22"/>
      <c r="O248" s="25"/>
      <c r="P248" s="26"/>
      <c r="Q248" s="22"/>
      <c r="R248" s="22"/>
      <c r="S248" s="22" t="str">
        <f t="shared" si="18"/>
        <v/>
      </c>
      <c r="T248" s="22" t="str">
        <f>IF(C248="","",IF(COUNTIF(tTQMReguliDoc[Cheie_regula],S248)&lt;&gt;1,"REGULA NECONFIGURATA",IF(COUNTIFS(tTQMReguliDoc[Cheie_regula],S248,tTQMReguliDoc[Stare],"Confirmata")=1,"Confirmata","De confirmat")))</f>
        <v/>
      </c>
      <c r="U248" s="22">
        <f>IF(OR(C248="",T248&lt;&gt;"Confirmata"),0,IF(COUNTIFS(tTQMReguliDoc[Cheie_regula],S248,tTQMReguliDoc[Aviz],"Da")=1,1,0))</f>
        <v>0</v>
      </c>
      <c r="V248" s="22">
        <f>IF(OR(C248="",T248&lt;&gt;"Confirmata"),0,IF(COUNTIFS(tTQMReguliDoc[Cheie_regula],S248,tTQMReguliDoc[Decl_conformitate],"Da")=1,1,0))</f>
        <v>0</v>
      </c>
      <c r="W248" s="22">
        <f>IF(OR(C248="",T248&lt;&gt;"Confirmata"),0,IF(COUNTIFS(tTQMReguliDoc[Cheie_regula],S248,tTQMReguliDoc[Decl_producator],"Da")=1,1,0))</f>
        <v>0</v>
      </c>
      <c r="X248" s="22">
        <f>IF(OR(C248="",T248&lt;&gt;"Confirmata"),0,IF(COUNTIFS(tTQMReguliDoc[Cheie_regula],S248,tTQMReguliDoc[Fise_tehnice],"Da")=1,1,0))</f>
        <v>0</v>
      </c>
      <c r="Y248" s="22" t="str">
        <f t="shared" si="19"/>
        <v/>
      </c>
      <c r="Z248" s="22"/>
      <c r="AA248" s="22"/>
    </row>
    <row r="249" spans="1:27" ht="15" customHeight="1">
      <c r="A249" s="30"/>
      <c r="B249" s="31"/>
      <c r="C249" s="30"/>
      <c r="D249" s="30"/>
      <c r="E249" s="30"/>
      <c r="F249" s="32" t="str">
        <f t="shared" si="15"/>
        <v/>
      </c>
      <c r="G249" s="30"/>
      <c r="H249" s="30"/>
      <c r="I249" s="30"/>
      <c r="J249" s="32" t="str">
        <f t="shared" si="16"/>
        <v/>
      </c>
      <c r="K249" s="30" t="str">
        <f t="shared" si="17"/>
        <v/>
      </c>
      <c r="L249" s="30"/>
      <c r="M249" s="30"/>
      <c r="N249" s="22"/>
      <c r="O249" s="25"/>
      <c r="P249" s="26"/>
      <c r="Q249" s="22"/>
      <c r="R249" s="22"/>
      <c r="S249" s="22" t="str">
        <f t="shared" si="18"/>
        <v/>
      </c>
      <c r="T249" s="22" t="str">
        <f>IF(C249="","",IF(COUNTIF(tTQMReguliDoc[Cheie_regula],S249)&lt;&gt;1,"REGULA NECONFIGURATA",IF(COUNTIFS(tTQMReguliDoc[Cheie_regula],S249,tTQMReguliDoc[Stare],"Confirmata")=1,"Confirmata","De confirmat")))</f>
        <v/>
      </c>
      <c r="U249" s="22">
        <f>IF(OR(C249="",T249&lt;&gt;"Confirmata"),0,IF(COUNTIFS(tTQMReguliDoc[Cheie_regula],S249,tTQMReguliDoc[Aviz],"Da")=1,1,0))</f>
        <v>0</v>
      </c>
      <c r="V249" s="22">
        <f>IF(OR(C249="",T249&lt;&gt;"Confirmata"),0,IF(COUNTIFS(tTQMReguliDoc[Cheie_regula],S249,tTQMReguliDoc[Decl_conformitate],"Da")=1,1,0))</f>
        <v>0</v>
      </c>
      <c r="W249" s="22">
        <f>IF(OR(C249="",T249&lt;&gt;"Confirmata"),0,IF(COUNTIFS(tTQMReguliDoc[Cheie_regula],S249,tTQMReguliDoc[Decl_producator],"Da")=1,1,0))</f>
        <v>0</v>
      </c>
      <c r="X249" s="22">
        <f>IF(OR(C249="",T249&lt;&gt;"Confirmata"),0,IF(COUNTIFS(tTQMReguliDoc[Cheie_regula],S249,tTQMReguliDoc[Fise_tehnice],"Da")=1,1,0))</f>
        <v>0</v>
      </c>
      <c r="Y249" s="22" t="str">
        <f t="shared" si="19"/>
        <v/>
      </c>
      <c r="Z249" s="22"/>
      <c r="AA249" s="22"/>
    </row>
    <row r="250" spans="1:27" ht="15" customHeight="1">
      <c r="A250" s="30"/>
      <c r="B250" s="31"/>
      <c r="C250" s="30"/>
      <c r="D250" s="30"/>
      <c r="E250" s="30"/>
      <c r="F250" s="32" t="str">
        <f t="shared" si="15"/>
        <v/>
      </c>
      <c r="G250" s="30"/>
      <c r="H250" s="30"/>
      <c r="I250" s="30"/>
      <c r="J250" s="32" t="str">
        <f t="shared" si="16"/>
        <v/>
      </c>
      <c r="K250" s="30" t="str">
        <f t="shared" si="17"/>
        <v/>
      </c>
      <c r="L250" s="30"/>
      <c r="M250" s="30"/>
      <c r="N250" s="22"/>
      <c r="O250" s="25"/>
      <c r="P250" s="26"/>
      <c r="Q250" s="22"/>
      <c r="R250" s="22"/>
      <c r="S250" s="22" t="str">
        <f t="shared" si="18"/>
        <v/>
      </c>
      <c r="T250" s="22" t="str">
        <f>IF(C250="","",IF(COUNTIF(tTQMReguliDoc[Cheie_regula],S250)&lt;&gt;1,"REGULA NECONFIGURATA",IF(COUNTIFS(tTQMReguliDoc[Cheie_regula],S250,tTQMReguliDoc[Stare],"Confirmata")=1,"Confirmata","De confirmat")))</f>
        <v/>
      </c>
      <c r="U250" s="22">
        <f>IF(OR(C250="",T250&lt;&gt;"Confirmata"),0,IF(COUNTIFS(tTQMReguliDoc[Cheie_regula],S250,tTQMReguliDoc[Aviz],"Da")=1,1,0))</f>
        <v>0</v>
      </c>
      <c r="V250" s="22">
        <f>IF(OR(C250="",T250&lt;&gt;"Confirmata"),0,IF(COUNTIFS(tTQMReguliDoc[Cheie_regula],S250,tTQMReguliDoc[Decl_conformitate],"Da")=1,1,0))</f>
        <v>0</v>
      </c>
      <c r="W250" s="22">
        <f>IF(OR(C250="",T250&lt;&gt;"Confirmata"),0,IF(COUNTIFS(tTQMReguliDoc[Cheie_regula],S250,tTQMReguliDoc[Decl_producator],"Da")=1,1,0))</f>
        <v>0</v>
      </c>
      <c r="X250" s="22">
        <f>IF(OR(C250="",T250&lt;&gt;"Confirmata"),0,IF(COUNTIFS(tTQMReguliDoc[Cheie_regula],S250,tTQMReguliDoc[Fise_tehnice],"Da")=1,1,0))</f>
        <v>0</v>
      </c>
      <c r="Y250" s="22" t="str">
        <f t="shared" si="19"/>
        <v/>
      </c>
      <c r="Z250" s="22"/>
      <c r="AA250" s="22"/>
    </row>
    <row r="251" spans="1:27" ht="15" customHeight="1">
      <c r="A251" s="30"/>
      <c r="B251" s="31"/>
      <c r="C251" s="30"/>
      <c r="D251" s="30"/>
      <c r="E251" s="30"/>
      <c r="F251" s="32" t="str">
        <f t="shared" si="15"/>
        <v/>
      </c>
      <c r="G251" s="30"/>
      <c r="H251" s="30"/>
      <c r="I251" s="30"/>
      <c r="J251" s="32" t="str">
        <f t="shared" si="16"/>
        <v/>
      </c>
      <c r="K251" s="30" t="str">
        <f t="shared" si="17"/>
        <v/>
      </c>
      <c r="L251" s="30"/>
      <c r="M251" s="30"/>
      <c r="N251" s="22"/>
      <c r="O251" s="25"/>
      <c r="P251" s="26"/>
      <c r="Q251" s="22"/>
      <c r="R251" s="22"/>
      <c r="S251" s="22" t="str">
        <f t="shared" si="18"/>
        <v/>
      </c>
      <c r="T251" s="22" t="str">
        <f>IF(C251="","",IF(COUNTIF(tTQMReguliDoc[Cheie_regula],S251)&lt;&gt;1,"REGULA NECONFIGURATA",IF(COUNTIFS(tTQMReguliDoc[Cheie_regula],S251,tTQMReguliDoc[Stare],"Confirmata")=1,"Confirmata","De confirmat")))</f>
        <v/>
      </c>
      <c r="U251" s="22">
        <f>IF(OR(C251="",T251&lt;&gt;"Confirmata"),0,IF(COUNTIFS(tTQMReguliDoc[Cheie_regula],S251,tTQMReguliDoc[Aviz],"Da")=1,1,0))</f>
        <v>0</v>
      </c>
      <c r="V251" s="22">
        <f>IF(OR(C251="",T251&lt;&gt;"Confirmata"),0,IF(COUNTIFS(tTQMReguliDoc[Cheie_regula],S251,tTQMReguliDoc[Decl_conformitate],"Da")=1,1,0))</f>
        <v>0</v>
      </c>
      <c r="W251" s="22">
        <f>IF(OR(C251="",T251&lt;&gt;"Confirmata"),0,IF(COUNTIFS(tTQMReguliDoc[Cheie_regula],S251,tTQMReguliDoc[Decl_producator],"Da")=1,1,0))</f>
        <v>0</v>
      </c>
      <c r="X251" s="22">
        <f>IF(OR(C251="",T251&lt;&gt;"Confirmata"),0,IF(COUNTIFS(tTQMReguliDoc[Cheie_regula],S251,tTQMReguliDoc[Fise_tehnice],"Da")=1,1,0))</f>
        <v>0</v>
      </c>
      <c r="Y251" s="22" t="str">
        <f t="shared" si="19"/>
        <v/>
      </c>
      <c r="Z251" s="22"/>
      <c r="AA251" s="22"/>
    </row>
    <row r="252" spans="1:27" ht="15" customHeight="1">
      <c r="A252" s="30"/>
      <c r="B252" s="31"/>
      <c r="C252" s="30"/>
      <c r="D252" s="30"/>
      <c r="E252" s="30"/>
      <c r="F252" s="32" t="str">
        <f t="shared" si="15"/>
        <v/>
      </c>
      <c r="G252" s="30"/>
      <c r="H252" s="30"/>
      <c r="I252" s="30"/>
      <c r="J252" s="32" t="str">
        <f t="shared" si="16"/>
        <v/>
      </c>
      <c r="K252" s="30" t="str">
        <f t="shared" si="17"/>
        <v/>
      </c>
      <c r="L252" s="30"/>
      <c r="M252" s="30"/>
      <c r="N252" s="22"/>
      <c r="O252" s="25"/>
      <c r="P252" s="26"/>
      <c r="Q252" s="22"/>
      <c r="R252" s="22"/>
      <c r="S252" s="22" t="str">
        <f t="shared" si="18"/>
        <v/>
      </c>
      <c r="T252" s="22" t="str">
        <f>IF(C252="","",IF(COUNTIF(tTQMReguliDoc[Cheie_regula],S252)&lt;&gt;1,"REGULA NECONFIGURATA",IF(COUNTIFS(tTQMReguliDoc[Cheie_regula],S252,tTQMReguliDoc[Stare],"Confirmata")=1,"Confirmata","De confirmat")))</f>
        <v/>
      </c>
      <c r="U252" s="22">
        <f>IF(OR(C252="",T252&lt;&gt;"Confirmata"),0,IF(COUNTIFS(tTQMReguliDoc[Cheie_regula],S252,tTQMReguliDoc[Aviz],"Da")=1,1,0))</f>
        <v>0</v>
      </c>
      <c r="V252" s="22">
        <f>IF(OR(C252="",T252&lt;&gt;"Confirmata"),0,IF(COUNTIFS(tTQMReguliDoc[Cheie_regula],S252,tTQMReguliDoc[Decl_conformitate],"Da")=1,1,0))</f>
        <v>0</v>
      </c>
      <c r="W252" s="22">
        <f>IF(OR(C252="",T252&lt;&gt;"Confirmata"),0,IF(COUNTIFS(tTQMReguliDoc[Cheie_regula],S252,tTQMReguliDoc[Decl_producator],"Da")=1,1,0))</f>
        <v>0</v>
      </c>
      <c r="X252" s="22">
        <f>IF(OR(C252="",T252&lt;&gt;"Confirmata"),0,IF(COUNTIFS(tTQMReguliDoc[Cheie_regula],S252,tTQMReguliDoc[Fise_tehnice],"Da")=1,1,0))</f>
        <v>0</v>
      </c>
      <c r="Y252" s="22" t="str">
        <f t="shared" si="19"/>
        <v/>
      </c>
      <c r="Z252" s="22"/>
      <c r="AA252" s="22"/>
    </row>
    <row r="253" spans="1:27" ht="15" customHeight="1">
      <c r="A253" s="30"/>
      <c r="B253" s="31"/>
      <c r="C253" s="30"/>
      <c r="D253" s="30"/>
      <c r="E253" s="30"/>
      <c r="F253" s="32" t="str">
        <f t="shared" si="15"/>
        <v/>
      </c>
      <c r="G253" s="30"/>
      <c r="H253" s="30"/>
      <c r="I253" s="30"/>
      <c r="J253" s="32" t="str">
        <f t="shared" si="16"/>
        <v/>
      </c>
      <c r="K253" s="30" t="str">
        <f t="shared" si="17"/>
        <v/>
      </c>
      <c r="L253" s="30"/>
      <c r="M253" s="30"/>
      <c r="N253" s="22"/>
      <c r="O253" s="25"/>
      <c r="P253" s="26"/>
      <c r="Q253" s="22"/>
      <c r="R253" s="22"/>
      <c r="S253" s="22" t="str">
        <f t="shared" si="18"/>
        <v/>
      </c>
      <c r="T253" s="22" t="str">
        <f>IF(C253="","",IF(COUNTIF(tTQMReguliDoc[Cheie_regula],S253)&lt;&gt;1,"REGULA NECONFIGURATA",IF(COUNTIFS(tTQMReguliDoc[Cheie_regula],S253,tTQMReguliDoc[Stare],"Confirmata")=1,"Confirmata","De confirmat")))</f>
        <v/>
      </c>
      <c r="U253" s="22">
        <f>IF(OR(C253="",T253&lt;&gt;"Confirmata"),0,IF(COUNTIFS(tTQMReguliDoc[Cheie_regula],S253,tTQMReguliDoc[Aviz],"Da")=1,1,0))</f>
        <v>0</v>
      </c>
      <c r="V253" s="22">
        <f>IF(OR(C253="",T253&lt;&gt;"Confirmata"),0,IF(COUNTIFS(tTQMReguliDoc[Cheie_regula],S253,tTQMReguliDoc[Decl_conformitate],"Da")=1,1,0))</f>
        <v>0</v>
      </c>
      <c r="W253" s="22">
        <f>IF(OR(C253="",T253&lt;&gt;"Confirmata"),0,IF(COUNTIFS(tTQMReguliDoc[Cheie_regula],S253,tTQMReguliDoc[Decl_producator],"Da")=1,1,0))</f>
        <v>0</v>
      </c>
      <c r="X253" s="22">
        <f>IF(OR(C253="",T253&lt;&gt;"Confirmata"),0,IF(COUNTIFS(tTQMReguliDoc[Cheie_regula],S253,tTQMReguliDoc[Fise_tehnice],"Da")=1,1,0))</f>
        <v>0</v>
      </c>
      <c r="Y253" s="22" t="str">
        <f t="shared" si="19"/>
        <v/>
      </c>
      <c r="Z253" s="22"/>
      <c r="AA253" s="22"/>
    </row>
    <row r="254" spans="1:27" ht="15" customHeight="1">
      <c r="A254" s="30"/>
      <c r="B254" s="31"/>
      <c r="C254" s="30"/>
      <c r="D254" s="30"/>
      <c r="E254" s="30"/>
      <c r="F254" s="32" t="str">
        <f t="shared" si="15"/>
        <v/>
      </c>
      <c r="G254" s="30"/>
      <c r="H254" s="30"/>
      <c r="I254" s="30"/>
      <c r="J254" s="32" t="str">
        <f t="shared" si="16"/>
        <v/>
      </c>
      <c r="K254" s="30" t="str">
        <f t="shared" si="17"/>
        <v/>
      </c>
      <c r="L254" s="30"/>
      <c r="M254" s="30"/>
      <c r="N254" s="22"/>
      <c r="O254" s="25"/>
      <c r="P254" s="26"/>
      <c r="Q254" s="22"/>
      <c r="R254" s="22"/>
      <c r="S254" s="22" t="str">
        <f t="shared" si="18"/>
        <v/>
      </c>
      <c r="T254" s="22" t="str">
        <f>IF(C254="","",IF(COUNTIF(tTQMReguliDoc[Cheie_regula],S254)&lt;&gt;1,"REGULA NECONFIGURATA",IF(COUNTIFS(tTQMReguliDoc[Cheie_regula],S254,tTQMReguliDoc[Stare],"Confirmata")=1,"Confirmata","De confirmat")))</f>
        <v/>
      </c>
      <c r="U254" s="22">
        <f>IF(OR(C254="",T254&lt;&gt;"Confirmata"),0,IF(COUNTIFS(tTQMReguliDoc[Cheie_regula],S254,tTQMReguliDoc[Aviz],"Da")=1,1,0))</f>
        <v>0</v>
      </c>
      <c r="V254" s="22">
        <f>IF(OR(C254="",T254&lt;&gt;"Confirmata"),0,IF(COUNTIFS(tTQMReguliDoc[Cheie_regula],S254,tTQMReguliDoc[Decl_conformitate],"Da")=1,1,0))</f>
        <v>0</v>
      </c>
      <c r="W254" s="22">
        <f>IF(OR(C254="",T254&lt;&gt;"Confirmata"),0,IF(COUNTIFS(tTQMReguliDoc[Cheie_regula],S254,tTQMReguliDoc[Decl_producator],"Da")=1,1,0))</f>
        <v>0</v>
      </c>
      <c r="X254" s="22">
        <f>IF(OR(C254="",T254&lt;&gt;"Confirmata"),0,IF(COUNTIFS(tTQMReguliDoc[Cheie_regula],S254,tTQMReguliDoc[Fise_tehnice],"Da")=1,1,0))</f>
        <v>0</v>
      </c>
      <c r="Y254" s="22" t="str">
        <f t="shared" si="19"/>
        <v/>
      </c>
      <c r="Z254" s="22"/>
      <c r="AA254" s="22"/>
    </row>
    <row r="255" spans="1:27" ht="15" customHeight="1">
      <c r="A255" s="30"/>
      <c r="B255" s="31"/>
      <c r="C255" s="30"/>
      <c r="D255" s="30"/>
      <c r="E255" s="30"/>
      <c r="F255" s="32" t="str">
        <f t="shared" si="15"/>
        <v/>
      </c>
      <c r="G255" s="30"/>
      <c r="H255" s="30"/>
      <c r="I255" s="30"/>
      <c r="J255" s="32" t="str">
        <f t="shared" si="16"/>
        <v/>
      </c>
      <c r="K255" s="30" t="str">
        <f t="shared" si="17"/>
        <v/>
      </c>
      <c r="L255" s="30"/>
      <c r="M255" s="30"/>
      <c r="N255" s="22"/>
      <c r="O255" s="25"/>
      <c r="P255" s="26"/>
      <c r="Q255" s="22"/>
      <c r="R255" s="22"/>
      <c r="S255" s="22" t="str">
        <f t="shared" si="18"/>
        <v/>
      </c>
      <c r="T255" s="22" t="str">
        <f>IF(C255="","",IF(COUNTIF(tTQMReguliDoc[Cheie_regula],S255)&lt;&gt;1,"REGULA NECONFIGURATA",IF(COUNTIFS(tTQMReguliDoc[Cheie_regula],S255,tTQMReguliDoc[Stare],"Confirmata")=1,"Confirmata","De confirmat")))</f>
        <v/>
      </c>
      <c r="U255" s="22">
        <f>IF(OR(C255="",T255&lt;&gt;"Confirmata"),0,IF(COUNTIFS(tTQMReguliDoc[Cheie_regula],S255,tTQMReguliDoc[Aviz],"Da")=1,1,0))</f>
        <v>0</v>
      </c>
      <c r="V255" s="22">
        <f>IF(OR(C255="",T255&lt;&gt;"Confirmata"),0,IF(COUNTIFS(tTQMReguliDoc[Cheie_regula],S255,tTQMReguliDoc[Decl_conformitate],"Da")=1,1,0))</f>
        <v>0</v>
      </c>
      <c r="W255" s="22">
        <f>IF(OR(C255="",T255&lt;&gt;"Confirmata"),0,IF(COUNTIFS(tTQMReguliDoc[Cheie_regula],S255,tTQMReguliDoc[Decl_producator],"Da")=1,1,0))</f>
        <v>0</v>
      </c>
      <c r="X255" s="22">
        <f>IF(OR(C255="",T255&lt;&gt;"Confirmata"),0,IF(COUNTIFS(tTQMReguliDoc[Cheie_regula],S255,tTQMReguliDoc[Fise_tehnice],"Da")=1,1,0))</f>
        <v>0</v>
      </c>
      <c r="Y255" s="22" t="str">
        <f t="shared" si="19"/>
        <v/>
      </c>
      <c r="Z255" s="22"/>
      <c r="AA255" s="22"/>
    </row>
    <row r="256" spans="1:27" ht="15" customHeight="1">
      <c r="A256" s="30"/>
      <c r="B256" s="31"/>
      <c r="C256" s="30"/>
      <c r="D256" s="30"/>
      <c r="E256" s="30"/>
      <c r="F256" s="32" t="str">
        <f t="shared" si="15"/>
        <v/>
      </c>
      <c r="G256" s="30"/>
      <c r="H256" s="30"/>
      <c r="I256" s="30"/>
      <c r="J256" s="32" t="str">
        <f t="shared" si="16"/>
        <v/>
      </c>
      <c r="K256" s="30" t="str">
        <f t="shared" si="17"/>
        <v/>
      </c>
      <c r="L256" s="30"/>
      <c r="M256" s="30"/>
      <c r="N256" s="22"/>
      <c r="O256" s="25"/>
      <c r="P256" s="26"/>
      <c r="Q256" s="22"/>
      <c r="R256" s="22"/>
      <c r="S256" s="22" t="str">
        <f t="shared" si="18"/>
        <v/>
      </c>
      <c r="T256" s="22" t="str">
        <f>IF(C256="","",IF(COUNTIF(tTQMReguliDoc[Cheie_regula],S256)&lt;&gt;1,"REGULA NECONFIGURATA",IF(COUNTIFS(tTQMReguliDoc[Cheie_regula],S256,tTQMReguliDoc[Stare],"Confirmata")=1,"Confirmata","De confirmat")))</f>
        <v/>
      </c>
      <c r="U256" s="22">
        <f>IF(OR(C256="",T256&lt;&gt;"Confirmata"),0,IF(COUNTIFS(tTQMReguliDoc[Cheie_regula],S256,tTQMReguliDoc[Aviz],"Da")=1,1,0))</f>
        <v>0</v>
      </c>
      <c r="V256" s="22">
        <f>IF(OR(C256="",T256&lt;&gt;"Confirmata"),0,IF(COUNTIFS(tTQMReguliDoc[Cheie_regula],S256,tTQMReguliDoc[Decl_conformitate],"Da")=1,1,0))</f>
        <v>0</v>
      </c>
      <c r="W256" s="22">
        <f>IF(OR(C256="",T256&lt;&gt;"Confirmata"),0,IF(COUNTIFS(tTQMReguliDoc[Cheie_regula],S256,tTQMReguliDoc[Decl_producator],"Da")=1,1,0))</f>
        <v>0</v>
      </c>
      <c r="X256" s="22">
        <f>IF(OR(C256="",T256&lt;&gt;"Confirmata"),0,IF(COUNTIFS(tTQMReguliDoc[Cheie_regula],S256,tTQMReguliDoc[Fise_tehnice],"Da")=1,1,0))</f>
        <v>0</v>
      </c>
      <c r="Y256" s="22" t="str">
        <f t="shared" si="19"/>
        <v/>
      </c>
      <c r="Z256" s="22"/>
      <c r="AA256" s="22"/>
    </row>
    <row r="257" spans="1:27" ht="15" customHeight="1">
      <c r="A257" s="30"/>
      <c r="B257" s="31"/>
      <c r="C257" s="30"/>
      <c r="D257" s="30"/>
      <c r="E257" s="30"/>
      <c r="F257" s="32" t="str">
        <f t="shared" si="15"/>
        <v/>
      </c>
      <c r="G257" s="30"/>
      <c r="H257" s="30"/>
      <c r="I257" s="30"/>
      <c r="J257" s="32" t="str">
        <f t="shared" si="16"/>
        <v/>
      </c>
      <c r="K257" s="30" t="str">
        <f t="shared" si="17"/>
        <v/>
      </c>
      <c r="L257" s="30"/>
      <c r="M257" s="30"/>
      <c r="N257" s="22"/>
      <c r="O257" s="25"/>
      <c r="P257" s="26"/>
      <c r="Q257" s="22"/>
      <c r="R257" s="22"/>
      <c r="S257" s="22" t="str">
        <f t="shared" si="18"/>
        <v/>
      </c>
      <c r="T257" s="22" t="str">
        <f>IF(C257="","",IF(COUNTIF(tTQMReguliDoc[Cheie_regula],S257)&lt;&gt;1,"REGULA NECONFIGURATA",IF(COUNTIFS(tTQMReguliDoc[Cheie_regula],S257,tTQMReguliDoc[Stare],"Confirmata")=1,"Confirmata","De confirmat")))</f>
        <v/>
      </c>
      <c r="U257" s="22">
        <f>IF(OR(C257="",T257&lt;&gt;"Confirmata"),0,IF(COUNTIFS(tTQMReguliDoc[Cheie_regula],S257,tTQMReguliDoc[Aviz],"Da")=1,1,0))</f>
        <v>0</v>
      </c>
      <c r="V257" s="22">
        <f>IF(OR(C257="",T257&lt;&gt;"Confirmata"),0,IF(COUNTIFS(tTQMReguliDoc[Cheie_regula],S257,tTQMReguliDoc[Decl_conformitate],"Da")=1,1,0))</f>
        <v>0</v>
      </c>
      <c r="W257" s="22">
        <f>IF(OR(C257="",T257&lt;&gt;"Confirmata"),0,IF(COUNTIFS(tTQMReguliDoc[Cheie_regula],S257,tTQMReguliDoc[Decl_producator],"Da")=1,1,0))</f>
        <v>0</v>
      </c>
      <c r="X257" s="22">
        <f>IF(OR(C257="",T257&lt;&gt;"Confirmata"),0,IF(COUNTIFS(tTQMReguliDoc[Cheie_regula],S257,tTQMReguliDoc[Fise_tehnice],"Da")=1,1,0))</f>
        <v>0</v>
      </c>
      <c r="Y257" s="22" t="str">
        <f t="shared" si="19"/>
        <v/>
      </c>
      <c r="Z257" s="22"/>
      <c r="AA257" s="22"/>
    </row>
    <row r="258" spans="1:27" ht="15" customHeight="1">
      <c r="A258" s="30"/>
      <c r="B258" s="31"/>
      <c r="C258" s="30"/>
      <c r="D258" s="30"/>
      <c r="E258" s="30"/>
      <c r="F258" s="32" t="str">
        <f t="shared" si="15"/>
        <v/>
      </c>
      <c r="G258" s="30"/>
      <c r="H258" s="30"/>
      <c r="I258" s="30"/>
      <c r="J258" s="32" t="str">
        <f t="shared" si="16"/>
        <v/>
      </c>
      <c r="K258" s="30" t="str">
        <f t="shared" si="17"/>
        <v/>
      </c>
      <c r="L258" s="30"/>
      <c r="M258" s="30"/>
      <c r="N258" s="22"/>
      <c r="O258" s="25"/>
      <c r="P258" s="26"/>
      <c r="Q258" s="22"/>
      <c r="R258" s="22"/>
      <c r="S258" s="22" t="str">
        <f t="shared" si="18"/>
        <v/>
      </c>
      <c r="T258" s="22" t="str">
        <f>IF(C258="","",IF(COUNTIF(tTQMReguliDoc[Cheie_regula],S258)&lt;&gt;1,"REGULA NECONFIGURATA",IF(COUNTIFS(tTQMReguliDoc[Cheie_regula],S258,tTQMReguliDoc[Stare],"Confirmata")=1,"Confirmata","De confirmat")))</f>
        <v/>
      </c>
      <c r="U258" s="22">
        <f>IF(OR(C258="",T258&lt;&gt;"Confirmata"),0,IF(COUNTIFS(tTQMReguliDoc[Cheie_regula],S258,tTQMReguliDoc[Aviz],"Da")=1,1,0))</f>
        <v>0</v>
      </c>
      <c r="V258" s="22">
        <f>IF(OR(C258="",T258&lt;&gt;"Confirmata"),0,IF(COUNTIFS(tTQMReguliDoc[Cheie_regula],S258,tTQMReguliDoc[Decl_conformitate],"Da")=1,1,0))</f>
        <v>0</v>
      </c>
      <c r="W258" s="22">
        <f>IF(OR(C258="",T258&lt;&gt;"Confirmata"),0,IF(COUNTIFS(tTQMReguliDoc[Cheie_regula],S258,tTQMReguliDoc[Decl_producator],"Da")=1,1,0))</f>
        <v>0</v>
      </c>
      <c r="X258" s="22">
        <f>IF(OR(C258="",T258&lt;&gt;"Confirmata"),0,IF(COUNTIFS(tTQMReguliDoc[Cheie_regula],S258,tTQMReguliDoc[Fise_tehnice],"Da")=1,1,0))</f>
        <v>0</v>
      </c>
      <c r="Y258" s="22" t="str">
        <f t="shared" si="19"/>
        <v/>
      </c>
      <c r="Z258" s="22"/>
      <c r="AA258" s="22"/>
    </row>
    <row r="259" spans="1:27" ht="15" customHeight="1">
      <c r="A259" s="30"/>
      <c r="B259" s="31"/>
      <c r="C259" s="30"/>
      <c r="D259" s="30"/>
      <c r="E259" s="30"/>
      <c r="F259" s="32" t="str">
        <f t="shared" si="15"/>
        <v/>
      </c>
      <c r="G259" s="30"/>
      <c r="H259" s="30"/>
      <c r="I259" s="30"/>
      <c r="J259" s="32" t="str">
        <f t="shared" si="16"/>
        <v/>
      </c>
      <c r="K259" s="30" t="str">
        <f t="shared" si="17"/>
        <v/>
      </c>
      <c r="L259" s="30"/>
      <c r="M259" s="30"/>
      <c r="N259" s="22"/>
      <c r="O259" s="25"/>
      <c r="P259" s="26"/>
      <c r="Q259" s="22"/>
      <c r="R259" s="22"/>
      <c r="S259" s="22" t="str">
        <f t="shared" si="18"/>
        <v/>
      </c>
      <c r="T259" s="22" t="str">
        <f>IF(C259="","",IF(COUNTIF(tTQMReguliDoc[Cheie_regula],S259)&lt;&gt;1,"REGULA NECONFIGURATA",IF(COUNTIFS(tTQMReguliDoc[Cheie_regula],S259,tTQMReguliDoc[Stare],"Confirmata")=1,"Confirmata","De confirmat")))</f>
        <v/>
      </c>
      <c r="U259" s="22">
        <f>IF(OR(C259="",T259&lt;&gt;"Confirmata"),0,IF(COUNTIFS(tTQMReguliDoc[Cheie_regula],S259,tTQMReguliDoc[Aviz],"Da")=1,1,0))</f>
        <v>0</v>
      </c>
      <c r="V259" s="22">
        <f>IF(OR(C259="",T259&lt;&gt;"Confirmata"),0,IF(COUNTIFS(tTQMReguliDoc[Cheie_regula],S259,tTQMReguliDoc[Decl_conformitate],"Da")=1,1,0))</f>
        <v>0</v>
      </c>
      <c r="W259" s="22">
        <f>IF(OR(C259="",T259&lt;&gt;"Confirmata"),0,IF(COUNTIFS(tTQMReguliDoc[Cheie_regula],S259,tTQMReguliDoc[Decl_producator],"Da")=1,1,0))</f>
        <v>0</v>
      </c>
      <c r="X259" s="22">
        <f>IF(OR(C259="",T259&lt;&gt;"Confirmata"),0,IF(COUNTIFS(tTQMReguliDoc[Cheie_regula],S259,tTQMReguliDoc[Fise_tehnice],"Da")=1,1,0))</f>
        <v>0</v>
      </c>
      <c r="Y259" s="22" t="str">
        <f t="shared" si="19"/>
        <v/>
      </c>
      <c r="Z259" s="22"/>
      <c r="AA259" s="22"/>
    </row>
    <row r="260" spans="1:27" ht="15" customHeight="1">
      <c r="A260" s="30"/>
      <c r="B260" s="31"/>
      <c r="C260" s="30"/>
      <c r="D260" s="30"/>
      <c r="E260" s="30"/>
      <c r="F260" s="32" t="str">
        <f t="shared" si="15"/>
        <v/>
      </c>
      <c r="G260" s="30"/>
      <c r="H260" s="30"/>
      <c r="I260" s="30"/>
      <c r="J260" s="32" t="str">
        <f t="shared" si="16"/>
        <v/>
      </c>
      <c r="K260" s="30" t="str">
        <f t="shared" si="17"/>
        <v/>
      </c>
      <c r="L260" s="30"/>
      <c r="M260" s="30"/>
      <c r="N260" s="22"/>
      <c r="O260" s="25"/>
      <c r="P260" s="26"/>
      <c r="Q260" s="22"/>
      <c r="R260" s="22"/>
      <c r="S260" s="22" t="str">
        <f t="shared" si="18"/>
        <v/>
      </c>
      <c r="T260" s="22" t="str">
        <f>IF(C260="","",IF(COUNTIF(tTQMReguliDoc[Cheie_regula],S260)&lt;&gt;1,"REGULA NECONFIGURATA",IF(COUNTIFS(tTQMReguliDoc[Cheie_regula],S260,tTQMReguliDoc[Stare],"Confirmata")=1,"Confirmata","De confirmat")))</f>
        <v/>
      </c>
      <c r="U260" s="22">
        <f>IF(OR(C260="",T260&lt;&gt;"Confirmata"),0,IF(COUNTIFS(tTQMReguliDoc[Cheie_regula],S260,tTQMReguliDoc[Aviz],"Da")=1,1,0))</f>
        <v>0</v>
      </c>
      <c r="V260" s="22">
        <f>IF(OR(C260="",T260&lt;&gt;"Confirmata"),0,IF(COUNTIFS(tTQMReguliDoc[Cheie_regula],S260,tTQMReguliDoc[Decl_conformitate],"Da")=1,1,0))</f>
        <v>0</v>
      </c>
      <c r="W260" s="22">
        <f>IF(OR(C260="",T260&lt;&gt;"Confirmata"),0,IF(COUNTIFS(tTQMReguliDoc[Cheie_regula],S260,tTQMReguliDoc[Decl_producator],"Da")=1,1,0))</f>
        <v>0</v>
      </c>
      <c r="X260" s="22">
        <f>IF(OR(C260="",T260&lt;&gt;"Confirmata"),0,IF(COUNTIFS(tTQMReguliDoc[Cheie_regula],S260,tTQMReguliDoc[Fise_tehnice],"Da")=1,1,0))</f>
        <v>0</v>
      </c>
      <c r="Y260" s="22" t="str">
        <f t="shared" si="19"/>
        <v/>
      </c>
      <c r="Z260" s="22"/>
      <c r="AA260" s="22"/>
    </row>
    <row r="261" spans="1:27" ht="15" customHeight="1">
      <c r="A261" s="30"/>
      <c r="B261" s="31"/>
      <c r="C261" s="30"/>
      <c r="D261" s="30"/>
      <c r="E261" s="30"/>
      <c r="F261" s="32" t="str">
        <f t="shared" si="15"/>
        <v/>
      </c>
      <c r="G261" s="30"/>
      <c r="H261" s="30"/>
      <c r="I261" s="30"/>
      <c r="J261" s="32" t="str">
        <f t="shared" si="16"/>
        <v/>
      </c>
      <c r="K261" s="30" t="str">
        <f t="shared" si="17"/>
        <v/>
      </c>
      <c r="L261" s="30"/>
      <c r="M261" s="30"/>
      <c r="N261" s="22"/>
      <c r="O261" s="25"/>
      <c r="P261" s="26"/>
      <c r="Q261" s="22"/>
      <c r="R261" s="22"/>
      <c r="S261" s="22" t="str">
        <f t="shared" si="18"/>
        <v/>
      </c>
      <c r="T261" s="22" t="str">
        <f>IF(C261="","",IF(COUNTIF(tTQMReguliDoc[Cheie_regula],S261)&lt;&gt;1,"REGULA NECONFIGURATA",IF(COUNTIFS(tTQMReguliDoc[Cheie_regula],S261,tTQMReguliDoc[Stare],"Confirmata")=1,"Confirmata","De confirmat")))</f>
        <v/>
      </c>
      <c r="U261" s="22">
        <f>IF(OR(C261="",T261&lt;&gt;"Confirmata"),0,IF(COUNTIFS(tTQMReguliDoc[Cheie_regula],S261,tTQMReguliDoc[Aviz],"Da")=1,1,0))</f>
        <v>0</v>
      </c>
      <c r="V261" s="22">
        <f>IF(OR(C261="",T261&lt;&gt;"Confirmata"),0,IF(COUNTIFS(tTQMReguliDoc[Cheie_regula],S261,tTQMReguliDoc[Decl_conformitate],"Da")=1,1,0))</f>
        <v>0</v>
      </c>
      <c r="W261" s="22">
        <f>IF(OR(C261="",T261&lt;&gt;"Confirmata"),0,IF(COUNTIFS(tTQMReguliDoc[Cheie_regula],S261,tTQMReguliDoc[Decl_producator],"Da")=1,1,0))</f>
        <v>0</v>
      </c>
      <c r="X261" s="22">
        <f>IF(OR(C261="",T261&lt;&gt;"Confirmata"),0,IF(COUNTIFS(tTQMReguliDoc[Cheie_regula],S261,tTQMReguliDoc[Fise_tehnice],"Da")=1,1,0))</f>
        <v>0</v>
      </c>
      <c r="Y261" s="22" t="str">
        <f t="shared" si="19"/>
        <v/>
      </c>
      <c r="Z261" s="22"/>
      <c r="AA261" s="22"/>
    </row>
    <row r="262" spans="1:27" ht="15" customHeight="1">
      <c r="A262" s="30"/>
      <c r="B262" s="31"/>
      <c r="C262" s="30"/>
      <c r="D262" s="30"/>
      <c r="E262" s="30"/>
      <c r="F262" s="32" t="str">
        <f t="shared" si="15"/>
        <v/>
      </c>
      <c r="G262" s="30"/>
      <c r="H262" s="30"/>
      <c r="I262" s="30"/>
      <c r="J262" s="32" t="str">
        <f t="shared" si="16"/>
        <v/>
      </c>
      <c r="K262" s="30" t="str">
        <f t="shared" si="17"/>
        <v/>
      </c>
      <c r="L262" s="30"/>
      <c r="M262" s="30"/>
      <c r="N262" s="22"/>
      <c r="O262" s="25"/>
      <c r="P262" s="26"/>
      <c r="Q262" s="22"/>
      <c r="R262" s="22"/>
      <c r="S262" s="22" t="str">
        <f t="shared" si="18"/>
        <v/>
      </c>
      <c r="T262" s="22" t="str">
        <f>IF(C262="","",IF(COUNTIF(tTQMReguliDoc[Cheie_regula],S262)&lt;&gt;1,"REGULA NECONFIGURATA",IF(COUNTIFS(tTQMReguliDoc[Cheie_regula],S262,tTQMReguliDoc[Stare],"Confirmata")=1,"Confirmata","De confirmat")))</f>
        <v/>
      </c>
      <c r="U262" s="22">
        <f>IF(OR(C262="",T262&lt;&gt;"Confirmata"),0,IF(COUNTIFS(tTQMReguliDoc[Cheie_regula],S262,tTQMReguliDoc[Aviz],"Da")=1,1,0))</f>
        <v>0</v>
      </c>
      <c r="V262" s="22">
        <f>IF(OR(C262="",T262&lt;&gt;"Confirmata"),0,IF(COUNTIFS(tTQMReguliDoc[Cheie_regula],S262,tTQMReguliDoc[Decl_conformitate],"Da")=1,1,0))</f>
        <v>0</v>
      </c>
      <c r="W262" s="22">
        <f>IF(OR(C262="",T262&lt;&gt;"Confirmata"),0,IF(COUNTIFS(tTQMReguliDoc[Cheie_regula],S262,tTQMReguliDoc[Decl_producator],"Da")=1,1,0))</f>
        <v>0</v>
      </c>
      <c r="X262" s="22">
        <f>IF(OR(C262="",T262&lt;&gt;"Confirmata"),0,IF(COUNTIFS(tTQMReguliDoc[Cheie_regula],S262,tTQMReguliDoc[Fise_tehnice],"Da")=1,1,0))</f>
        <v>0</v>
      </c>
      <c r="Y262" s="22" t="str">
        <f t="shared" si="19"/>
        <v/>
      </c>
      <c r="Z262" s="22"/>
      <c r="AA262" s="22"/>
    </row>
    <row r="263" spans="1:27" ht="15" customHeight="1">
      <c r="A263" s="30"/>
      <c r="B263" s="31"/>
      <c r="C263" s="30"/>
      <c r="D263" s="30"/>
      <c r="E263" s="30"/>
      <c r="F263" s="32" t="str">
        <f t="shared" si="15"/>
        <v/>
      </c>
      <c r="G263" s="30"/>
      <c r="H263" s="30"/>
      <c r="I263" s="30"/>
      <c r="J263" s="32" t="str">
        <f t="shared" si="16"/>
        <v/>
      </c>
      <c r="K263" s="30" t="str">
        <f t="shared" si="17"/>
        <v/>
      </c>
      <c r="L263" s="30"/>
      <c r="M263" s="30"/>
      <c r="N263" s="22"/>
      <c r="O263" s="25"/>
      <c r="P263" s="26"/>
      <c r="Q263" s="22"/>
      <c r="R263" s="22"/>
      <c r="S263" s="22" t="str">
        <f t="shared" si="18"/>
        <v/>
      </c>
      <c r="T263" s="22" t="str">
        <f>IF(C263="","",IF(COUNTIF(tTQMReguliDoc[Cheie_regula],S263)&lt;&gt;1,"REGULA NECONFIGURATA",IF(COUNTIFS(tTQMReguliDoc[Cheie_regula],S263,tTQMReguliDoc[Stare],"Confirmata")=1,"Confirmata","De confirmat")))</f>
        <v/>
      </c>
      <c r="U263" s="22">
        <f>IF(OR(C263="",T263&lt;&gt;"Confirmata"),0,IF(COUNTIFS(tTQMReguliDoc[Cheie_regula],S263,tTQMReguliDoc[Aviz],"Da")=1,1,0))</f>
        <v>0</v>
      </c>
      <c r="V263" s="22">
        <f>IF(OR(C263="",T263&lt;&gt;"Confirmata"),0,IF(COUNTIFS(tTQMReguliDoc[Cheie_regula],S263,tTQMReguliDoc[Decl_conformitate],"Da")=1,1,0))</f>
        <v>0</v>
      </c>
      <c r="W263" s="22">
        <f>IF(OR(C263="",T263&lt;&gt;"Confirmata"),0,IF(COUNTIFS(tTQMReguliDoc[Cheie_regula],S263,tTQMReguliDoc[Decl_producator],"Da")=1,1,0))</f>
        <v>0</v>
      </c>
      <c r="X263" s="22">
        <f>IF(OR(C263="",T263&lt;&gt;"Confirmata"),0,IF(COUNTIFS(tTQMReguliDoc[Cheie_regula],S263,tTQMReguliDoc[Fise_tehnice],"Da")=1,1,0))</f>
        <v>0</v>
      </c>
      <c r="Y263" s="22" t="str">
        <f t="shared" si="19"/>
        <v/>
      </c>
      <c r="Z263" s="22"/>
      <c r="AA263" s="22"/>
    </row>
    <row r="264" spans="1:27" ht="15" customHeight="1">
      <c r="A264" s="30"/>
      <c r="B264" s="31"/>
      <c r="C264" s="30"/>
      <c r="D264" s="30"/>
      <c r="E264" s="30"/>
      <c r="F264" s="32" t="str">
        <f t="shared" si="15"/>
        <v/>
      </c>
      <c r="G264" s="30"/>
      <c r="H264" s="30"/>
      <c r="I264" s="30"/>
      <c r="J264" s="32" t="str">
        <f t="shared" si="16"/>
        <v/>
      </c>
      <c r="K264" s="30" t="str">
        <f t="shared" si="17"/>
        <v/>
      </c>
      <c r="L264" s="30"/>
      <c r="M264" s="30"/>
      <c r="N264" s="22"/>
      <c r="O264" s="25"/>
      <c r="P264" s="26"/>
      <c r="Q264" s="22"/>
      <c r="R264" s="22"/>
      <c r="S264" s="22" t="str">
        <f t="shared" si="18"/>
        <v/>
      </c>
      <c r="T264" s="22" t="str">
        <f>IF(C264="","",IF(COUNTIF(tTQMReguliDoc[Cheie_regula],S264)&lt;&gt;1,"REGULA NECONFIGURATA",IF(COUNTIFS(tTQMReguliDoc[Cheie_regula],S264,tTQMReguliDoc[Stare],"Confirmata")=1,"Confirmata","De confirmat")))</f>
        <v/>
      </c>
      <c r="U264" s="22">
        <f>IF(OR(C264="",T264&lt;&gt;"Confirmata"),0,IF(COUNTIFS(tTQMReguliDoc[Cheie_regula],S264,tTQMReguliDoc[Aviz],"Da")=1,1,0))</f>
        <v>0</v>
      </c>
      <c r="V264" s="22">
        <f>IF(OR(C264="",T264&lt;&gt;"Confirmata"),0,IF(COUNTIFS(tTQMReguliDoc[Cheie_regula],S264,tTQMReguliDoc[Decl_conformitate],"Da")=1,1,0))</f>
        <v>0</v>
      </c>
      <c r="W264" s="22">
        <f>IF(OR(C264="",T264&lt;&gt;"Confirmata"),0,IF(COUNTIFS(tTQMReguliDoc[Cheie_regula],S264,tTQMReguliDoc[Decl_producator],"Da")=1,1,0))</f>
        <v>0</v>
      </c>
      <c r="X264" s="22">
        <f>IF(OR(C264="",T264&lt;&gt;"Confirmata"),0,IF(COUNTIFS(tTQMReguliDoc[Cheie_regula],S264,tTQMReguliDoc[Fise_tehnice],"Da")=1,1,0))</f>
        <v>0</v>
      </c>
      <c r="Y264" s="22" t="str">
        <f t="shared" si="19"/>
        <v/>
      </c>
      <c r="Z264" s="22"/>
      <c r="AA264" s="22"/>
    </row>
    <row r="265" spans="1:27" ht="15" customHeight="1">
      <c r="A265" s="30"/>
      <c r="B265" s="31"/>
      <c r="C265" s="30"/>
      <c r="D265" s="30"/>
      <c r="E265" s="30"/>
      <c r="F265" s="32" t="str">
        <f t="shared" si="15"/>
        <v/>
      </c>
      <c r="G265" s="30"/>
      <c r="H265" s="30"/>
      <c r="I265" s="30"/>
      <c r="J265" s="32" t="str">
        <f t="shared" si="16"/>
        <v/>
      </c>
      <c r="K265" s="30" t="str">
        <f t="shared" si="17"/>
        <v/>
      </c>
      <c r="L265" s="30"/>
      <c r="M265" s="30"/>
      <c r="N265" s="22"/>
      <c r="O265" s="25"/>
      <c r="P265" s="26"/>
      <c r="Q265" s="22"/>
      <c r="R265" s="22"/>
      <c r="S265" s="22" t="str">
        <f t="shared" si="18"/>
        <v/>
      </c>
      <c r="T265" s="22" t="str">
        <f>IF(C265="","",IF(COUNTIF(tTQMReguliDoc[Cheie_regula],S265)&lt;&gt;1,"REGULA NECONFIGURATA",IF(COUNTIFS(tTQMReguliDoc[Cheie_regula],S265,tTQMReguliDoc[Stare],"Confirmata")=1,"Confirmata","De confirmat")))</f>
        <v/>
      </c>
      <c r="U265" s="22">
        <f>IF(OR(C265="",T265&lt;&gt;"Confirmata"),0,IF(COUNTIFS(tTQMReguliDoc[Cheie_regula],S265,tTQMReguliDoc[Aviz],"Da")=1,1,0))</f>
        <v>0</v>
      </c>
      <c r="V265" s="22">
        <f>IF(OR(C265="",T265&lt;&gt;"Confirmata"),0,IF(COUNTIFS(tTQMReguliDoc[Cheie_regula],S265,tTQMReguliDoc[Decl_conformitate],"Da")=1,1,0))</f>
        <v>0</v>
      </c>
      <c r="W265" s="22">
        <f>IF(OR(C265="",T265&lt;&gt;"Confirmata"),0,IF(COUNTIFS(tTQMReguliDoc[Cheie_regula],S265,tTQMReguliDoc[Decl_producator],"Da")=1,1,0))</f>
        <v>0</v>
      </c>
      <c r="X265" s="22">
        <f>IF(OR(C265="",T265&lt;&gt;"Confirmata"),0,IF(COUNTIFS(tTQMReguliDoc[Cheie_regula],S265,tTQMReguliDoc[Fise_tehnice],"Da")=1,1,0))</f>
        <v>0</v>
      </c>
      <c r="Y265" s="22" t="str">
        <f t="shared" si="19"/>
        <v/>
      </c>
      <c r="Z265" s="22"/>
      <c r="AA265" s="22"/>
    </row>
    <row r="266" spans="1:27" ht="15" customHeight="1">
      <c r="A266" s="30"/>
      <c r="B266" s="31"/>
      <c r="C266" s="30"/>
      <c r="D266" s="30"/>
      <c r="E266" s="30"/>
      <c r="F266" s="32" t="str">
        <f t="shared" si="15"/>
        <v/>
      </c>
      <c r="G266" s="30"/>
      <c r="H266" s="30"/>
      <c r="I266" s="30"/>
      <c r="J266" s="32" t="str">
        <f t="shared" si="16"/>
        <v/>
      </c>
      <c r="K266" s="30" t="str">
        <f t="shared" si="17"/>
        <v/>
      </c>
      <c r="L266" s="30"/>
      <c r="M266" s="30"/>
      <c r="N266" s="22"/>
      <c r="O266" s="25"/>
      <c r="P266" s="26"/>
      <c r="Q266" s="22"/>
      <c r="R266" s="22"/>
      <c r="S266" s="22" t="str">
        <f t="shared" si="18"/>
        <v/>
      </c>
      <c r="T266" s="22" t="str">
        <f>IF(C266="","",IF(COUNTIF(tTQMReguliDoc[Cheie_regula],S266)&lt;&gt;1,"REGULA NECONFIGURATA",IF(COUNTIFS(tTQMReguliDoc[Cheie_regula],S266,tTQMReguliDoc[Stare],"Confirmata")=1,"Confirmata","De confirmat")))</f>
        <v/>
      </c>
      <c r="U266" s="22">
        <f>IF(OR(C266="",T266&lt;&gt;"Confirmata"),0,IF(COUNTIFS(tTQMReguliDoc[Cheie_regula],S266,tTQMReguliDoc[Aviz],"Da")=1,1,0))</f>
        <v>0</v>
      </c>
      <c r="V266" s="22">
        <f>IF(OR(C266="",T266&lt;&gt;"Confirmata"),0,IF(COUNTIFS(tTQMReguliDoc[Cheie_regula],S266,tTQMReguliDoc[Decl_conformitate],"Da")=1,1,0))</f>
        <v>0</v>
      </c>
      <c r="W266" s="22">
        <f>IF(OR(C266="",T266&lt;&gt;"Confirmata"),0,IF(COUNTIFS(tTQMReguliDoc[Cheie_regula],S266,tTQMReguliDoc[Decl_producator],"Da")=1,1,0))</f>
        <v>0</v>
      </c>
      <c r="X266" s="22">
        <f>IF(OR(C266="",T266&lt;&gt;"Confirmata"),0,IF(COUNTIFS(tTQMReguliDoc[Cheie_regula],S266,tTQMReguliDoc[Fise_tehnice],"Da")=1,1,0))</f>
        <v>0</v>
      </c>
      <c r="Y266" s="22" t="str">
        <f t="shared" si="19"/>
        <v/>
      </c>
      <c r="Z266" s="22"/>
      <c r="AA266" s="22"/>
    </row>
    <row r="267" spans="1:27" ht="15" customHeight="1">
      <c r="A267" s="30"/>
      <c r="B267" s="31"/>
      <c r="C267" s="30"/>
      <c r="D267" s="30"/>
      <c r="E267" s="30"/>
      <c r="F267" s="32" t="str">
        <f t="shared" si="15"/>
        <v/>
      </c>
      <c r="G267" s="30"/>
      <c r="H267" s="30"/>
      <c r="I267" s="30"/>
      <c r="J267" s="32" t="str">
        <f t="shared" si="16"/>
        <v/>
      </c>
      <c r="K267" s="30" t="str">
        <f t="shared" si="17"/>
        <v/>
      </c>
      <c r="L267" s="30"/>
      <c r="M267" s="30"/>
      <c r="N267" s="22"/>
      <c r="O267" s="25"/>
      <c r="P267" s="26"/>
      <c r="Q267" s="22"/>
      <c r="R267" s="22"/>
      <c r="S267" s="22" t="str">
        <f t="shared" si="18"/>
        <v/>
      </c>
      <c r="T267" s="22" t="str">
        <f>IF(C267="","",IF(COUNTIF(tTQMReguliDoc[Cheie_regula],S267)&lt;&gt;1,"REGULA NECONFIGURATA",IF(COUNTIFS(tTQMReguliDoc[Cheie_regula],S267,tTQMReguliDoc[Stare],"Confirmata")=1,"Confirmata","De confirmat")))</f>
        <v/>
      </c>
      <c r="U267" s="22">
        <f>IF(OR(C267="",T267&lt;&gt;"Confirmata"),0,IF(COUNTIFS(tTQMReguliDoc[Cheie_regula],S267,tTQMReguliDoc[Aviz],"Da")=1,1,0))</f>
        <v>0</v>
      </c>
      <c r="V267" s="22">
        <f>IF(OR(C267="",T267&lt;&gt;"Confirmata"),0,IF(COUNTIFS(tTQMReguliDoc[Cheie_regula],S267,tTQMReguliDoc[Decl_conformitate],"Da")=1,1,0))</f>
        <v>0</v>
      </c>
      <c r="W267" s="22">
        <f>IF(OR(C267="",T267&lt;&gt;"Confirmata"),0,IF(COUNTIFS(tTQMReguliDoc[Cheie_regula],S267,tTQMReguliDoc[Decl_producator],"Da")=1,1,0))</f>
        <v>0</v>
      </c>
      <c r="X267" s="22">
        <f>IF(OR(C267="",T267&lt;&gt;"Confirmata"),0,IF(COUNTIFS(tTQMReguliDoc[Cheie_regula],S267,tTQMReguliDoc[Fise_tehnice],"Da")=1,1,0))</f>
        <v>0</v>
      </c>
      <c r="Y267" s="22" t="str">
        <f t="shared" si="19"/>
        <v/>
      </c>
      <c r="Z267" s="22"/>
      <c r="AA267" s="22"/>
    </row>
    <row r="268" spans="1:27" ht="15" customHeight="1">
      <c r="A268" s="30"/>
      <c r="B268" s="31"/>
      <c r="C268" s="30"/>
      <c r="D268" s="30"/>
      <c r="E268" s="30"/>
      <c r="F268" s="32" t="str">
        <f t="shared" si="15"/>
        <v/>
      </c>
      <c r="G268" s="30"/>
      <c r="H268" s="30"/>
      <c r="I268" s="30"/>
      <c r="J268" s="32" t="str">
        <f t="shared" si="16"/>
        <v/>
      </c>
      <c r="K268" s="30" t="str">
        <f t="shared" si="17"/>
        <v/>
      </c>
      <c r="L268" s="30"/>
      <c r="M268" s="30"/>
      <c r="N268" s="22"/>
      <c r="O268" s="25"/>
      <c r="P268" s="26"/>
      <c r="Q268" s="22"/>
      <c r="R268" s="22"/>
      <c r="S268" s="22" t="str">
        <f t="shared" si="18"/>
        <v/>
      </c>
      <c r="T268" s="22" t="str">
        <f>IF(C268="","",IF(COUNTIF(tTQMReguliDoc[Cheie_regula],S268)&lt;&gt;1,"REGULA NECONFIGURATA",IF(COUNTIFS(tTQMReguliDoc[Cheie_regula],S268,tTQMReguliDoc[Stare],"Confirmata")=1,"Confirmata","De confirmat")))</f>
        <v/>
      </c>
      <c r="U268" s="22">
        <f>IF(OR(C268="",T268&lt;&gt;"Confirmata"),0,IF(COUNTIFS(tTQMReguliDoc[Cheie_regula],S268,tTQMReguliDoc[Aviz],"Da")=1,1,0))</f>
        <v>0</v>
      </c>
      <c r="V268" s="22">
        <f>IF(OR(C268="",T268&lt;&gt;"Confirmata"),0,IF(COUNTIFS(tTQMReguliDoc[Cheie_regula],S268,tTQMReguliDoc[Decl_conformitate],"Da")=1,1,0))</f>
        <v>0</v>
      </c>
      <c r="W268" s="22">
        <f>IF(OR(C268="",T268&lt;&gt;"Confirmata"),0,IF(COUNTIFS(tTQMReguliDoc[Cheie_regula],S268,tTQMReguliDoc[Decl_producator],"Da")=1,1,0))</f>
        <v>0</v>
      </c>
      <c r="X268" s="22">
        <f>IF(OR(C268="",T268&lt;&gt;"Confirmata"),0,IF(COUNTIFS(tTQMReguliDoc[Cheie_regula],S268,tTQMReguliDoc[Fise_tehnice],"Da")=1,1,0))</f>
        <v>0</v>
      </c>
      <c r="Y268" s="22" t="str">
        <f t="shared" si="19"/>
        <v/>
      </c>
      <c r="Z268" s="22"/>
      <c r="AA268" s="22"/>
    </row>
    <row r="269" spans="1:27" ht="15" customHeight="1">
      <c r="A269" s="30"/>
      <c r="B269" s="31"/>
      <c r="C269" s="30"/>
      <c r="D269" s="30"/>
      <c r="E269" s="30"/>
      <c r="F269" s="32" t="str">
        <f t="shared" si="15"/>
        <v/>
      </c>
      <c r="G269" s="30"/>
      <c r="H269" s="30"/>
      <c r="I269" s="30"/>
      <c r="J269" s="32" t="str">
        <f t="shared" si="16"/>
        <v/>
      </c>
      <c r="K269" s="30" t="str">
        <f t="shared" si="17"/>
        <v/>
      </c>
      <c r="L269" s="30"/>
      <c r="M269" s="30"/>
      <c r="N269" s="22"/>
      <c r="O269" s="25"/>
      <c r="P269" s="26"/>
      <c r="Q269" s="22"/>
      <c r="R269" s="22"/>
      <c r="S269" s="22" t="str">
        <f t="shared" si="18"/>
        <v/>
      </c>
      <c r="T269" s="22" t="str">
        <f>IF(C269="","",IF(COUNTIF(tTQMReguliDoc[Cheie_regula],S269)&lt;&gt;1,"REGULA NECONFIGURATA",IF(COUNTIFS(tTQMReguliDoc[Cheie_regula],S269,tTQMReguliDoc[Stare],"Confirmata")=1,"Confirmata","De confirmat")))</f>
        <v/>
      </c>
      <c r="U269" s="22">
        <f>IF(OR(C269="",T269&lt;&gt;"Confirmata"),0,IF(COUNTIFS(tTQMReguliDoc[Cheie_regula],S269,tTQMReguliDoc[Aviz],"Da")=1,1,0))</f>
        <v>0</v>
      </c>
      <c r="V269" s="22">
        <f>IF(OR(C269="",T269&lt;&gt;"Confirmata"),0,IF(COUNTIFS(tTQMReguliDoc[Cheie_regula],S269,tTQMReguliDoc[Decl_conformitate],"Da")=1,1,0))</f>
        <v>0</v>
      </c>
      <c r="W269" s="22">
        <f>IF(OR(C269="",T269&lt;&gt;"Confirmata"),0,IF(COUNTIFS(tTQMReguliDoc[Cheie_regula],S269,tTQMReguliDoc[Decl_producator],"Da")=1,1,0))</f>
        <v>0</v>
      </c>
      <c r="X269" s="22">
        <f>IF(OR(C269="",T269&lt;&gt;"Confirmata"),0,IF(COUNTIFS(tTQMReguliDoc[Cheie_regula],S269,tTQMReguliDoc[Fise_tehnice],"Da")=1,1,0))</f>
        <v>0</v>
      </c>
      <c r="Y269" s="22" t="str">
        <f t="shared" si="19"/>
        <v/>
      </c>
      <c r="Z269" s="22"/>
      <c r="AA269" s="22"/>
    </row>
    <row r="270" spans="1:27" ht="15" customHeight="1">
      <c r="A270" s="30"/>
      <c r="B270" s="31"/>
      <c r="C270" s="30"/>
      <c r="D270" s="30"/>
      <c r="E270" s="30"/>
      <c r="F270" s="32" t="str">
        <f t="shared" ref="F270:F333" si="20">IF(C270="","",IF(T270&lt;&gt;"Confirmata","DE CONFIRMAT",IF(U270=1,"OBLIGATORIU AVIZ","NU")))</f>
        <v/>
      </c>
      <c r="G270" s="30"/>
      <c r="H270" s="30"/>
      <c r="I270" s="30"/>
      <c r="J270" s="32" t="str">
        <f t="shared" ref="J270:J333" si="21">IF(C270="","",IF(K270="","DOSAR COMPLET","INCOMPLET - VERIFICARE DOCUMENTE"))</f>
        <v/>
      </c>
      <c r="K270" s="30" t="str">
        <f t="shared" ref="K270:K333" si="22">IF(C270="","",IF(Y270="","",LEFT(Y270,LEN(Y270)-2)))</f>
        <v/>
      </c>
      <c r="L270" s="30"/>
      <c r="M270" s="30"/>
      <c r="N270" s="22"/>
      <c r="O270" s="25"/>
      <c r="P270" s="26"/>
      <c r="Q270" s="22"/>
      <c r="R270" s="22"/>
      <c r="S270" s="22" t="str">
        <f t="shared" ref="S270:S333" si="23">IF(C270="","",IF(LEFT(LOWER(D270),4)="furn","Furnizor",IF(LEFT(LOWER(D270),4)="prod","Producator",IF(LEFT(LOWER(D270),4)="pres","Prestator",IF(LEFT(LOWER(D270),3)="alt","Alt partener",D270))))&amp;"|"&amp;IF(LEFT(LOWER(E270),4)="doar","Doar Aviz",IF(LEFT(LOWER(E270),4)="fact","Factura",E270)))</f>
        <v/>
      </c>
      <c r="T270" s="22" t="str">
        <f>IF(C270="","",IF(COUNTIF(tTQMReguliDoc[Cheie_regula],S270)&lt;&gt;1,"REGULA NECONFIGURATA",IF(COUNTIFS(tTQMReguliDoc[Cheie_regula],S270,tTQMReguliDoc[Stare],"Confirmata")=1,"Confirmata","De confirmat")))</f>
        <v/>
      </c>
      <c r="U270" s="22">
        <f>IF(OR(C270="",T270&lt;&gt;"Confirmata"),0,IF(COUNTIFS(tTQMReguliDoc[Cheie_regula],S270,tTQMReguliDoc[Aviz],"Da")=1,1,0))</f>
        <v>0</v>
      </c>
      <c r="V270" s="22">
        <f>IF(OR(C270="",T270&lt;&gt;"Confirmata"),0,IF(COUNTIFS(tTQMReguliDoc[Cheie_regula],S270,tTQMReguliDoc[Decl_conformitate],"Da")=1,1,0))</f>
        <v>0</v>
      </c>
      <c r="W270" s="22">
        <f>IF(OR(C270="",T270&lt;&gt;"Confirmata"),0,IF(COUNTIFS(tTQMReguliDoc[Cheie_regula],S270,tTQMReguliDoc[Decl_producator],"Da")=1,1,0))</f>
        <v>0</v>
      </c>
      <c r="X270" s="22">
        <f>IF(OR(C270="",T270&lt;&gt;"Confirmata"),0,IF(COUNTIFS(tTQMReguliDoc[Cheie_regula],S270,tTQMReguliDoc[Fise_tehnice],"Da")=1,1,0))</f>
        <v>0</v>
      </c>
      <c r="Y270" s="22" t="str">
        <f t="shared" ref="Y270:Y333" si="24">IF(C270="","",IF(T270&lt;&gt;"Confirmata","Confirmati regulile documentelor; ",IF(AND(U270=1,Z270&lt;&gt;"Primit"),"Aviz; ","")&amp;IF(AND(V270=1,G270&lt;&gt;"Primit"),"Declaratie conformitate; ","")&amp;IF(AND(W270=1,H270&lt;&gt;"Primit"),"Declaratie producator; ","")&amp;IF(AND(X270=1,I270&lt;&gt;"Primit"),"Fise tehnice; ","")))</f>
        <v/>
      </c>
      <c r="Z270" s="22"/>
      <c r="AA270" s="22"/>
    </row>
    <row r="271" spans="1:27" ht="15" customHeight="1">
      <c r="A271" s="30"/>
      <c r="B271" s="31"/>
      <c r="C271" s="30"/>
      <c r="D271" s="30"/>
      <c r="E271" s="30"/>
      <c r="F271" s="32" t="str">
        <f t="shared" si="20"/>
        <v/>
      </c>
      <c r="G271" s="30"/>
      <c r="H271" s="30"/>
      <c r="I271" s="30"/>
      <c r="J271" s="32" t="str">
        <f t="shared" si="21"/>
        <v/>
      </c>
      <c r="K271" s="30" t="str">
        <f t="shared" si="22"/>
        <v/>
      </c>
      <c r="L271" s="30"/>
      <c r="M271" s="30"/>
      <c r="N271" s="22"/>
      <c r="O271" s="25"/>
      <c r="P271" s="26"/>
      <c r="Q271" s="22"/>
      <c r="R271" s="22"/>
      <c r="S271" s="22" t="str">
        <f t="shared" si="23"/>
        <v/>
      </c>
      <c r="T271" s="22" t="str">
        <f>IF(C271="","",IF(COUNTIF(tTQMReguliDoc[Cheie_regula],S271)&lt;&gt;1,"REGULA NECONFIGURATA",IF(COUNTIFS(tTQMReguliDoc[Cheie_regula],S271,tTQMReguliDoc[Stare],"Confirmata")=1,"Confirmata","De confirmat")))</f>
        <v/>
      </c>
      <c r="U271" s="22">
        <f>IF(OR(C271="",T271&lt;&gt;"Confirmata"),0,IF(COUNTIFS(tTQMReguliDoc[Cheie_regula],S271,tTQMReguliDoc[Aviz],"Da")=1,1,0))</f>
        <v>0</v>
      </c>
      <c r="V271" s="22">
        <f>IF(OR(C271="",T271&lt;&gt;"Confirmata"),0,IF(COUNTIFS(tTQMReguliDoc[Cheie_regula],S271,tTQMReguliDoc[Decl_conformitate],"Da")=1,1,0))</f>
        <v>0</v>
      </c>
      <c r="W271" s="22">
        <f>IF(OR(C271="",T271&lt;&gt;"Confirmata"),0,IF(COUNTIFS(tTQMReguliDoc[Cheie_regula],S271,tTQMReguliDoc[Decl_producator],"Da")=1,1,0))</f>
        <v>0</v>
      </c>
      <c r="X271" s="22">
        <f>IF(OR(C271="",T271&lt;&gt;"Confirmata"),0,IF(COUNTIFS(tTQMReguliDoc[Cheie_regula],S271,tTQMReguliDoc[Fise_tehnice],"Da")=1,1,0))</f>
        <v>0</v>
      </c>
      <c r="Y271" s="22" t="str">
        <f t="shared" si="24"/>
        <v/>
      </c>
      <c r="Z271" s="22"/>
      <c r="AA271" s="22"/>
    </row>
    <row r="272" spans="1:27" ht="15" customHeight="1">
      <c r="A272" s="30"/>
      <c r="B272" s="31"/>
      <c r="C272" s="30"/>
      <c r="D272" s="30"/>
      <c r="E272" s="30"/>
      <c r="F272" s="32" t="str">
        <f t="shared" si="20"/>
        <v/>
      </c>
      <c r="G272" s="30"/>
      <c r="H272" s="30"/>
      <c r="I272" s="30"/>
      <c r="J272" s="32" t="str">
        <f t="shared" si="21"/>
        <v/>
      </c>
      <c r="K272" s="30" t="str">
        <f t="shared" si="22"/>
        <v/>
      </c>
      <c r="L272" s="30"/>
      <c r="M272" s="30"/>
      <c r="N272" s="22"/>
      <c r="O272" s="25"/>
      <c r="P272" s="26"/>
      <c r="Q272" s="22"/>
      <c r="R272" s="22"/>
      <c r="S272" s="22" t="str">
        <f t="shared" si="23"/>
        <v/>
      </c>
      <c r="T272" s="22" t="str">
        <f>IF(C272="","",IF(COUNTIF(tTQMReguliDoc[Cheie_regula],S272)&lt;&gt;1,"REGULA NECONFIGURATA",IF(COUNTIFS(tTQMReguliDoc[Cheie_regula],S272,tTQMReguliDoc[Stare],"Confirmata")=1,"Confirmata","De confirmat")))</f>
        <v/>
      </c>
      <c r="U272" s="22">
        <f>IF(OR(C272="",T272&lt;&gt;"Confirmata"),0,IF(COUNTIFS(tTQMReguliDoc[Cheie_regula],S272,tTQMReguliDoc[Aviz],"Da")=1,1,0))</f>
        <v>0</v>
      </c>
      <c r="V272" s="22">
        <f>IF(OR(C272="",T272&lt;&gt;"Confirmata"),0,IF(COUNTIFS(tTQMReguliDoc[Cheie_regula],S272,tTQMReguliDoc[Decl_conformitate],"Da")=1,1,0))</f>
        <v>0</v>
      </c>
      <c r="W272" s="22">
        <f>IF(OR(C272="",T272&lt;&gt;"Confirmata"),0,IF(COUNTIFS(tTQMReguliDoc[Cheie_regula],S272,tTQMReguliDoc[Decl_producator],"Da")=1,1,0))</f>
        <v>0</v>
      </c>
      <c r="X272" s="22">
        <f>IF(OR(C272="",T272&lt;&gt;"Confirmata"),0,IF(COUNTIFS(tTQMReguliDoc[Cheie_regula],S272,tTQMReguliDoc[Fise_tehnice],"Da")=1,1,0))</f>
        <v>0</v>
      </c>
      <c r="Y272" s="22" t="str">
        <f t="shared" si="24"/>
        <v/>
      </c>
      <c r="Z272" s="22"/>
      <c r="AA272" s="22"/>
    </row>
    <row r="273" spans="1:27" ht="15" customHeight="1">
      <c r="A273" s="30"/>
      <c r="B273" s="31"/>
      <c r="C273" s="30"/>
      <c r="D273" s="30"/>
      <c r="E273" s="30"/>
      <c r="F273" s="32" t="str">
        <f t="shared" si="20"/>
        <v/>
      </c>
      <c r="G273" s="30"/>
      <c r="H273" s="30"/>
      <c r="I273" s="30"/>
      <c r="J273" s="32" t="str">
        <f t="shared" si="21"/>
        <v/>
      </c>
      <c r="K273" s="30" t="str">
        <f t="shared" si="22"/>
        <v/>
      </c>
      <c r="L273" s="30"/>
      <c r="M273" s="30"/>
      <c r="N273" s="22"/>
      <c r="O273" s="25"/>
      <c r="P273" s="26"/>
      <c r="Q273" s="22"/>
      <c r="R273" s="22"/>
      <c r="S273" s="22" t="str">
        <f t="shared" si="23"/>
        <v/>
      </c>
      <c r="T273" s="22" t="str">
        <f>IF(C273="","",IF(COUNTIF(tTQMReguliDoc[Cheie_regula],S273)&lt;&gt;1,"REGULA NECONFIGURATA",IF(COUNTIFS(tTQMReguliDoc[Cheie_regula],S273,tTQMReguliDoc[Stare],"Confirmata")=1,"Confirmata","De confirmat")))</f>
        <v/>
      </c>
      <c r="U273" s="22">
        <f>IF(OR(C273="",T273&lt;&gt;"Confirmata"),0,IF(COUNTIFS(tTQMReguliDoc[Cheie_regula],S273,tTQMReguliDoc[Aviz],"Da")=1,1,0))</f>
        <v>0</v>
      </c>
      <c r="V273" s="22">
        <f>IF(OR(C273="",T273&lt;&gt;"Confirmata"),0,IF(COUNTIFS(tTQMReguliDoc[Cheie_regula],S273,tTQMReguliDoc[Decl_conformitate],"Da")=1,1,0))</f>
        <v>0</v>
      </c>
      <c r="W273" s="22">
        <f>IF(OR(C273="",T273&lt;&gt;"Confirmata"),0,IF(COUNTIFS(tTQMReguliDoc[Cheie_regula],S273,tTQMReguliDoc[Decl_producator],"Da")=1,1,0))</f>
        <v>0</v>
      </c>
      <c r="X273" s="22">
        <f>IF(OR(C273="",T273&lt;&gt;"Confirmata"),0,IF(COUNTIFS(tTQMReguliDoc[Cheie_regula],S273,tTQMReguliDoc[Fise_tehnice],"Da")=1,1,0))</f>
        <v>0</v>
      </c>
      <c r="Y273" s="22" t="str">
        <f t="shared" si="24"/>
        <v/>
      </c>
      <c r="Z273" s="22"/>
      <c r="AA273" s="22"/>
    </row>
    <row r="274" spans="1:27" ht="15" customHeight="1">
      <c r="A274" s="30"/>
      <c r="B274" s="31"/>
      <c r="C274" s="30"/>
      <c r="D274" s="30"/>
      <c r="E274" s="30"/>
      <c r="F274" s="32" t="str">
        <f t="shared" si="20"/>
        <v/>
      </c>
      <c r="G274" s="30"/>
      <c r="H274" s="30"/>
      <c r="I274" s="30"/>
      <c r="J274" s="32" t="str">
        <f t="shared" si="21"/>
        <v/>
      </c>
      <c r="K274" s="30" t="str">
        <f t="shared" si="22"/>
        <v/>
      </c>
      <c r="L274" s="30"/>
      <c r="M274" s="30"/>
      <c r="N274" s="22"/>
      <c r="O274" s="25"/>
      <c r="P274" s="26"/>
      <c r="Q274" s="22"/>
      <c r="R274" s="22"/>
      <c r="S274" s="22" t="str">
        <f t="shared" si="23"/>
        <v/>
      </c>
      <c r="T274" s="22" t="str">
        <f>IF(C274="","",IF(COUNTIF(tTQMReguliDoc[Cheie_regula],S274)&lt;&gt;1,"REGULA NECONFIGURATA",IF(COUNTIFS(tTQMReguliDoc[Cheie_regula],S274,tTQMReguliDoc[Stare],"Confirmata")=1,"Confirmata","De confirmat")))</f>
        <v/>
      </c>
      <c r="U274" s="22">
        <f>IF(OR(C274="",T274&lt;&gt;"Confirmata"),0,IF(COUNTIFS(tTQMReguliDoc[Cheie_regula],S274,tTQMReguliDoc[Aviz],"Da")=1,1,0))</f>
        <v>0</v>
      </c>
      <c r="V274" s="22">
        <f>IF(OR(C274="",T274&lt;&gt;"Confirmata"),0,IF(COUNTIFS(tTQMReguliDoc[Cheie_regula],S274,tTQMReguliDoc[Decl_conformitate],"Da")=1,1,0))</f>
        <v>0</v>
      </c>
      <c r="W274" s="22">
        <f>IF(OR(C274="",T274&lt;&gt;"Confirmata"),0,IF(COUNTIFS(tTQMReguliDoc[Cheie_regula],S274,tTQMReguliDoc[Decl_producator],"Da")=1,1,0))</f>
        <v>0</v>
      </c>
      <c r="X274" s="22">
        <f>IF(OR(C274="",T274&lt;&gt;"Confirmata"),0,IF(COUNTIFS(tTQMReguliDoc[Cheie_regula],S274,tTQMReguliDoc[Fise_tehnice],"Da")=1,1,0))</f>
        <v>0</v>
      </c>
      <c r="Y274" s="22" t="str">
        <f t="shared" si="24"/>
        <v/>
      </c>
      <c r="Z274" s="22"/>
      <c r="AA274" s="22"/>
    </row>
    <row r="275" spans="1:27" ht="15" customHeight="1">
      <c r="A275" s="30"/>
      <c r="B275" s="31"/>
      <c r="C275" s="30"/>
      <c r="D275" s="30"/>
      <c r="E275" s="30"/>
      <c r="F275" s="32" t="str">
        <f t="shared" si="20"/>
        <v/>
      </c>
      <c r="G275" s="30"/>
      <c r="H275" s="30"/>
      <c r="I275" s="30"/>
      <c r="J275" s="32" t="str">
        <f t="shared" si="21"/>
        <v/>
      </c>
      <c r="K275" s="30" t="str">
        <f t="shared" si="22"/>
        <v/>
      </c>
      <c r="L275" s="30"/>
      <c r="M275" s="30"/>
      <c r="N275" s="22"/>
      <c r="O275" s="25"/>
      <c r="P275" s="26"/>
      <c r="Q275" s="22"/>
      <c r="R275" s="22"/>
      <c r="S275" s="22" t="str">
        <f t="shared" si="23"/>
        <v/>
      </c>
      <c r="T275" s="22" t="str">
        <f>IF(C275="","",IF(COUNTIF(tTQMReguliDoc[Cheie_regula],S275)&lt;&gt;1,"REGULA NECONFIGURATA",IF(COUNTIFS(tTQMReguliDoc[Cheie_regula],S275,tTQMReguliDoc[Stare],"Confirmata")=1,"Confirmata","De confirmat")))</f>
        <v/>
      </c>
      <c r="U275" s="22">
        <f>IF(OR(C275="",T275&lt;&gt;"Confirmata"),0,IF(COUNTIFS(tTQMReguliDoc[Cheie_regula],S275,tTQMReguliDoc[Aviz],"Da")=1,1,0))</f>
        <v>0</v>
      </c>
      <c r="V275" s="22">
        <f>IF(OR(C275="",T275&lt;&gt;"Confirmata"),0,IF(COUNTIFS(tTQMReguliDoc[Cheie_regula],S275,tTQMReguliDoc[Decl_conformitate],"Da")=1,1,0))</f>
        <v>0</v>
      </c>
      <c r="W275" s="22">
        <f>IF(OR(C275="",T275&lt;&gt;"Confirmata"),0,IF(COUNTIFS(tTQMReguliDoc[Cheie_regula],S275,tTQMReguliDoc[Decl_producator],"Da")=1,1,0))</f>
        <v>0</v>
      </c>
      <c r="X275" s="22">
        <f>IF(OR(C275="",T275&lt;&gt;"Confirmata"),0,IF(COUNTIFS(tTQMReguliDoc[Cheie_regula],S275,tTQMReguliDoc[Fise_tehnice],"Da")=1,1,0))</f>
        <v>0</v>
      </c>
      <c r="Y275" s="22" t="str">
        <f t="shared" si="24"/>
        <v/>
      </c>
      <c r="Z275" s="22"/>
      <c r="AA275" s="22"/>
    </row>
    <row r="276" spans="1:27" ht="15" customHeight="1">
      <c r="A276" s="30"/>
      <c r="B276" s="31"/>
      <c r="C276" s="30"/>
      <c r="D276" s="30"/>
      <c r="E276" s="30"/>
      <c r="F276" s="32" t="str">
        <f t="shared" si="20"/>
        <v/>
      </c>
      <c r="G276" s="30"/>
      <c r="H276" s="30"/>
      <c r="I276" s="30"/>
      <c r="J276" s="32" t="str">
        <f t="shared" si="21"/>
        <v/>
      </c>
      <c r="K276" s="30" t="str">
        <f t="shared" si="22"/>
        <v/>
      </c>
      <c r="L276" s="30"/>
      <c r="M276" s="30"/>
      <c r="N276" s="22"/>
      <c r="O276" s="25"/>
      <c r="P276" s="26"/>
      <c r="Q276" s="22"/>
      <c r="R276" s="22"/>
      <c r="S276" s="22" t="str">
        <f t="shared" si="23"/>
        <v/>
      </c>
      <c r="T276" s="22" t="str">
        <f>IF(C276="","",IF(COUNTIF(tTQMReguliDoc[Cheie_regula],S276)&lt;&gt;1,"REGULA NECONFIGURATA",IF(COUNTIFS(tTQMReguliDoc[Cheie_regula],S276,tTQMReguliDoc[Stare],"Confirmata")=1,"Confirmata","De confirmat")))</f>
        <v/>
      </c>
      <c r="U276" s="22">
        <f>IF(OR(C276="",T276&lt;&gt;"Confirmata"),0,IF(COUNTIFS(tTQMReguliDoc[Cheie_regula],S276,tTQMReguliDoc[Aviz],"Da")=1,1,0))</f>
        <v>0</v>
      </c>
      <c r="V276" s="22">
        <f>IF(OR(C276="",T276&lt;&gt;"Confirmata"),0,IF(COUNTIFS(tTQMReguliDoc[Cheie_regula],S276,tTQMReguliDoc[Decl_conformitate],"Da")=1,1,0))</f>
        <v>0</v>
      </c>
      <c r="W276" s="22">
        <f>IF(OR(C276="",T276&lt;&gt;"Confirmata"),0,IF(COUNTIFS(tTQMReguliDoc[Cheie_regula],S276,tTQMReguliDoc[Decl_producator],"Da")=1,1,0))</f>
        <v>0</v>
      </c>
      <c r="X276" s="22">
        <f>IF(OR(C276="",T276&lt;&gt;"Confirmata"),0,IF(COUNTIFS(tTQMReguliDoc[Cheie_regula],S276,tTQMReguliDoc[Fise_tehnice],"Da")=1,1,0))</f>
        <v>0</v>
      </c>
      <c r="Y276" s="22" t="str">
        <f t="shared" si="24"/>
        <v/>
      </c>
      <c r="Z276" s="22"/>
      <c r="AA276" s="22"/>
    </row>
    <row r="277" spans="1:27" ht="15" customHeight="1">
      <c r="A277" s="30"/>
      <c r="B277" s="31"/>
      <c r="C277" s="30"/>
      <c r="D277" s="30"/>
      <c r="E277" s="30"/>
      <c r="F277" s="32" t="str">
        <f t="shared" si="20"/>
        <v/>
      </c>
      <c r="G277" s="30"/>
      <c r="H277" s="30"/>
      <c r="I277" s="30"/>
      <c r="J277" s="32" t="str">
        <f t="shared" si="21"/>
        <v/>
      </c>
      <c r="K277" s="30" t="str">
        <f t="shared" si="22"/>
        <v/>
      </c>
      <c r="L277" s="30"/>
      <c r="M277" s="30"/>
      <c r="N277" s="22"/>
      <c r="O277" s="25"/>
      <c r="P277" s="26"/>
      <c r="Q277" s="22"/>
      <c r="R277" s="22"/>
      <c r="S277" s="22" t="str">
        <f t="shared" si="23"/>
        <v/>
      </c>
      <c r="T277" s="22" t="str">
        <f>IF(C277="","",IF(COUNTIF(tTQMReguliDoc[Cheie_regula],S277)&lt;&gt;1,"REGULA NECONFIGURATA",IF(COUNTIFS(tTQMReguliDoc[Cheie_regula],S277,tTQMReguliDoc[Stare],"Confirmata")=1,"Confirmata","De confirmat")))</f>
        <v/>
      </c>
      <c r="U277" s="22">
        <f>IF(OR(C277="",T277&lt;&gt;"Confirmata"),0,IF(COUNTIFS(tTQMReguliDoc[Cheie_regula],S277,tTQMReguliDoc[Aviz],"Da")=1,1,0))</f>
        <v>0</v>
      </c>
      <c r="V277" s="22">
        <f>IF(OR(C277="",T277&lt;&gt;"Confirmata"),0,IF(COUNTIFS(tTQMReguliDoc[Cheie_regula],S277,tTQMReguliDoc[Decl_conformitate],"Da")=1,1,0))</f>
        <v>0</v>
      </c>
      <c r="W277" s="22">
        <f>IF(OR(C277="",T277&lt;&gt;"Confirmata"),0,IF(COUNTIFS(tTQMReguliDoc[Cheie_regula],S277,tTQMReguliDoc[Decl_producator],"Da")=1,1,0))</f>
        <v>0</v>
      </c>
      <c r="X277" s="22">
        <f>IF(OR(C277="",T277&lt;&gt;"Confirmata"),0,IF(COUNTIFS(tTQMReguliDoc[Cheie_regula],S277,tTQMReguliDoc[Fise_tehnice],"Da")=1,1,0))</f>
        <v>0</v>
      </c>
      <c r="Y277" s="22" t="str">
        <f t="shared" si="24"/>
        <v/>
      </c>
      <c r="Z277" s="22"/>
      <c r="AA277" s="22"/>
    </row>
    <row r="278" spans="1:27" ht="15" customHeight="1">
      <c r="A278" s="30"/>
      <c r="B278" s="31"/>
      <c r="C278" s="30"/>
      <c r="D278" s="30"/>
      <c r="E278" s="30"/>
      <c r="F278" s="32" t="str">
        <f t="shared" si="20"/>
        <v/>
      </c>
      <c r="G278" s="30"/>
      <c r="H278" s="30"/>
      <c r="I278" s="30"/>
      <c r="J278" s="32" t="str">
        <f t="shared" si="21"/>
        <v/>
      </c>
      <c r="K278" s="30" t="str">
        <f t="shared" si="22"/>
        <v/>
      </c>
      <c r="L278" s="30"/>
      <c r="M278" s="30"/>
      <c r="N278" s="22"/>
      <c r="O278" s="25"/>
      <c r="P278" s="26"/>
      <c r="Q278" s="22"/>
      <c r="R278" s="22"/>
      <c r="S278" s="22" t="str">
        <f t="shared" si="23"/>
        <v/>
      </c>
      <c r="T278" s="22" t="str">
        <f>IF(C278="","",IF(COUNTIF(tTQMReguliDoc[Cheie_regula],S278)&lt;&gt;1,"REGULA NECONFIGURATA",IF(COUNTIFS(tTQMReguliDoc[Cheie_regula],S278,tTQMReguliDoc[Stare],"Confirmata")=1,"Confirmata","De confirmat")))</f>
        <v/>
      </c>
      <c r="U278" s="22">
        <f>IF(OR(C278="",T278&lt;&gt;"Confirmata"),0,IF(COUNTIFS(tTQMReguliDoc[Cheie_regula],S278,tTQMReguliDoc[Aviz],"Da")=1,1,0))</f>
        <v>0</v>
      </c>
      <c r="V278" s="22">
        <f>IF(OR(C278="",T278&lt;&gt;"Confirmata"),0,IF(COUNTIFS(tTQMReguliDoc[Cheie_regula],S278,tTQMReguliDoc[Decl_conformitate],"Da")=1,1,0))</f>
        <v>0</v>
      </c>
      <c r="W278" s="22">
        <f>IF(OR(C278="",T278&lt;&gt;"Confirmata"),0,IF(COUNTIFS(tTQMReguliDoc[Cheie_regula],S278,tTQMReguliDoc[Decl_producator],"Da")=1,1,0))</f>
        <v>0</v>
      </c>
      <c r="X278" s="22">
        <f>IF(OR(C278="",T278&lt;&gt;"Confirmata"),0,IF(COUNTIFS(tTQMReguliDoc[Cheie_regula],S278,tTQMReguliDoc[Fise_tehnice],"Da")=1,1,0))</f>
        <v>0</v>
      </c>
      <c r="Y278" s="22" t="str">
        <f t="shared" si="24"/>
        <v/>
      </c>
      <c r="Z278" s="22"/>
      <c r="AA278" s="22"/>
    </row>
    <row r="279" spans="1:27" ht="15" customHeight="1">
      <c r="A279" s="30"/>
      <c r="B279" s="31"/>
      <c r="C279" s="30"/>
      <c r="D279" s="30"/>
      <c r="E279" s="30"/>
      <c r="F279" s="32" t="str">
        <f t="shared" si="20"/>
        <v/>
      </c>
      <c r="G279" s="30"/>
      <c r="H279" s="30"/>
      <c r="I279" s="30"/>
      <c r="J279" s="32" t="str">
        <f t="shared" si="21"/>
        <v/>
      </c>
      <c r="K279" s="30" t="str">
        <f t="shared" si="22"/>
        <v/>
      </c>
      <c r="L279" s="30"/>
      <c r="M279" s="30"/>
      <c r="N279" s="22"/>
      <c r="O279" s="25"/>
      <c r="P279" s="26"/>
      <c r="Q279" s="22"/>
      <c r="R279" s="22"/>
      <c r="S279" s="22" t="str">
        <f t="shared" si="23"/>
        <v/>
      </c>
      <c r="T279" s="22" t="str">
        <f>IF(C279="","",IF(COUNTIF(tTQMReguliDoc[Cheie_regula],S279)&lt;&gt;1,"REGULA NECONFIGURATA",IF(COUNTIFS(tTQMReguliDoc[Cheie_regula],S279,tTQMReguliDoc[Stare],"Confirmata")=1,"Confirmata","De confirmat")))</f>
        <v/>
      </c>
      <c r="U279" s="22">
        <f>IF(OR(C279="",T279&lt;&gt;"Confirmata"),0,IF(COUNTIFS(tTQMReguliDoc[Cheie_regula],S279,tTQMReguliDoc[Aviz],"Da")=1,1,0))</f>
        <v>0</v>
      </c>
      <c r="V279" s="22">
        <f>IF(OR(C279="",T279&lt;&gt;"Confirmata"),0,IF(COUNTIFS(tTQMReguliDoc[Cheie_regula],S279,tTQMReguliDoc[Decl_conformitate],"Da")=1,1,0))</f>
        <v>0</v>
      </c>
      <c r="W279" s="22">
        <f>IF(OR(C279="",T279&lt;&gt;"Confirmata"),0,IF(COUNTIFS(tTQMReguliDoc[Cheie_regula],S279,tTQMReguliDoc[Decl_producator],"Da")=1,1,0))</f>
        <v>0</v>
      </c>
      <c r="X279" s="22">
        <f>IF(OR(C279="",T279&lt;&gt;"Confirmata"),0,IF(COUNTIFS(tTQMReguliDoc[Cheie_regula],S279,tTQMReguliDoc[Fise_tehnice],"Da")=1,1,0))</f>
        <v>0</v>
      </c>
      <c r="Y279" s="22" t="str">
        <f t="shared" si="24"/>
        <v/>
      </c>
      <c r="Z279" s="22"/>
      <c r="AA279" s="22"/>
    </row>
    <row r="280" spans="1:27" ht="15" customHeight="1">
      <c r="A280" s="30"/>
      <c r="B280" s="31"/>
      <c r="C280" s="30"/>
      <c r="D280" s="30"/>
      <c r="E280" s="30"/>
      <c r="F280" s="32" t="str">
        <f t="shared" si="20"/>
        <v/>
      </c>
      <c r="G280" s="30"/>
      <c r="H280" s="30"/>
      <c r="I280" s="30"/>
      <c r="J280" s="32" t="str">
        <f t="shared" si="21"/>
        <v/>
      </c>
      <c r="K280" s="30" t="str">
        <f t="shared" si="22"/>
        <v/>
      </c>
      <c r="L280" s="30"/>
      <c r="M280" s="30"/>
      <c r="N280" s="22"/>
      <c r="O280" s="25"/>
      <c r="P280" s="26"/>
      <c r="Q280" s="22"/>
      <c r="R280" s="22"/>
      <c r="S280" s="22" t="str">
        <f t="shared" si="23"/>
        <v/>
      </c>
      <c r="T280" s="22" t="str">
        <f>IF(C280="","",IF(COUNTIF(tTQMReguliDoc[Cheie_regula],S280)&lt;&gt;1,"REGULA NECONFIGURATA",IF(COUNTIFS(tTQMReguliDoc[Cheie_regula],S280,tTQMReguliDoc[Stare],"Confirmata")=1,"Confirmata","De confirmat")))</f>
        <v/>
      </c>
      <c r="U280" s="22">
        <f>IF(OR(C280="",T280&lt;&gt;"Confirmata"),0,IF(COUNTIFS(tTQMReguliDoc[Cheie_regula],S280,tTQMReguliDoc[Aviz],"Da")=1,1,0))</f>
        <v>0</v>
      </c>
      <c r="V280" s="22">
        <f>IF(OR(C280="",T280&lt;&gt;"Confirmata"),0,IF(COUNTIFS(tTQMReguliDoc[Cheie_regula],S280,tTQMReguliDoc[Decl_conformitate],"Da")=1,1,0))</f>
        <v>0</v>
      </c>
      <c r="W280" s="22">
        <f>IF(OR(C280="",T280&lt;&gt;"Confirmata"),0,IF(COUNTIFS(tTQMReguliDoc[Cheie_regula],S280,tTQMReguliDoc[Decl_producator],"Da")=1,1,0))</f>
        <v>0</v>
      </c>
      <c r="X280" s="22">
        <f>IF(OR(C280="",T280&lt;&gt;"Confirmata"),0,IF(COUNTIFS(tTQMReguliDoc[Cheie_regula],S280,tTQMReguliDoc[Fise_tehnice],"Da")=1,1,0))</f>
        <v>0</v>
      </c>
      <c r="Y280" s="22" t="str">
        <f t="shared" si="24"/>
        <v/>
      </c>
      <c r="Z280" s="22"/>
      <c r="AA280" s="22"/>
    </row>
    <row r="281" spans="1:27" ht="15" customHeight="1">
      <c r="A281" s="30"/>
      <c r="B281" s="31"/>
      <c r="C281" s="30"/>
      <c r="D281" s="30"/>
      <c r="E281" s="30"/>
      <c r="F281" s="32" t="str">
        <f t="shared" si="20"/>
        <v/>
      </c>
      <c r="G281" s="30"/>
      <c r="H281" s="30"/>
      <c r="I281" s="30"/>
      <c r="J281" s="32" t="str">
        <f t="shared" si="21"/>
        <v/>
      </c>
      <c r="K281" s="30" t="str">
        <f t="shared" si="22"/>
        <v/>
      </c>
      <c r="L281" s="30"/>
      <c r="M281" s="30"/>
      <c r="N281" s="22"/>
      <c r="O281" s="25"/>
      <c r="P281" s="26"/>
      <c r="Q281" s="22"/>
      <c r="R281" s="22"/>
      <c r="S281" s="22" t="str">
        <f t="shared" si="23"/>
        <v/>
      </c>
      <c r="T281" s="22" t="str">
        <f>IF(C281="","",IF(COUNTIF(tTQMReguliDoc[Cheie_regula],S281)&lt;&gt;1,"REGULA NECONFIGURATA",IF(COUNTIFS(tTQMReguliDoc[Cheie_regula],S281,tTQMReguliDoc[Stare],"Confirmata")=1,"Confirmata","De confirmat")))</f>
        <v/>
      </c>
      <c r="U281" s="22">
        <f>IF(OR(C281="",T281&lt;&gt;"Confirmata"),0,IF(COUNTIFS(tTQMReguliDoc[Cheie_regula],S281,tTQMReguliDoc[Aviz],"Da")=1,1,0))</f>
        <v>0</v>
      </c>
      <c r="V281" s="22">
        <f>IF(OR(C281="",T281&lt;&gt;"Confirmata"),0,IF(COUNTIFS(tTQMReguliDoc[Cheie_regula],S281,tTQMReguliDoc[Decl_conformitate],"Da")=1,1,0))</f>
        <v>0</v>
      </c>
      <c r="W281" s="22">
        <f>IF(OR(C281="",T281&lt;&gt;"Confirmata"),0,IF(COUNTIFS(tTQMReguliDoc[Cheie_regula],S281,tTQMReguliDoc[Decl_producator],"Da")=1,1,0))</f>
        <v>0</v>
      </c>
      <c r="X281" s="22">
        <f>IF(OR(C281="",T281&lt;&gt;"Confirmata"),0,IF(COUNTIFS(tTQMReguliDoc[Cheie_regula],S281,tTQMReguliDoc[Fise_tehnice],"Da")=1,1,0))</f>
        <v>0</v>
      </c>
      <c r="Y281" s="22" t="str">
        <f t="shared" si="24"/>
        <v/>
      </c>
      <c r="Z281" s="22"/>
      <c r="AA281" s="22"/>
    </row>
    <row r="282" spans="1:27" ht="15" customHeight="1">
      <c r="A282" s="30"/>
      <c r="B282" s="31"/>
      <c r="C282" s="30"/>
      <c r="D282" s="30"/>
      <c r="E282" s="30"/>
      <c r="F282" s="32" t="str">
        <f t="shared" si="20"/>
        <v/>
      </c>
      <c r="G282" s="30"/>
      <c r="H282" s="30"/>
      <c r="I282" s="30"/>
      <c r="J282" s="32" t="str">
        <f t="shared" si="21"/>
        <v/>
      </c>
      <c r="K282" s="30" t="str">
        <f t="shared" si="22"/>
        <v/>
      </c>
      <c r="L282" s="30"/>
      <c r="M282" s="30"/>
      <c r="N282" s="22"/>
      <c r="O282" s="25"/>
      <c r="P282" s="26"/>
      <c r="Q282" s="22"/>
      <c r="R282" s="22"/>
      <c r="S282" s="22" t="str">
        <f t="shared" si="23"/>
        <v/>
      </c>
      <c r="T282" s="22" t="str">
        <f>IF(C282="","",IF(COUNTIF(tTQMReguliDoc[Cheie_regula],S282)&lt;&gt;1,"REGULA NECONFIGURATA",IF(COUNTIFS(tTQMReguliDoc[Cheie_regula],S282,tTQMReguliDoc[Stare],"Confirmata")=1,"Confirmata","De confirmat")))</f>
        <v/>
      </c>
      <c r="U282" s="22">
        <f>IF(OR(C282="",T282&lt;&gt;"Confirmata"),0,IF(COUNTIFS(tTQMReguliDoc[Cheie_regula],S282,tTQMReguliDoc[Aviz],"Da")=1,1,0))</f>
        <v>0</v>
      </c>
      <c r="V282" s="22">
        <f>IF(OR(C282="",T282&lt;&gt;"Confirmata"),0,IF(COUNTIFS(tTQMReguliDoc[Cheie_regula],S282,tTQMReguliDoc[Decl_conformitate],"Da")=1,1,0))</f>
        <v>0</v>
      </c>
      <c r="W282" s="22">
        <f>IF(OR(C282="",T282&lt;&gt;"Confirmata"),0,IF(COUNTIFS(tTQMReguliDoc[Cheie_regula],S282,tTQMReguliDoc[Decl_producator],"Da")=1,1,0))</f>
        <v>0</v>
      </c>
      <c r="X282" s="22">
        <f>IF(OR(C282="",T282&lt;&gt;"Confirmata"),0,IF(COUNTIFS(tTQMReguliDoc[Cheie_regula],S282,tTQMReguliDoc[Fise_tehnice],"Da")=1,1,0))</f>
        <v>0</v>
      </c>
      <c r="Y282" s="22" t="str">
        <f t="shared" si="24"/>
        <v/>
      </c>
      <c r="Z282" s="22"/>
      <c r="AA282" s="22"/>
    </row>
    <row r="283" spans="1:27" ht="15" customHeight="1">
      <c r="A283" s="30"/>
      <c r="B283" s="31"/>
      <c r="C283" s="30"/>
      <c r="D283" s="30"/>
      <c r="E283" s="30"/>
      <c r="F283" s="32" t="str">
        <f t="shared" si="20"/>
        <v/>
      </c>
      <c r="G283" s="30"/>
      <c r="H283" s="30"/>
      <c r="I283" s="30"/>
      <c r="J283" s="32" t="str">
        <f t="shared" si="21"/>
        <v/>
      </c>
      <c r="K283" s="30" t="str">
        <f t="shared" si="22"/>
        <v/>
      </c>
      <c r="L283" s="30"/>
      <c r="M283" s="30"/>
      <c r="N283" s="22"/>
      <c r="O283" s="25"/>
      <c r="P283" s="26"/>
      <c r="Q283" s="22"/>
      <c r="R283" s="22"/>
      <c r="S283" s="22" t="str">
        <f t="shared" si="23"/>
        <v/>
      </c>
      <c r="T283" s="22" t="str">
        <f>IF(C283="","",IF(COUNTIF(tTQMReguliDoc[Cheie_regula],S283)&lt;&gt;1,"REGULA NECONFIGURATA",IF(COUNTIFS(tTQMReguliDoc[Cheie_regula],S283,tTQMReguliDoc[Stare],"Confirmata")=1,"Confirmata","De confirmat")))</f>
        <v/>
      </c>
      <c r="U283" s="22">
        <f>IF(OR(C283="",T283&lt;&gt;"Confirmata"),0,IF(COUNTIFS(tTQMReguliDoc[Cheie_regula],S283,tTQMReguliDoc[Aviz],"Da")=1,1,0))</f>
        <v>0</v>
      </c>
      <c r="V283" s="22">
        <f>IF(OR(C283="",T283&lt;&gt;"Confirmata"),0,IF(COUNTIFS(tTQMReguliDoc[Cheie_regula],S283,tTQMReguliDoc[Decl_conformitate],"Da")=1,1,0))</f>
        <v>0</v>
      </c>
      <c r="W283" s="22">
        <f>IF(OR(C283="",T283&lt;&gt;"Confirmata"),0,IF(COUNTIFS(tTQMReguliDoc[Cheie_regula],S283,tTQMReguliDoc[Decl_producator],"Da")=1,1,0))</f>
        <v>0</v>
      </c>
      <c r="X283" s="22">
        <f>IF(OR(C283="",T283&lt;&gt;"Confirmata"),0,IF(COUNTIFS(tTQMReguliDoc[Cheie_regula],S283,tTQMReguliDoc[Fise_tehnice],"Da")=1,1,0))</f>
        <v>0</v>
      </c>
      <c r="Y283" s="22" t="str">
        <f t="shared" si="24"/>
        <v/>
      </c>
      <c r="Z283" s="22"/>
      <c r="AA283" s="22"/>
    </row>
    <row r="284" spans="1:27" ht="15" customHeight="1">
      <c r="A284" s="30"/>
      <c r="B284" s="31"/>
      <c r="C284" s="30"/>
      <c r="D284" s="30"/>
      <c r="E284" s="30"/>
      <c r="F284" s="32" t="str">
        <f t="shared" si="20"/>
        <v/>
      </c>
      <c r="G284" s="30"/>
      <c r="H284" s="30"/>
      <c r="I284" s="30"/>
      <c r="J284" s="32" t="str">
        <f t="shared" si="21"/>
        <v/>
      </c>
      <c r="K284" s="30" t="str">
        <f t="shared" si="22"/>
        <v/>
      </c>
      <c r="L284" s="30"/>
      <c r="M284" s="30"/>
      <c r="N284" s="22"/>
      <c r="O284" s="25"/>
      <c r="P284" s="26"/>
      <c r="Q284" s="22"/>
      <c r="R284" s="22"/>
      <c r="S284" s="22" t="str">
        <f t="shared" si="23"/>
        <v/>
      </c>
      <c r="T284" s="22" t="str">
        <f>IF(C284="","",IF(COUNTIF(tTQMReguliDoc[Cheie_regula],S284)&lt;&gt;1,"REGULA NECONFIGURATA",IF(COUNTIFS(tTQMReguliDoc[Cheie_regula],S284,tTQMReguliDoc[Stare],"Confirmata")=1,"Confirmata","De confirmat")))</f>
        <v/>
      </c>
      <c r="U284" s="22">
        <f>IF(OR(C284="",T284&lt;&gt;"Confirmata"),0,IF(COUNTIFS(tTQMReguliDoc[Cheie_regula],S284,tTQMReguliDoc[Aviz],"Da")=1,1,0))</f>
        <v>0</v>
      </c>
      <c r="V284" s="22">
        <f>IF(OR(C284="",T284&lt;&gt;"Confirmata"),0,IF(COUNTIFS(tTQMReguliDoc[Cheie_regula],S284,tTQMReguliDoc[Decl_conformitate],"Da")=1,1,0))</f>
        <v>0</v>
      </c>
      <c r="W284" s="22">
        <f>IF(OR(C284="",T284&lt;&gt;"Confirmata"),0,IF(COUNTIFS(tTQMReguliDoc[Cheie_regula],S284,tTQMReguliDoc[Decl_producator],"Da")=1,1,0))</f>
        <v>0</v>
      </c>
      <c r="X284" s="22">
        <f>IF(OR(C284="",T284&lt;&gt;"Confirmata"),0,IF(COUNTIFS(tTQMReguliDoc[Cheie_regula],S284,tTQMReguliDoc[Fise_tehnice],"Da")=1,1,0))</f>
        <v>0</v>
      </c>
      <c r="Y284" s="22" t="str">
        <f t="shared" si="24"/>
        <v/>
      </c>
      <c r="Z284" s="22"/>
      <c r="AA284" s="22"/>
    </row>
    <row r="285" spans="1:27" ht="15" customHeight="1">
      <c r="A285" s="30"/>
      <c r="B285" s="31"/>
      <c r="C285" s="30"/>
      <c r="D285" s="30"/>
      <c r="E285" s="30"/>
      <c r="F285" s="32" t="str">
        <f t="shared" si="20"/>
        <v/>
      </c>
      <c r="G285" s="30"/>
      <c r="H285" s="30"/>
      <c r="I285" s="30"/>
      <c r="J285" s="32" t="str">
        <f t="shared" si="21"/>
        <v/>
      </c>
      <c r="K285" s="30" t="str">
        <f t="shared" si="22"/>
        <v/>
      </c>
      <c r="L285" s="30"/>
      <c r="M285" s="30"/>
      <c r="N285" s="22"/>
      <c r="O285" s="25"/>
      <c r="P285" s="26"/>
      <c r="Q285" s="22"/>
      <c r="R285" s="22"/>
      <c r="S285" s="22" t="str">
        <f t="shared" si="23"/>
        <v/>
      </c>
      <c r="T285" s="22" t="str">
        <f>IF(C285="","",IF(COUNTIF(tTQMReguliDoc[Cheie_regula],S285)&lt;&gt;1,"REGULA NECONFIGURATA",IF(COUNTIFS(tTQMReguliDoc[Cheie_regula],S285,tTQMReguliDoc[Stare],"Confirmata")=1,"Confirmata","De confirmat")))</f>
        <v/>
      </c>
      <c r="U285" s="22">
        <f>IF(OR(C285="",T285&lt;&gt;"Confirmata"),0,IF(COUNTIFS(tTQMReguliDoc[Cheie_regula],S285,tTQMReguliDoc[Aviz],"Da")=1,1,0))</f>
        <v>0</v>
      </c>
      <c r="V285" s="22">
        <f>IF(OR(C285="",T285&lt;&gt;"Confirmata"),0,IF(COUNTIFS(tTQMReguliDoc[Cheie_regula],S285,tTQMReguliDoc[Decl_conformitate],"Da")=1,1,0))</f>
        <v>0</v>
      </c>
      <c r="W285" s="22">
        <f>IF(OR(C285="",T285&lt;&gt;"Confirmata"),0,IF(COUNTIFS(tTQMReguliDoc[Cheie_regula],S285,tTQMReguliDoc[Decl_producator],"Da")=1,1,0))</f>
        <v>0</v>
      </c>
      <c r="X285" s="22">
        <f>IF(OR(C285="",T285&lt;&gt;"Confirmata"),0,IF(COUNTIFS(tTQMReguliDoc[Cheie_regula],S285,tTQMReguliDoc[Fise_tehnice],"Da")=1,1,0))</f>
        <v>0</v>
      </c>
      <c r="Y285" s="22" t="str">
        <f t="shared" si="24"/>
        <v/>
      </c>
      <c r="Z285" s="22"/>
      <c r="AA285" s="22"/>
    </row>
    <row r="286" spans="1:27" ht="15" customHeight="1">
      <c r="A286" s="30"/>
      <c r="B286" s="31"/>
      <c r="C286" s="30"/>
      <c r="D286" s="30"/>
      <c r="E286" s="30"/>
      <c r="F286" s="32" t="str">
        <f t="shared" si="20"/>
        <v/>
      </c>
      <c r="G286" s="30"/>
      <c r="H286" s="30"/>
      <c r="I286" s="30"/>
      <c r="J286" s="32" t="str">
        <f t="shared" si="21"/>
        <v/>
      </c>
      <c r="K286" s="30" t="str">
        <f t="shared" si="22"/>
        <v/>
      </c>
      <c r="L286" s="30"/>
      <c r="M286" s="30"/>
      <c r="N286" s="22"/>
      <c r="O286" s="25"/>
      <c r="P286" s="26"/>
      <c r="Q286" s="22"/>
      <c r="R286" s="22"/>
      <c r="S286" s="22" t="str">
        <f t="shared" si="23"/>
        <v/>
      </c>
      <c r="T286" s="22" t="str">
        <f>IF(C286="","",IF(COUNTIF(tTQMReguliDoc[Cheie_regula],S286)&lt;&gt;1,"REGULA NECONFIGURATA",IF(COUNTIFS(tTQMReguliDoc[Cheie_regula],S286,tTQMReguliDoc[Stare],"Confirmata")=1,"Confirmata","De confirmat")))</f>
        <v/>
      </c>
      <c r="U286" s="22">
        <f>IF(OR(C286="",T286&lt;&gt;"Confirmata"),0,IF(COUNTIFS(tTQMReguliDoc[Cheie_regula],S286,tTQMReguliDoc[Aviz],"Da")=1,1,0))</f>
        <v>0</v>
      </c>
      <c r="V286" s="22">
        <f>IF(OR(C286="",T286&lt;&gt;"Confirmata"),0,IF(COUNTIFS(tTQMReguliDoc[Cheie_regula],S286,tTQMReguliDoc[Decl_conformitate],"Da")=1,1,0))</f>
        <v>0</v>
      </c>
      <c r="W286" s="22">
        <f>IF(OR(C286="",T286&lt;&gt;"Confirmata"),0,IF(COUNTIFS(tTQMReguliDoc[Cheie_regula],S286,tTQMReguliDoc[Decl_producator],"Da")=1,1,0))</f>
        <v>0</v>
      </c>
      <c r="X286" s="22">
        <f>IF(OR(C286="",T286&lt;&gt;"Confirmata"),0,IF(COUNTIFS(tTQMReguliDoc[Cheie_regula],S286,tTQMReguliDoc[Fise_tehnice],"Da")=1,1,0))</f>
        <v>0</v>
      </c>
      <c r="Y286" s="22" t="str">
        <f t="shared" si="24"/>
        <v/>
      </c>
      <c r="Z286" s="22"/>
      <c r="AA286" s="22"/>
    </row>
    <row r="287" spans="1:27" ht="15" customHeight="1">
      <c r="A287" s="30"/>
      <c r="B287" s="31"/>
      <c r="C287" s="30"/>
      <c r="D287" s="30"/>
      <c r="E287" s="30"/>
      <c r="F287" s="32" t="str">
        <f t="shared" si="20"/>
        <v/>
      </c>
      <c r="G287" s="30"/>
      <c r="H287" s="30"/>
      <c r="I287" s="30"/>
      <c r="J287" s="32" t="str">
        <f t="shared" si="21"/>
        <v/>
      </c>
      <c r="K287" s="30" t="str">
        <f t="shared" si="22"/>
        <v/>
      </c>
      <c r="L287" s="30"/>
      <c r="M287" s="30"/>
      <c r="N287" s="22"/>
      <c r="O287" s="25"/>
      <c r="P287" s="26"/>
      <c r="Q287" s="22"/>
      <c r="R287" s="22"/>
      <c r="S287" s="22" t="str">
        <f t="shared" si="23"/>
        <v/>
      </c>
      <c r="T287" s="22" t="str">
        <f>IF(C287="","",IF(COUNTIF(tTQMReguliDoc[Cheie_regula],S287)&lt;&gt;1,"REGULA NECONFIGURATA",IF(COUNTIFS(tTQMReguliDoc[Cheie_regula],S287,tTQMReguliDoc[Stare],"Confirmata")=1,"Confirmata","De confirmat")))</f>
        <v/>
      </c>
      <c r="U287" s="22">
        <f>IF(OR(C287="",T287&lt;&gt;"Confirmata"),0,IF(COUNTIFS(tTQMReguliDoc[Cheie_regula],S287,tTQMReguliDoc[Aviz],"Da")=1,1,0))</f>
        <v>0</v>
      </c>
      <c r="V287" s="22">
        <f>IF(OR(C287="",T287&lt;&gt;"Confirmata"),0,IF(COUNTIFS(tTQMReguliDoc[Cheie_regula],S287,tTQMReguliDoc[Decl_conformitate],"Da")=1,1,0))</f>
        <v>0</v>
      </c>
      <c r="W287" s="22">
        <f>IF(OR(C287="",T287&lt;&gt;"Confirmata"),0,IF(COUNTIFS(tTQMReguliDoc[Cheie_regula],S287,tTQMReguliDoc[Decl_producator],"Da")=1,1,0))</f>
        <v>0</v>
      </c>
      <c r="X287" s="22">
        <f>IF(OR(C287="",T287&lt;&gt;"Confirmata"),0,IF(COUNTIFS(tTQMReguliDoc[Cheie_regula],S287,tTQMReguliDoc[Fise_tehnice],"Da")=1,1,0))</f>
        <v>0</v>
      </c>
      <c r="Y287" s="22" t="str">
        <f t="shared" si="24"/>
        <v/>
      </c>
      <c r="Z287" s="22"/>
      <c r="AA287" s="22"/>
    </row>
    <row r="288" spans="1:27" ht="15" customHeight="1">
      <c r="A288" s="30"/>
      <c r="B288" s="31"/>
      <c r="C288" s="30"/>
      <c r="D288" s="30"/>
      <c r="E288" s="30"/>
      <c r="F288" s="32" t="str">
        <f t="shared" si="20"/>
        <v/>
      </c>
      <c r="G288" s="30"/>
      <c r="H288" s="30"/>
      <c r="I288" s="30"/>
      <c r="J288" s="32" t="str">
        <f t="shared" si="21"/>
        <v/>
      </c>
      <c r="K288" s="30" t="str">
        <f t="shared" si="22"/>
        <v/>
      </c>
      <c r="L288" s="30"/>
      <c r="M288" s="30"/>
      <c r="N288" s="22"/>
      <c r="O288" s="25"/>
      <c r="P288" s="26"/>
      <c r="Q288" s="22"/>
      <c r="R288" s="22"/>
      <c r="S288" s="22" t="str">
        <f t="shared" si="23"/>
        <v/>
      </c>
      <c r="T288" s="22" t="str">
        <f>IF(C288="","",IF(COUNTIF(tTQMReguliDoc[Cheie_regula],S288)&lt;&gt;1,"REGULA NECONFIGURATA",IF(COUNTIFS(tTQMReguliDoc[Cheie_regula],S288,tTQMReguliDoc[Stare],"Confirmata")=1,"Confirmata","De confirmat")))</f>
        <v/>
      </c>
      <c r="U288" s="22">
        <f>IF(OR(C288="",T288&lt;&gt;"Confirmata"),0,IF(COUNTIFS(tTQMReguliDoc[Cheie_regula],S288,tTQMReguliDoc[Aviz],"Da")=1,1,0))</f>
        <v>0</v>
      </c>
      <c r="V288" s="22">
        <f>IF(OR(C288="",T288&lt;&gt;"Confirmata"),0,IF(COUNTIFS(tTQMReguliDoc[Cheie_regula],S288,tTQMReguliDoc[Decl_conformitate],"Da")=1,1,0))</f>
        <v>0</v>
      </c>
      <c r="W288" s="22">
        <f>IF(OR(C288="",T288&lt;&gt;"Confirmata"),0,IF(COUNTIFS(tTQMReguliDoc[Cheie_regula],S288,tTQMReguliDoc[Decl_producator],"Da")=1,1,0))</f>
        <v>0</v>
      </c>
      <c r="X288" s="22">
        <f>IF(OR(C288="",T288&lt;&gt;"Confirmata"),0,IF(COUNTIFS(tTQMReguliDoc[Cheie_regula],S288,tTQMReguliDoc[Fise_tehnice],"Da")=1,1,0))</f>
        <v>0</v>
      </c>
      <c r="Y288" s="22" t="str">
        <f t="shared" si="24"/>
        <v/>
      </c>
      <c r="Z288" s="22"/>
      <c r="AA288" s="22"/>
    </row>
    <row r="289" spans="1:27" ht="15" customHeight="1">
      <c r="A289" s="30"/>
      <c r="B289" s="31"/>
      <c r="C289" s="30"/>
      <c r="D289" s="30"/>
      <c r="E289" s="30"/>
      <c r="F289" s="32" t="str">
        <f t="shared" si="20"/>
        <v/>
      </c>
      <c r="G289" s="30"/>
      <c r="H289" s="30"/>
      <c r="I289" s="30"/>
      <c r="J289" s="32" t="str">
        <f t="shared" si="21"/>
        <v/>
      </c>
      <c r="K289" s="30" t="str">
        <f t="shared" si="22"/>
        <v/>
      </c>
      <c r="L289" s="30"/>
      <c r="M289" s="30"/>
      <c r="N289" s="22"/>
      <c r="O289" s="25"/>
      <c r="P289" s="26"/>
      <c r="Q289" s="22"/>
      <c r="R289" s="22"/>
      <c r="S289" s="22" t="str">
        <f t="shared" si="23"/>
        <v/>
      </c>
      <c r="T289" s="22" t="str">
        <f>IF(C289="","",IF(COUNTIF(tTQMReguliDoc[Cheie_regula],S289)&lt;&gt;1,"REGULA NECONFIGURATA",IF(COUNTIFS(tTQMReguliDoc[Cheie_regula],S289,tTQMReguliDoc[Stare],"Confirmata")=1,"Confirmata","De confirmat")))</f>
        <v/>
      </c>
      <c r="U289" s="22">
        <f>IF(OR(C289="",T289&lt;&gt;"Confirmata"),0,IF(COUNTIFS(tTQMReguliDoc[Cheie_regula],S289,tTQMReguliDoc[Aviz],"Da")=1,1,0))</f>
        <v>0</v>
      </c>
      <c r="V289" s="22">
        <f>IF(OR(C289="",T289&lt;&gt;"Confirmata"),0,IF(COUNTIFS(tTQMReguliDoc[Cheie_regula],S289,tTQMReguliDoc[Decl_conformitate],"Da")=1,1,0))</f>
        <v>0</v>
      </c>
      <c r="W289" s="22">
        <f>IF(OR(C289="",T289&lt;&gt;"Confirmata"),0,IF(COUNTIFS(tTQMReguliDoc[Cheie_regula],S289,tTQMReguliDoc[Decl_producator],"Da")=1,1,0))</f>
        <v>0</v>
      </c>
      <c r="X289" s="22">
        <f>IF(OR(C289="",T289&lt;&gt;"Confirmata"),0,IF(COUNTIFS(tTQMReguliDoc[Cheie_regula],S289,tTQMReguliDoc[Fise_tehnice],"Da")=1,1,0))</f>
        <v>0</v>
      </c>
      <c r="Y289" s="22" t="str">
        <f t="shared" si="24"/>
        <v/>
      </c>
      <c r="Z289" s="22"/>
      <c r="AA289" s="22"/>
    </row>
    <row r="290" spans="1:27" ht="15" customHeight="1">
      <c r="A290" s="30"/>
      <c r="B290" s="31"/>
      <c r="C290" s="30"/>
      <c r="D290" s="30"/>
      <c r="E290" s="30"/>
      <c r="F290" s="32" t="str">
        <f t="shared" si="20"/>
        <v/>
      </c>
      <c r="G290" s="30"/>
      <c r="H290" s="30"/>
      <c r="I290" s="30"/>
      <c r="J290" s="32" t="str">
        <f t="shared" si="21"/>
        <v/>
      </c>
      <c r="K290" s="30" t="str">
        <f t="shared" si="22"/>
        <v/>
      </c>
      <c r="L290" s="30"/>
      <c r="M290" s="30"/>
      <c r="N290" s="22"/>
      <c r="O290" s="25"/>
      <c r="P290" s="26"/>
      <c r="Q290" s="22"/>
      <c r="R290" s="22"/>
      <c r="S290" s="22" t="str">
        <f t="shared" si="23"/>
        <v/>
      </c>
      <c r="T290" s="22" t="str">
        <f>IF(C290="","",IF(COUNTIF(tTQMReguliDoc[Cheie_regula],S290)&lt;&gt;1,"REGULA NECONFIGURATA",IF(COUNTIFS(tTQMReguliDoc[Cheie_regula],S290,tTQMReguliDoc[Stare],"Confirmata")=1,"Confirmata","De confirmat")))</f>
        <v/>
      </c>
      <c r="U290" s="22">
        <f>IF(OR(C290="",T290&lt;&gt;"Confirmata"),0,IF(COUNTIFS(tTQMReguliDoc[Cheie_regula],S290,tTQMReguliDoc[Aviz],"Da")=1,1,0))</f>
        <v>0</v>
      </c>
      <c r="V290" s="22">
        <f>IF(OR(C290="",T290&lt;&gt;"Confirmata"),0,IF(COUNTIFS(tTQMReguliDoc[Cheie_regula],S290,tTQMReguliDoc[Decl_conformitate],"Da")=1,1,0))</f>
        <v>0</v>
      </c>
      <c r="W290" s="22">
        <f>IF(OR(C290="",T290&lt;&gt;"Confirmata"),0,IF(COUNTIFS(tTQMReguliDoc[Cheie_regula],S290,tTQMReguliDoc[Decl_producator],"Da")=1,1,0))</f>
        <v>0</v>
      </c>
      <c r="X290" s="22">
        <f>IF(OR(C290="",T290&lt;&gt;"Confirmata"),0,IF(COUNTIFS(tTQMReguliDoc[Cheie_regula],S290,tTQMReguliDoc[Fise_tehnice],"Da")=1,1,0))</f>
        <v>0</v>
      </c>
      <c r="Y290" s="22" t="str">
        <f t="shared" si="24"/>
        <v/>
      </c>
      <c r="Z290" s="22"/>
      <c r="AA290" s="22"/>
    </row>
    <row r="291" spans="1:27" ht="15" customHeight="1">
      <c r="A291" s="30"/>
      <c r="B291" s="31"/>
      <c r="C291" s="30"/>
      <c r="D291" s="30"/>
      <c r="E291" s="30"/>
      <c r="F291" s="32" t="str">
        <f t="shared" si="20"/>
        <v/>
      </c>
      <c r="G291" s="30"/>
      <c r="H291" s="30"/>
      <c r="I291" s="30"/>
      <c r="J291" s="32" t="str">
        <f t="shared" si="21"/>
        <v/>
      </c>
      <c r="K291" s="30" t="str">
        <f t="shared" si="22"/>
        <v/>
      </c>
      <c r="L291" s="30"/>
      <c r="M291" s="30"/>
      <c r="N291" s="22"/>
      <c r="O291" s="25"/>
      <c r="P291" s="26"/>
      <c r="Q291" s="22"/>
      <c r="R291" s="22"/>
      <c r="S291" s="22" t="str">
        <f t="shared" si="23"/>
        <v/>
      </c>
      <c r="T291" s="22" t="str">
        <f>IF(C291="","",IF(COUNTIF(tTQMReguliDoc[Cheie_regula],S291)&lt;&gt;1,"REGULA NECONFIGURATA",IF(COUNTIFS(tTQMReguliDoc[Cheie_regula],S291,tTQMReguliDoc[Stare],"Confirmata")=1,"Confirmata","De confirmat")))</f>
        <v/>
      </c>
      <c r="U291" s="22">
        <f>IF(OR(C291="",T291&lt;&gt;"Confirmata"),0,IF(COUNTIFS(tTQMReguliDoc[Cheie_regula],S291,tTQMReguliDoc[Aviz],"Da")=1,1,0))</f>
        <v>0</v>
      </c>
      <c r="V291" s="22">
        <f>IF(OR(C291="",T291&lt;&gt;"Confirmata"),0,IF(COUNTIFS(tTQMReguliDoc[Cheie_regula],S291,tTQMReguliDoc[Decl_conformitate],"Da")=1,1,0))</f>
        <v>0</v>
      </c>
      <c r="W291" s="22">
        <f>IF(OR(C291="",T291&lt;&gt;"Confirmata"),0,IF(COUNTIFS(tTQMReguliDoc[Cheie_regula],S291,tTQMReguliDoc[Decl_producator],"Da")=1,1,0))</f>
        <v>0</v>
      </c>
      <c r="X291" s="22">
        <f>IF(OR(C291="",T291&lt;&gt;"Confirmata"),0,IF(COUNTIFS(tTQMReguliDoc[Cheie_regula],S291,tTQMReguliDoc[Fise_tehnice],"Da")=1,1,0))</f>
        <v>0</v>
      </c>
      <c r="Y291" s="22" t="str">
        <f t="shared" si="24"/>
        <v/>
      </c>
      <c r="Z291" s="22"/>
      <c r="AA291" s="22"/>
    </row>
    <row r="292" spans="1:27" ht="15" customHeight="1">
      <c r="A292" s="30"/>
      <c r="B292" s="31"/>
      <c r="C292" s="30"/>
      <c r="D292" s="30"/>
      <c r="E292" s="30"/>
      <c r="F292" s="32" t="str">
        <f t="shared" si="20"/>
        <v/>
      </c>
      <c r="G292" s="30"/>
      <c r="H292" s="30"/>
      <c r="I292" s="30"/>
      <c r="J292" s="32" t="str">
        <f t="shared" si="21"/>
        <v/>
      </c>
      <c r="K292" s="30" t="str">
        <f t="shared" si="22"/>
        <v/>
      </c>
      <c r="L292" s="30"/>
      <c r="M292" s="30"/>
      <c r="N292" s="22"/>
      <c r="O292" s="25"/>
      <c r="P292" s="26"/>
      <c r="Q292" s="22"/>
      <c r="R292" s="22"/>
      <c r="S292" s="22" t="str">
        <f t="shared" si="23"/>
        <v/>
      </c>
      <c r="T292" s="22" t="str">
        <f>IF(C292="","",IF(COUNTIF(tTQMReguliDoc[Cheie_regula],S292)&lt;&gt;1,"REGULA NECONFIGURATA",IF(COUNTIFS(tTQMReguliDoc[Cheie_regula],S292,tTQMReguliDoc[Stare],"Confirmata")=1,"Confirmata","De confirmat")))</f>
        <v/>
      </c>
      <c r="U292" s="22">
        <f>IF(OR(C292="",T292&lt;&gt;"Confirmata"),0,IF(COUNTIFS(tTQMReguliDoc[Cheie_regula],S292,tTQMReguliDoc[Aviz],"Da")=1,1,0))</f>
        <v>0</v>
      </c>
      <c r="V292" s="22">
        <f>IF(OR(C292="",T292&lt;&gt;"Confirmata"),0,IF(COUNTIFS(tTQMReguliDoc[Cheie_regula],S292,tTQMReguliDoc[Decl_conformitate],"Da")=1,1,0))</f>
        <v>0</v>
      </c>
      <c r="W292" s="22">
        <f>IF(OR(C292="",T292&lt;&gt;"Confirmata"),0,IF(COUNTIFS(tTQMReguliDoc[Cheie_regula],S292,tTQMReguliDoc[Decl_producator],"Da")=1,1,0))</f>
        <v>0</v>
      </c>
      <c r="X292" s="22">
        <f>IF(OR(C292="",T292&lt;&gt;"Confirmata"),0,IF(COUNTIFS(tTQMReguliDoc[Cheie_regula],S292,tTQMReguliDoc[Fise_tehnice],"Da")=1,1,0))</f>
        <v>0</v>
      </c>
      <c r="Y292" s="22" t="str">
        <f t="shared" si="24"/>
        <v/>
      </c>
      <c r="Z292" s="22"/>
      <c r="AA292" s="22"/>
    </row>
    <row r="293" spans="1:27" ht="15" customHeight="1">
      <c r="A293" s="30"/>
      <c r="B293" s="31"/>
      <c r="C293" s="30"/>
      <c r="D293" s="30"/>
      <c r="E293" s="30"/>
      <c r="F293" s="32" t="str">
        <f t="shared" si="20"/>
        <v/>
      </c>
      <c r="G293" s="30"/>
      <c r="H293" s="30"/>
      <c r="I293" s="30"/>
      <c r="J293" s="32" t="str">
        <f t="shared" si="21"/>
        <v/>
      </c>
      <c r="K293" s="30" t="str">
        <f t="shared" si="22"/>
        <v/>
      </c>
      <c r="L293" s="30"/>
      <c r="M293" s="30"/>
      <c r="N293" s="22"/>
      <c r="O293" s="25"/>
      <c r="P293" s="26"/>
      <c r="Q293" s="22"/>
      <c r="R293" s="22"/>
      <c r="S293" s="22" t="str">
        <f t="shared" si="23"/>
        <v/>
      </c>
      <c r="T293" s="22" t="str">
        <f>IF(C293="","",IF(COUNTIF(tTQMReguliDoc[Cheie_regula],S293)&lt;&gt;1,"REGULA NECONFIGURATA",IF(COUNTIFS(tTQMReguliDoc[Cheie_regula],S293,tTQMReguliDoc[Stare],"Confirmata")=1,"Confirmata","De confirmat")))</f>
        <v/>
      </c>
      <c r="U293" s="22">
        <f>IF(OR(C293="",T293&lt;&gt;"Confirmata"),0,IF(COUNTIFS(tTQMReguliDoc[Cheie_regula],S293,tTQMReguliDoc[Aviz],"Da")=1,1,0))</f>
        <v>0</v>
      </c>
      <c r="V293" s="22">
        <f>IF(OR(C293="",T293&lt;&gt;"Confirmata"),0,IF(COUNTIFS(tTQMReguliDoc[Cheie_regula],S293,tTQMReguliDoc[Decl_conformitate],"Da")=1,1,0))</f>
        <v>0</v>
      </c>
      <c r="W293" s="22">
        <f>IF(OR(C293="",T293&lt;&gt;"Confirmata"),0,IF(COUNTIFS(tTQMReguliDoc[Cheie_regula],S293,tTQMReguliDoc[Decl_producator],"Da")=1,1,0))</f>
        <v>0</v>
      </c>
      <c r="X293" s="22">
        <f>IF(OR(C293="",T293&lt;&gt;"Confirmata"),0,IF(COUNTIFS(tTQMReguliDoc[Cheie_regula],S293,tTQMReguliDoc[Fise_tehnice],"Da")=1,1,0))</f>
        <v>0</v>
      </c>
      <c r="Y293" s="22" t="str">
        <f t="shared" si="24"/>
        <v/>
      </c>
      <c r="Z293" s="22"/>
      <c r="AA293" s="22"/>
    </row>
    <row r="294" spans="1:27" ht="15" customHeight="1">
      <c r="A294" s="30"/>
      <c r="B294" s="31"/>
      <c r="C294" s="30"/>
      <c r="D294" s="30"/>
      <c r="E294" s="30"/>
      <c r="F294" s="32" t="str">
        <f t="shared" si="20"/>
        <v/>
      </c>
      <c r="G294" s="30"/>
      <c r="H294" s="30"/>
      <c r="I294" s="30"/>
      <c r="J294" s="32" t="str">
        <f t="shared" si="21"/>
        <v/>
      </c>
      <c r="K294" s="30" t="str">
        <f t="shared" si="22"/>
        <v/>
      </c>
      <c r="L294" s="30"/>
      <c r="M294" s="30"/>
      <c r="N294" s="22"/>
      <c r="O294" s="25"/>
      <c r="P294" s="26"/>
      <c r="Q294" s="22"/>
      <c r="R294" s="22"/>
      <c r="S294" s="22" t="str">
        <f t="shared" si="23"/>
        <v/>
      </c>
      <c r="T294" s="22" t="str">
        <f>IF(C294="","",IF(COUNTIF(tTQMReguliDoc[Cheie_regula],S294)&lt;&gt;1,"REGULA NECONFIGURATA",IF(COUNTIFS(tTQMReguliDoc[Cheie_regula],S294,tTQMReguliDoc[Stare],"Confirmata")=1,"Confirmata","De confirmat")))</f>
        <v/>
      </c>
      <c r="U294" s="22">
        <f>IF(OR(C294="",T294&lt;&gt;"Confirmata"),0,IF(COUNTIFS(tTQMReguliDoc[Cheie_regula],S294,tTQMReguliDoc[Aviz],"Da")=1,1,0))</f>
        <v>0</v>
      </c>
      <c r="V294" s="22">
        <f>IF(OR(C294="",T294&lt;&gt;"Confirmata"),0,IF(COUNTIFS(tTQMReguliDoc[Cheie_regula],S294,tTQMReguliDoc[Decl_conformitate],"Da")=1,1,0))</f>
        <v>0</v>
      </c>
      <c r="W294" s="22">
        <f>IF(OR(C294="",T294&lt;&gt;"Confirmata"),0,IF(COUNTIFS(tTQMReguliDoc[Cheie_regula],S294,tTQMReguliDoc[Decl_producator],"Da")=1,1,0))</f>
        <v>0</v>
      </c>
      <c r="X294" s="22">
        <f>IF(OR(C294="",T294&lt;&gt;"Confirmata"),0,IF(COUNTIFS(tTQMReguliDoc[Cheie_regula],S294,tTQMReguliDoc[Fise_tehnice],"Da")=1,1,0))</f>
        <v>0</v>
      </c>
      <c r="Y294" s="22" t="str">
        <f t="shared" si="24"/>
        <v/>
      </c>
      <c r="Z294" s="22"/>
      <c r="AA294" s="22"/>
    </row>
    <row r="295" spans="1:27" ht="15" customHeight="1">
      <c r="A295" s="30"/>
      <c r="B295" s="31"/>
      <c r="C295" s="30"/>
      <c r="D295" s="30"/>
      <c r="E295" s="30"/>
      <c r="F295" s="32" t="str">
        <f t="shared" si="20"/>
        <v/>
      </c>
      <c r="G295" s="30"/>
      <c r="H295" s="30"/>
      <c r="I295" s="30"/>
      <c r="J295" s="32" t="str">
        <f t="shared" si="21"/>
        <v/>
      </c>
      <c r="K295" s="30" t="str">
        <f t="shared" si="22"/>
        <v/>
      </c>
      <c r="L295" s="30"/>
      <c r="M295" s="30"/>
      <c r="N295" s="22"/>
      <c r="O295" s="25"/>
      <c r="P295" s="26"/>
      <c r="Q295" s="22"/>
      <c r="R295" s="22"/>
      <c r="S295" s="22" t="str">
        <f t="shared" si="23"/>
        <v/>
      </c>
      <c r="T295" s="22" t="str">
        <f>IF(C295="","",IF(COUNTIF(tTQMReguliDoc[Cheie_regula],S295)&lt;&gt;1,"REGULA NECONFIGURATA",IF(COUNTIFS(tTQMReguliDoc[Cheie_regula],S295,tTQMReguliDoc[Stare],"Confirmata")=1,"Confirmata","De confirmat")))</f>
        <v/>
      </c>
      <c r="U295" s="22">
        <f>IF(OR(C295="",T295&lt;&gt;"Confirmata"),0,IF(COUNTIFS(tTQMReguliDoc[Cheie_regula],S295,tTQMReguliDoc[Aviz],"Da")=1,1,0))</f>
        <v>0</v>
      </c>
      <c r="V295" s="22">
        <f>IF(OR(C295="",T295&lt;&gt;"Confirmata"),0,IF(COUNTIFS(tTQMReguliDoc[Cheie_regula],S295,tTQMReguliDoc[Decl_conformitate],"Da")=1,1,0))</f>
        <v>0</v>
      </c>
      <c r="W295" s="22">
        <f>IF(OR(C295="",T295&lt;&gt;"Confirmata"),0,IF(COUNTIFS(tTQMReguliDoc[Cheie_regula],S295,tTQMReguliDoc[Decl_producator],"Da")=1,1,0))</f>
        <v>0</v>
      </c>
      <c r="X295" s="22">
        <f>IF(OR(C295="",T295&lt;&gt;"Confirmata"),0,IF(COUNTIFS(tTQMReguliDoc[Cheie_regula],S295,tTQMReguliDoc[Fise_tehnice],"Da")=1,1,0))</f>
        <v>0</v>
      </c>
      <c r="Y295" s="22" t="str">
        <f t="shared" si="24"/>
        <v/>
      </c>
      <c r="Z295" s="22"/>
      <c r="AA295" s="22"/>
    </row>
    <row r="296" spans="1:27" ht="15" customHeight="1">
      <c r="A296" s="30"/>
      <c r="B296" s="31"/>
      <c r="C296" s="30"/>
      <c r="D296" s="30"/>
      <c r="E296" s="30"/>
      <c r="F296" s="32" t="str">
        <f t="shared" si="20"/>
        <v/>
      </c>
      <c r="G296" s="30"/>
      <c r="H296" s="30"/>
      <c r="I296" s="30"/>
      <c r="J296" s="32" t="str">
        <f t="shared" si="21"/>
        <v/>
      </c>
      <c r="K296" s="30" t="str">
        <f t="shared" si="22"/>
        <v/>
      </c>
      <c r="L296" s="30"/>
      <c r="M296" s="30"/>
      <c r="N296" s="22"/>
      <c r="O296" s="25"/>
      <c r="P296" s="26"/>
      <c r="Q296" s="22"/>
      <c r="R296" s="22"/>
      <c r="S296" s="22" t="str">
        <f t="shared" si="23"/>
        <v/>
      </c>
      <c r="T296" s="22" t="str">
        <f>IF(C296="","",IF(COUNTIF(tTQMReguliDoc[Cheie_regula],S296)&lt;&gt;1,"REGULA NECONFIGURATA",IF(COUNTIFS(tTQMReguliDoc[Cheie_regula],S296,tTQMReguliDoc[Stare],"Confirmata")=1,"Confirmata","De confirmat")))</f>
        <v/>
      </c>
      <c r="U296" s="22">
        <f>IF(OR(C296="",T296&lt;&gt;"Confirmata"),0,IF(COUNTIFS(tTQMReguliDoc[Cheie_regula],S296,tTQMReguliDoc[Aviz],"Da")=1,1,0))</f>
        <v>0</v>
      </c>
      <c r="V296" s="22">
        <f>IF(OR(C296="",T296&lt;&gt;"Confirmata"),0,IF(COUNTIFS(tTQMReguliDoc[Cheie_regula],S296,tTQMReguliDoc[Decl_conformitate],"Da")=1,1,0))</f>
        <v>0</v>
      </c>
      <c r="W296" s="22">
        <f>IF(OR(C296="",T296&lt;&gt;"Confirmata"),0,IF(COUNTIFS(tTQMReguliDoc[Cheie_regula],S296,tTQMReguliDoc[Decl_producator],"Da")=1,1,0))</f>
        <v>0</v>
      </c>
      <c r="X296" s="22">
        <f>IF(OR(C296="",T296&lt;&gt;"Confirmata"),0,IF(COUNTIFS(tTQMReguliDoc[Cheie_regula],S296,tTQMReguliDoc[Fise_tehnice],"Da")=1,1,0))</f>
        <v>0</v>
      </c>
      <c r="Y296" s="22" t="str">
        <f t="shared" si="24"/>
        <v/>
      </c>
      <c r="Z296" s="22"/>
      <c r="AA296" s="22"/>
    </row>
    <row r="297" spans="1:27" ht="15" customHeight="1">
      <c r="A297" s="30"/>
      <c r="B297" s="31"/>
      <c r="C297" s="30"/>
      <c r="D297" s="30"/>
      <c r="E297" s="30"/>
      <c r="F297" s="32" t="str">
        <f t="shared" si="20"/>
        <v/>
      </c>
      <c r="G297" s="30"/>
      <c r="H297" s="30"/>
      <c r="I297" s="30"/>
      <c r="J297" s="32" t="str">
        <f t="shared" si="21"/>
        <v/>
      </c>
      <c r="K297" s="30" t="str">
        <f t="shared" si="22"/>
        <v/>
      </c>
      <c r="L297" s="30"/>
      <c r="M297" s="30"/>
      <c r="N297" s="22"/>
      <c r="O297" s="25"/>
      <c r="P297" s="26"/>
      <c r="Q297" s="22"/>
      <c r="R297" s="22"/>
      <c r="S297" s="22" t="str">
        <f t="shared" si="23"/>
        <v/>
      </c>
      <c r="T297" s="22" t="str">
        <f>IF(C297="","",IF(COUNTIF(tTQMReguliDoc[Cheie_regula],S297)&lt;&gt;1,"REGULA NECONFIGURATA",IF(COUNTIFS(tTQMReguliDoc[Cheie_regula],S297,tTQMReguliDoc[Stare],"Confirmata")=1,"Confirmata","De confirmat")))</f>
        <v/>
      </c>
      <c r="U297" s="22">
        <f>IF(OR(C297="",T297&lt;&gt;"Confirmata"),0,IF(COUNTIFS(tTQMReguliDoc[Cheie_regula],S297,tTQMReguliDoc[Aviz],"Da")=1,1,0))</f>
        <v>0</v>
      </c>
      <c r="V297" s="22">
        <f>IF(OR(C297="",T297&lt;&gt;"Confirmata"),0,IF(COUNTIFS(tTQMReguliDoc[Cheie_regula],S297,tTQMReguliDoc[Decl_conformitate],"Da")=1,1,0))</f>
        <v>0</v>
      </c>
      <c r="W297" s="22">
        <f>IF(OR(C297="",T297&lt;&gt;"Confirmata"),0,IF(COUNTIFS(tTQMReguliDoc[Cheie_regula],S297,tTQMReguliDoc[Decl_producator],"Da")=1,1,0))</f>
        <v>0</v>
      </c>
      <c r="X297" s="22">
        <f>IF(OR(C297="",T297&lt;&gt;"Confirmata"),0,IF(COUNTIFS(tTQMReguliDoc[Cheie_regula],S297,tTQMReguliDoc[Fise_tehnice],"Da")=1,1,0))</f>
        <v>0</v>
      </c>
      <c r="Y297" s="22" t="str">
        <f t="shared" si="24"/>
        <v/>
      </c>
      <c r="Z297" s="22"/>
      <c r="AA297" s="22"/>
    </row>
    <row r="298" spans="1:27" ht="15" customHeight="1">
      <c r="A298" s="30"/>
      <c r="B298" s="31"/>
      <c r="C298" s="30"/>
      <c r="D298" s="30"/>
      <c r="E298" s="30"/>
      <c r="F298" s="32" t="str">
        <f t="shared" si="20"/>
        <v/>
      </c>
      <c r="G298" s="30"/>
      <c r="H298" s="30"/>
      <c r="I298" s="30"/>
      <c r="J298" s="32" t="str">
        <f t="shared" si="21"/>
        <v/>
      </c>
      <c r="K298" s="30" t="str">
        <f t="shared" si="22"/>
        <v/>
      </c>
      <c r="L298" s="30"/>
      <c r="M298" s="30"/>
      <c r="N298" s="22"/>
      <c r="O298" s="25"/>
      <c r="P298" s="26"/>
      <c r="Q298" s="22"/>
      <c r="R298" s="22"/>
      <c r="S298" s="22" t="str">
        <f t="shared" si="23"/>
        <v/>
      </c>
      <c r="T298" s="22" t="str">
        <f>IF(C298="","",IF(COUNTIF(tTQMReguliDoc[Cheie_regula],S298)&lt;&gt;1,"REGULA NECONFIGURATA",IF(COUNTIFS(tTQMReguliDoc[Cheie_regula],S298,tTQMReguliDoc[Stare],"Confirmata")=1,"Confirmata","De confirmat")))</f>
        <v/>
      </c>
      <c r="U298" s="22">
        <f>IF(OR(C298="",T298&lt;&gt;"Confirmata"),0,IF(COUNTIFS(tTQMReguliDoc[Cheie_regula],S298,tTQMReguliDoc[Aviz],"Da")=1,1,0))</f>
        <v>0</v>
      </c>
      <c r="V298" s="22">
        <f>IF(OR(C298="",T298&lt;&gt;"Confirmata"),0,IF(COUNTIFS(tTQMReguliDoc[Cheie_regula],S298,tTQMReguliDoc[Decl_conformitate],"Da")=1,1,0))</f>
        <v>0</v>
      </c>
      <c r="W298" s="22">
        <f>IF(OR(C298="",T298&lt;&gt;"Confirmata"),0,IF(COUNTIFS(tTQMReguliDoc[Cheie_regula],S298,tTQMReguliDoc[Decl_producator],"Da")=1,1,0))</f>
        <v>0</v>
      </c>
      <c r="X298" s="22">
        <f>IF(OR(C298="",T298&lt;&gt;"Confirmata"),0,IF(COUNTIFS(tTQMReguliDoc[Cheie_regula],S298,tTQMReguliDoc[Fise_tehnice],"Da")=1,1,0))</f>
        <v>0</v>
      </c>
      <c r="Y298" s="22" t="str">
        <f t="shared" si="24"/>
        <v/>
      </c>
      <c r="Z298" s="22"/>
      <c r="AA298" s="22"/>
    </row>
    <row r="299" spans="1:27" ht="15" customHeight="1">
      <c r="A299" s="30"/>
      <c r="B299" s="31"/>
      <c r="C299" s="30"/>
      <c r="D299" s="30"/>
      <c r="E299" s="30"/>
      <c r="F299" s="32" t="str">
        <f t="shared" si="20"/>
        <v/>
      </c>
      <c r="G299" s="30"/>
      <c r="H299" s="30"/>
      <c r="I299" s="30"/>
      <c r="J299" s="32" t="str">
        <f t="shared" si="21"/>
        <v/>
      </c>
      <c r="K299" s="30" t="str">
        <f t="shared" si="22"/>
        <v/>
      </c>
      <c r="L299" s="30"/>
      <c r="M299" s="30"/>
      <c r="N299" s="22"/>
      <c r="O299" s="25"/>
      <c r="P299" s="26"/>
      <c r="Q299" s="22"/>
      <c r="R299" s="22"/>
      <c r="S299" s="22" t="str">
        <f t="shared" si="23"/>
        <v/>
      </c>
      <c r="T299" s="22" t="str">
        <f>IF(C299="","",IF(COUNTIF(tTQMReguliDoc[Cheie_regula],S299)&lt;&gt;1,"REGULA NECONFIGURATA",IF(COUNTIFS(tTQMReguliDoc[Cheie_regula],S299,tTQMReguliDoc[Stare],"Confirmata")=1,"Confirmata","De confirmat")))</f>
        <v/>
      </c>
      <c r="U299" s="22">
        <f>IF(OR(C299="",T299&lt;&gt;"Confirmata"),0,IF(COUNTIFS(tTQMReguliDoc[Cheie_regula],S299,tTQMReguliDoc[Aviz],"Da")=1,1,0))</f>
        <v>0</v>
      </c>
      <c r="V299" s="22">
        <f>IF(OR(C299="",T299&lt;&gt;"Confirmata"),0,IF(COUNTIFS(tTQMReguliDoc[Cheie_regula],S299,tTQMReguliDoc[Decl_conformitate],"Da")=1,1,0))</f>
        <v>0</v>
      </c>
      <c r="W299" s="22">
        <f>IF(OR(C299="",T299&lt;&gt;"Confirmata"),0,IF(COUNTIFS(tTQMReguliDoc[Cheie_regula],S299,tTQMReguliDoc[Decl_producator],"Da")=1,1,0))</f>
        <v>0</v>
      </c>
      <c r="X299" s="22">
        <f>IF(OR(C299="",T299&lt;&gt;"Confirmata"),0,IF(COUNTIFS(tTQMReguliDoc[Cheie_regula],S299,tTQMReguliDoc[Fise_tehnice],"Da")=1,1,0))</f>
        <v>0</v>
      </c>
      <c r="Y299" s="22" t="str">
        <f t="shared" si="24"/>
        <v/>
      </c>
      <c r="Z299" s="22"/>
      <c r="AA299" s="22"/>
    </row>
    <row r="300" spans="1:27" ht="15" customHeight="1">
      <c r="A300" s="30"/>
      <c r="B300" s="31"/>
      <c r="C300" s="30"/>
      <c r="D300" s="30"/>
      <c r="E300" s="30"/>
      <c r="F300" s="32" t="str">
        <f t="shared" si="20"/>
        <v/>
      </c>
      <c r="G300" s="30"/>
      <c r="H300" s="30"/>
      <c r="I300" s="30"/>
      <c r="J300" s="32" t="str">
        <f t="shared" si="21"/>
        <v/>
      </c>
      <c r="K300" s="30" t="str">
        <f t="shared" si="22"/>
        <v/>
      </c>
      <c r="L300" s="30"/>
      <c r="M300" s="30"/>
      <c r="N300" s="22"/>
      <c r="O300" s="25"/>
      <c r="P300" s="26"/>
      <c r="Q300" s="22"/>
      <c r="R300" s="22"/>
      <c r="S300" s="22" t="str">
        <f t="shared" si="23"/>
        <v/>
      </c>
      <c r="T300" s="22" t="str">
        <f>IF(C300="","",IF(COUNTIF(tTQMReguliDoc[Cheie_regula],S300)&lt;&gt;1,"REGULA NECONFIGURATA",IF(COUNTIFS(tTQMReguliDoc[Cheie_regula],S300,tTQMReguliDoc[Stare],"Confirmata")=1,"Confirmata","De confirmat")))</f>
        <v/>
      </c>
      <c r="U300" s="22">
        <f>IF(OR(C300="",T300&lt;&gt;"Confirmata"),0,IF(COUNTIFS(tTQMReguliDoc[Cheie_regula],S300,tTQMReguliDoc[Aviz],"Da")=1,1,0))</f>
        <v>0</v>
      </c>
      <c r="V300" s="22">
        <f>IF(OR(C300="",T300&lt;&gt;"Confirmata"),0,IF(COUNTIFS(tTQMReguliDoc[Cheie_regula],S300,tTQMReguliDoc[Decl_conformitate],"Da")=1,1,0))</f>
        <v>0</v>
      </c>
      <c r="W300" s="22">
        <f>IF(OR(C300="",T300&lt;&gt;"Confirmata"),0,IF(COUNTIFS(tTQMReguliDoc[Cheie_regula],S300,tTQMReguliDoc[Decl_producator],"Da")=1,1,0))</f>
        <v>0</v>
      </c>
      <c r="X300" s="22">
        <f>IF(OR(C300="",T300&lt;&gt;"Confirmata"),0,IF(COUNTIFS(tTQMReguliDoc[Cheie_regula],S300,tTQMReguliDoc[Fise_tehnice],"Da")=1,1,0))</f>
        <v>0</v>
      </c>
      <c r="Y300" s="22" t="str">
        <f t="shared" si="24"/>
        <v/>
      </c>
      <c r="Z300" s="22"/>
      <c r="AA300" s="22"/>
    </row>
    <row r="301" spans="1:27" ht="15" customHeight="1">
      <c r="A301" s="30"/>
      <c r="B301" s="31"/>
      <c r="C301" s="30"/>
      <c r="D301" s="30"/>
      <c r="E301" s="30"/>
      <c r="F301" s="32" t="str">
        <f t="shared" si="20"/>
        <v/>
      </c>
      <c r="G301" s="30"/>
      <c r="H301" s="30"/>
      <c r="I301" s="30"/>
      <c r="J301" s="32" t="str">
        <f t="shared" si="21"/>
        <v/>
      </c>
      <c r="K301" s="30" t="str">
        <f t="shared" si="22"/>
        <v/>
      </c>
      <c r="L301" s="30"/>
      <c r="M301" s="30"/>
      <c r="N301" s="22"/>
      <c r="O301" s="25"/>
      <c r="P301" s="26"/>
      <c r="Q301" s="22"/>
      <c r="R301" s="22"/>
      <c r="S301" s="22" t="str">
        <f t="shared" si="23"/>
        <v/>
      </c>
      <c r="T301" s="22" t="str">
        <f>IF(C301="","",IF(COUNTIF(tTQMReguliDoc[Cheie_regula],S301)&lt;&gt;1,"REGULA NECONFIGURATA",IF(COUNTIFS(tTQMReguliDoc[Cheie_regula],S301,tTQMReguliDoc[Stare],"Confirmata")=1,"Confirmata","De confirmat")))</f>
        <v/>
      </c>
      <c r="U301" s="22">
        <f>IF(OR(C301="",T301&lt;&gt;"Confirmata"),0,IF(COUNTIFS(tTQMReguliDoc[Cheie_regula],S301,tTQMReguliDoc[Aviz],"Da")=1,1,0))</f>
        <v>0</v>
      </c>
      <c r="V301" s="22">
        <f>IF(OR(C301="",T301&lt;&gt;"Confirmata"),0,IF(COUNTIFS(tTQMReguliDoc[Cheie_regula],S301,tTQMReguliDoc[Decl_conformitate],"Da")=1,1,0))</f>
        <v>0</v>
      </c>
      <c r="W301" s="22">
        <f>IF(OR(C301="",T301&lt;&gt;"Confirmata"),0,IF(COUNTIFS(tTQMReguliDoc[Cheie_regula],S301,tTQMReguliDoc[Decl_producator],"Da")=1,1,0))</f>
        <v>0</v>
      </c>
      <c r="X301" s="22">
        <f>IF(OR(C301="",T301&lt;&gt;"Confirmata"),0,IF(COUNTIFS(tTQMReguliDoc[Cheie_regula],S301,tTQMReguliDoc[Fise_tehnice],"Da")=1,1,0))</f>
        <v>0</v>
      </c>
      <c r="Y301" s="22" t="str">
        <f t="shared" si="24"/>
        <v/>
      </c>
      <c r="Z301" s="22"/>
      <c r="AA301" s="22"/>
    </row>
    <row r="302" spans="1:27" ht="15" customHeight="1">
      <c r="A302" s="30"/>
      <c r="B302" s="31"/>
      <c r="C302" s="30"/>
      <c r="D302" s="30"/>
      <c r="E302" s="30"/>
      <c r="F302" s="32" t="str">
        <f t="shared" si="20"/>
        <v/>
      </c>
      <c r="G302" s="30"/>
      <c r="H302" s="30"/>
      <c r="I302" s="30"/>
      <c r="J302" s="32" t="str">
        <f t="shared" si="21"/>
        <v/>
      </c>
      <c r="K302" s="30" t="str">
        <f t="shared" si="22"/>
        <v/>
      </c>
      <c r="L302" s="30"/>
      <c r="M302" s="30"/>
      <c r="N302" s="22"/>
      <c r="O302" s="25"/>
      <c r="P302" s="26"/>
      <c r="Q302" s="22"/>
      <c r="R302" s="22"/>
      <c r="S302" s="22" t="str">
        <f t="shared" si="23"/>
        <v/>
      </c>
      <c r="T302" s="22" t="str">
        <f>IF(C302="","",IF(COUNTIF(tTQMReguliDoc[Cheie_regula],S302)&lt;&gt;1,"REGULA NECONFIGURATA",IF(COUNTIFS(tTQMReguliDoc[Cheie_regula],S302,tTQMReguliDoc[Stare],"Confirmata")=1,"Confirmata","De confirmat")))</f>
        <v/>
      </c>
      <c r="U302" s="22">
        <f>IF(OR(C302="",T302&lt;&gt;"Confirmata"),0,IF(COUNTIFS(tTQMReguliDoc[Cheie_regula],S302,tTQMReguliDoc[Aviz],"Da")=1,1,0))</f>
        <v>0</v>
      </c>
      <c r="V302" s="22">
        <f>IF(OR(C302="",T302&lt;&gt;"Confirmata"),0,IF(COUNTIFS(tTQMReguliDoc[Cheie_regula],S302,tTQMReguliDoc[Decl_conformitate],"Da")=1,1,0))</f>
        <v>0</v>
      </c>
      <c r="W302" s="22">
        <f>IF(OR(C302="",T302&lt;&gt;"Confirmata"),0,IF(COUNTIFS(tTQMReguliDoc[Cheie_regula],S302,tTQMReguliDoc[Decl_producator],"Da")=1,1,0))</f>
        <v>0</v>
      </c>
      <c r="X302" s="22">
        <f>IF(OR(C302="",T302&lt;&gt;"Confirmata"),0,IF(COUNTIFS(tTQMReguliDoc[Cheie_regula],S302,tTQMReguliDoc[Fise_tehnice],"Da")=1,1,0))</f>
        <v>0</v>
      </c>
      <c r="Y302" s="22" t="str">
        <f t="shared" si="24"/>
        <v/>
      </c>
      <c r="Z302" s="22"/>
      <c r="AA302" s="22"/>
    </row>
    <row r="303" spans="1:27" ht="15" customHeight="1">
      <c r="A303" s="30"/>
      <c r="B303" s="31"/>
      <c r="C303" s="30"/>
      <c r="D303" s="30"/>
      <c r="E303" s="30"/>
      <c r="F303" s="32" t="str">
        <f t="shared" si="20"/>
        <v/>
      </c>
      <c r="G303" s="30"/>
      <c r="H303" s="30"/>
      <c r="I303" s="30"/>
      <c r="J303" s="32" t="str">
        <f t="shared" si="21"/>
        <v/>
      </c>
      <c r="K303" s="30" t="str">
        <f t="shared" si="22"/>
        <v/>
      </c>
      <c r="L303" s="30"/>
      <c r="M303" s="30"/>
      <c r="N303" s="22"/>
      <c r="O303" s="25"/>
      <c r="P303" s="26"/>
      <c r="Q303" s="22"/>
      <c r="R303" s="22"/>
      <c r="S303" s="22" t="str">
        <f t="shared" si="23"/>
        <v/>
      </c>
      <c r="T303" s="22" t="str">
        <f>IF(C303="","",IF(COUNTIF(tTQMReguliDoc[Cheie_regula],S303)&lt;&gt;1,"REGULA NECONFIGURATA",IF(COUNTIFS(tTQMReguliDoc[Cheie_regula],S303,tTQMReguliDoc[Stare],"Confirmata")=1,"Confirmata","De confirmat")))</f>
        <v/>
      </c>
      <c r="U303" s="22">
        <f>IF(OR(C303="",T303&lt;&gt;"Confirmata"),0,IF(COUNTIFS(tTQMReguliDoc[Cheie_regula],S303,tTQMReguliDoc[Aviz],"Da")=1,1,0))</f>
        <v>0</v>
      </c>
      <c r="V303" s="22">
        <f>IF(OR(C303="",T303&lt;&gt;"Confirmata"),0,IF(COUNTIFS(tTQMReguliDoc[Cheie_regula],S303,tTQMReguliDoc[Decl_conformitate],"Da")=1,1,0))</f>
        <v>0</v>
      </c>
      <c r="W303" s="22">
        <f>IF(OR(C303="",T303&lt;&gt;"Confirmata"),0,IF(COUNTIFS(tTQMReguliDoc[Cheie_regula],S303,tTQMReguliDoc[Decl_producator],"Da")=1,1,0))</f>
        <v>0</v>
      </c>
      <c r="X303" s="22">
        <f>IF(OR(C303="",T303&lt;&gt;"Confirmata"),0,IF(COUNTIFS(tTQMReguliDoc[Cheie_regula],S303,tTQMReguliDoc[Fise_tehnice],"Da")=1,1,0))</f>
        <v>0</v>
      </c>
      <c r="Y303" s="22" t="str">
        <f t="shared" si="24"/>
        <v/>
      </c>
      <c r="Z303" s="22"/>
      <c r="AA303" s="22"/>
    </row>
    <row r="304" spans="1:27" ht="15" customHeight="1">
      <c r="A304" s="30"/>
      <c r="B304" s="31"/>
      <c r="C304" s="30"/>
      <c r="D304" s="30"/>
      <c r="E304" s="30"/>
      <c r="F304" s="32" t="str">
        <f t="shared" si="20"/>
        <v/>
      </c>
      <c r="G304" s="30"/>
      <c r="H304" s="30"/>
      <c r="I304" s="30"/>
      <c r="J304" s="32" t="str">
        <f t="shared" si="21"/>
        <v/>
      </c>
      <c r="K304" s="30" t="str">
        <f t="shared" si="22"/>
        <v/>
      </c>
      <c r="L304" s="30"/>
      <c r="M304" s="30"/>
      <c r="N304" s="22"/>
      <c r="O304" s="25"/>
      <c r="P304" s="26"/>
      <c r="Q304" s="22"/>
      <c r="R304" s="22"/>
      <c r="S304" s="22" t="str">
        <f t="shared" si="23"/>
        <v/>
      </c>
      <c r="T304" s="22" t="str">
        <f>IF(C304="","",IF(COUNTIF(tTQMReguliDoc[Cheie_regula],S304)&lt;&gt;1,"REGULA NECONFIGURATA",IF(COUNTIFS(tTQMReguliDoc[Cheie_regula],S304,tTQMReguliDoc[Stare],"Confirmata")=1,"Confirmata","De confirmat")))</f>
        <v/>
      </c>
      <c r="U304" s="22">
        <f>IF(OR(C304="",T304&lt;&gt;"Confirmata"),0,IF(COUNTIFS(tTQMReguliDoc[Cheie_regula],S304,tTQMReguliDoc[Aviz],"Da")=1,1,0))</f>
        <v>0</v>
      </c>
      <c r="V304" s="22">
        <f>IF(OR(C304="",T304&lt;&gt;"Confirmata"),0,IF(COUNTIFS(tTQMReguliDoc[Cheie_regula],S304,tTQMReguliDoc[Decl_conformitate],"Da")=1,1,0))</f>
        <v>0</v>
      </c>
      <c r="W304" s="22">
        <f>IF(OR(C304="",T304&lt;&gt;"Confirmata"),0,IF(COUNTIFS(tTQMReguliDoc[Cheie_regula],S304,tTQMReguliDoc[Decl_producator],"Da")=1,1,0))</f>
        <v>0</v>
      </c>
      <c r="X304" s="22">
        <f>IF(OR(C304="",T304&lt;&gt;"Confirmata"),0,IF(COUNTIFS(tTQMReguliDoc[Cheie_regula],S304,tTQMReguliDoc[Fise_tehnice],"Da")=1,1,0))</f>
        <v>0</v>
      </c>
      <c r="Y304" s="22" t="str">
        <f t="shared" si="24"/>
        <v/>
      </c>
      <c r="Z304" s="22"/>
      <c r="AA304" s="22"/>
    </row>
    <row r="305" spans="1:27" ht="15" customHeight="1">
      <c r="A305" s="30"/>
      <c r="B305" s="31"/>
      <c r="C305" s="30"/>
      <c r="D305" s="30"/>
      <c r="E305" s="30"/>
      <c r="F305" s="32" t="str">
        <f t="shared" si="20"/>
        <v/>
      </c>
      <c r="G305" s="30"/>
      <c r="H305" s="30"/>
      <c r="I305" s="30"/>
      <c r="J305" s="32" t="str">
        <f t="shared" si="21"/>
        <v/>
      </c>
      <c r="K305" s="30" t="str">
        <f t="shared" si="22"/>
        <v/>
      </c>
      <c r="L305" s="30"/>
      <c r="M305" s="30"/>
      <c r="N305" s="22"/>
      <c r="O305" s="25"/>
      <c r="P305" s="26"/>
      <c r="Q305" s="22"/>
      <c r="R305" s="22"/>
      <c r="S305" s="22" t="str">
        <f t="shared" si="23"/>
        <v/>
      </c>
      <c r="T305" s="22" t="str">
        <f>IF(C305="","",IF(COUNTIF(tTQMReguliDoc[Cheie_regula],S305)&lt;&gt;1,"REGULA NECONFIGURATA",IF(COUNTIFS(tTQMReguliDoc[Cheie_regula],S305,tTQMReguliDoc[Stare],"Confirmata")=1,"Confirmata","De confirmat")))</f>
        <v/>
      </c>
      <c r="U305" s="22">
        <f>IF(OR(C305="",T305&lt;&gt;"Confirmata"),0,IF(COUNTIFS(tTQMReguliDoc[Cheie_regula],S305,tTQMReguliDoc[Aviz],"Da")=1,1,0))</f>
        <v>0</v>
      </c>
      <c r="V305" s="22">
        <f>IF(OR(C305="",T305&lt;&gt;"Confirmata"),0,IF(COUNTIFS(tTQMReguliDoc[Cheie_regula],S305,tTQMReguliDoc[Decl_conformitate],"Da")=1,1,0))</f>
        <v>0</v>
      </c>
      <c r="W305" s="22">
        <f>IF(OR(C305="",T305&lt;&gt;"Confirmata"),0,IF(COUNTIFS(tTQMReguliDoc[Cheie_regula],S305,tTQMReguliDoc[Decl_producator],"Da")=1,1,0))</f>
        <v>0</v>
      </c>
      <c r="X305" s="22">
        <f>IF(OR(C305="",T305&lt;&gt;"Confirmata"),0,IF(COUNTIFS(tTQMReguliDoc[Cheie_regula],S305,tTQMReguliDoc[Fise_tehnice],"Da")=1,1,0))</f>
        <v>0</v>
      </c>
      <c r="Y305" s="22" t="str">
        <f t="shared" si="24"/>
        <v/>
      </c>
      <c r="Z305" s="22"/>
      <c r="AA305" s="22"/>
    </row>
    <row r="306" spans="1:27" ht="15" customHeight="1">
      <c r="A306" s="30"/>
      <c r="B306" s="31"/>
      <c r="C306" s="30"/>
      <c r="D306" s="30"/>
      <c r="E306" s="30"/>
      <c r="F306" s="32" t="str">
        <f t="shared" si="20"/>
        <v/>
      </c>
      <c r="G306" s="30"/>
      <c r="H306" s="30"/>
      <c r="I306" s="30"/>
      <c r="J306" s="32" t="str">
        <f t="shared" si="21"/>
        <v/>
      </c>
      <c r="K306" s="30" t="str">
        <f t="shared" si="22"/>
        <v/>
      </c>
      <c r="L306" s="30"/>
      <c r="M306" s="30"/>
      <c r="N306" s="22"/>
      <c r="O306" s="25"/>
      <c r="P306" s="26"/>
      <c r="Q306" s="22"/>
      <c r="R306" s="22"/>
      <c r="S306" s="22" t="str">
        <f t="shared" si="23"/>
        <v/>
      </c>
      <c r="T306" s="22" t="str">
        <f>IF(C306="","",IF(COUNTIF(tTQMReguliDoc[Cheie_regula],S306)&lt;&gt;1,"REGULA NECONFIGURATA",IF(COUNTIFS(tTQMReguliDoc[Cheie_regula],S306,tTQMReguliDoc[Stare],"Confirmata")=1,"Confirmata","De confirmat")))</f>
        <v/>
      </c>
      <c r="U306" s="22">
        <f>IF(OR(C306="",T306&lt;&gt;"Confirmata"),0,IF(COUNTIFS(tTQMReguliDoc[Cheie_regula],S306,tTQMReguliDoc[Aviz],"Da")=1,1,0))</f>
        <v>0</v>
      </c>
      <c r="V306" s="22">
        <f>IF(OR(C306="",T306&lt;&gt;"Confirmata"),0,IF(COUNTIFS(tTQMReguliDoc[Cheie_regula],S306,tTQMReguliDoc[Decl_conformitate],"Da")=1,1,0))</f>
        <v>0</v>
      </c>
      <c r="W306" s="22">
        <f>IF(OR(C306="",T306&lt;&gt;"Confirmata"),0,IF(COUNTIFS(tTQMReguliDoc[Cheie_regula],S306,tTQMReguliDoc[Decl_producator],"Da")=1,1,0))</f>
        <v>0</v>
      </c>
      <c r="X306" s="22">
        <f>IF(OR(C306="",T306&lt;&gt;"Confirmata"),0,IF(COUNTIFS(tTQMReguliDoc[Cheie_regula],S306,tTQMReguliDoc[Fise_tehnice],"Da")=1,1,0))</f>
        <v>0</v>
      </c>
      <c r="Y306" s="22" t="str">
        <f t="shared" si="24"/>
        <v/>
      </c>
      <c r="Z306" s="22"/>
      <c r="AA306" s="22"/>
    </row>
    <row r="307" spans="1:27" ht="15" customHeight="1">
      <c r="A307" s="30"/>
      <c r="B307" s="31"/>
      <c r="C307" s="30"/>
      <c r="D307" s="30"/>
      <c r="E307" s="30"/>
      <c r="F307" s="32" t="str">
        <f t="shared" si="20"/>
        <v/>
      </c>
      <c r="G307" s="30"/>
      <c r="H307" s="30"/>
      <c r="I307" s="30"/>
      <c r="J307" s="32" t="str">
        <f t="shared" si="21"/>
        <v/>
      </c>
      <c r="K307" s="30" t="str">
        <f t="shared" si="22"/>
        <v/>
      </c>
      <c r="L307" s="30"/>
      <c r="M307" s="30"/>
      <c r="N307" s="22"/>
      <c r="O307" s="25"/>
      <c r="P307" s="26"/>
      <c r="Q307" s="22"/>
      <c r="R307" s="22"/>
      <c r="S307" s="22" t="str">
        <f t="shared" si="23"/>
        <v/>
      </c>
      <c r="T307" s="22" t="str">
        <f>IF(C307="","",IF(COUNTIF(tTQMReguliDoc[Cheie_regula],S307)&lt;&gt;1,"REGULA NECONFIGURATA",IF(COUNTIFS(tTQMReguliDoc[Cheie_regula],S307,tTQMReguliDoc[Stare],"Confirmata")=1,"Confirmata","De confirmat")))</f>
        <v/>
      </c>
      <c r="U307" s="22">
        <f>IF(OR(C307="",T307&lt;&gt;"Confirmata"),0,IF(COUNTIFS(tTQMReguliDoc[Cheie_regula],S307,tTQMReguliDoc[Aviz],"Da")=1,1,0))</f>
        <v>0</v>
      </c>
      <c r="V307" s="22">
        <f>IF(OR(C307="",T307&lt;&gt;"Confirmata"),0,IF(COUNTIFS(tTQMReguliDoc[Cheie_regula],S307,tTQMReguliDoc[Decl_conformitate],"Da")=1,1,0))</f>
        <v>0</v>
      </c>
      <c r="W307" s="22">
        <f>IF(OR(C307="",T307&lt;&gt;"Confirmata"),0,IF(COUNTIFS(tTQMReguliDoc[Cheie_regula],S307,tTQMReguliDoc[Decl_producator],"Da")=1,1,0))</f>
        <v>0</v>
      </c>
      <c r="X307" s="22">
        <f>IF(OR(C307="",T307&lt;&gt;"Confirmata"),0,IF(COUNTIFS(tTQMReguliDoc[Cheie_regula],S307,tTQMReguliDoc[Fise_tehnice],"Da")=1,1,0))</f>
        <v>0</v>
      </c>
      <c r="Y307" s="22" t="str">
        <f t="shared" si="24"/>
        <v/>
      </c>
      <c r="Z307" s="22"/>
      <c r="AA307" s="22"/>
    </row>
    <row r="308" spans="1:27" ht="15" customHeight="1">
      <c r="A308" s="30"/>
      <c r="B308" s="31"/>
      <c r="C308" s="30"/>
      <c r="D308" s="30"/>
      <c r="E308" s="30"/>
      <c r="F308" s="32" t="str">
        <f t="shared" si="20"/>
        <v/>
      </c>
      <c r="G308" s="30"/>
      <c r="H308" s="30"/>
      <c r="I308" s="30"/>
      <c r="J308" s="32" t="str">
        <f t="shared" si="21"/>
        <v/>
      </c>
      <c r="K308" s="30" t="str">
        <f t="shared" si="22"/>
        <v/>
      </c>
      <c r="L308" s="30"/>
      <c r="M308" s="30"/>
      <c r="N308" s="22"/>
      <c r="O308" s="25"/>
      <c r="P308" s="26"/>
      <c r="Q308" s="22"/>
      <c r="R308" s="22"/>
      <c r="S308" s="22" t="str">
        <f t="shared" si="23"/>
        <v/>
      </c>
      <c r="T308" s="22" t="str">
        <f>IF(C308="","",IF(COUNTIF(tTQMReguliDoc[Cheie_regula],S308)&lt;&gt;1,"REGULA NECONFIGURATA",IF(COUNTIFS(tTQMReguliDoc[Cheie_regula],S308,tTQMReguliDoc[Stare],"Confirmata")=1,"Confirmata","De confirmat")))</f>
        <v/>
      </c>
      <c r="U308" s="22">
        <f>IF(OR(C308="",T308&lt;&gt;"Confirmata"),0,IF(COUNTIFS(tTQMReguliDoc[Cheie_regula],S308,tTQMReguliDoc[Aviz],"Da")=1,1,0))</f>
        <v>0</v>
      </c>
      <c r="V308" s="22">
        <f>IF(OR(C308="",T308&lt;&gt;"Confirmata"),0,IF(COUNTIFS(tTQMReguliDoc[Cheie_regula],S308,tTQMReguliDoc[Decl_conformitate],"Da")=1,1,0))</f>
        <v>0</v>
      </c>
      <c r="W308" s="22">
        <f>IF(OR(C308="",T308&lt;&gt;"Confirmata"),0,IF(COUNTIFS(tTQMReguliDoc[Cheie_regula],S308,tTQMReguliDoc[Decl_producator],"Da")=1,1,0))</f>
        <v>0</v>
      </c>
      <c r="X308" s="22">
        <f>IF(OR(C308="",T308&lt;&gt;"Confirmata"),0,IF(COUNTIFS(tTQMReguliDoc[Cheie_regula],S308,tTQMReguliDoc[Fise_tehnice],"Da")=1,1,0))</f>
        <v>0</v>
      </c>
      <c r="Y308" s="22" t="str">
        <f t="shared" si="24"/>
        <v/>
      </c>
      <c r="Z308" s="22"/>
      <c r="AA308" s="22"/>
    </row>
    <row r="309" spans="1:27" ht="15" customHeight="1">
      <c r="A309" s="30"/>
      <c r="B309" s="31"/>
      <c r="C309" s="30"/>
      <c r="D309" s="30"/>
      <c r="E309" s="30"/>
      <c r="F309" s="32" t="str">
        <f t="shared" si="20"/>
        <v/>
      </c>
      <c r="G309" s="30"/>
      <c r="H309" s="30"/>
      <c r="I309" s="30"/>
      <c r="J309" s="32" t="str">
        <f t="shared" si="21"/>
        <v/>
      </c>
      <c r="K309" s="30" t="str">
        <f t="shared" si="22"/>
        <v/>
      </c>
      <c r="L309" s="30"/>
      <c r="M309" s="30"/>
      <c r="N309" s="22"/>
      <c r="O309" s="25"/>
      <c r="P309" s="26"/>
      <c r="Q309" s="22"/>
      <c r="R309" s="22"/>
      <c r="S309" s="22" t="str">
        <f t="shared" si="23"/>
        <v/>
      </c>
      <c r="T309" s="22" t="str">
        <f>IF(C309="","",IF(COUNTIF(tTQMReguliDoc[Cheie_regula],S309)&lt;&gt;1,"REGULA NECONFIGURATA",IF(COUNTIFS(tTQMReguliDoc[Cheie_regula],S309,tTQMReguliDoc[Stare],"Confirmata")=1,"Confirmata","De confirmat")))</f>
        <v/>
      </c>
      <c r="U309" s="22">
        <f>IF(OR(C309="",T309&lt;&gt;"Confirmata"),0,IF(COUNTIFS(tTQMReguliDoc[Cheie_regula],S309,tTQMReguliDoc[Aviz],"Da")=1,1,0))</f>
        <v>0</v>
      </c>
      <c r="V309" s="22">
        <f>IF(OR(C309="",T309&lt;&gt;"Confirmata"),0,IF(COUNTIFS(tTQMReguliDoc[Cheie_regula],S309,tTQMReguliDoc[Decl_conformitate],"Da")=1,1,0))</f>
        <v>0</v>
      </c>
      <c r="W309" s="22">
        <f>IF(OR(C309="",T309&lt;&gt;"Confirmata"),0,IF(COUNTIFS(tTQMReguliDoc[Cheie_regula],S309,tTQMReguliDoc[Decl_producator],"Da")=1,1,0))</f>
        <v>0</v>
      </c>
      <c r="X309" s="22">
        <f>IF(OR(C309="",T309&lt;&gt;"Confirmata"),0,IF(COUNTIFS(tTQMReguliDoc[Cheie_regula],S309,tTQMReguliDoc[Fise_tehnice],"Da")=1,1,0))</f>
        <v>0</v>
      </c>
      <c r="Y309" s="22" t="str">
        <f t="shared" si="24"/>
        <v/>
      </c>
      <c r="Z309" s="22"/>
      <c r="AA309" s="22"/>
    </row>
    <row r="310" spans="1:27" ht="15" customHeight="1">
      <c r="A310" s="30"/>
      <c r="B310" s="31"/>
      <c r="C310" s="30"/>
      <c r="D310" s="30"/>
      <c r="E310" s="30"/>
      <c r="F310" s="32" t="str">
        <f t="shared" si="20"/>
        <v/>
      </c>
      <c r="G310" s="30"/>
      <c r="H310" s="30"/>
      <c r="I310" s="30"/>
      <c r="J310" s="32" t="str">
        <f t="shared" si="21"/>
        <v/>
      </c>
      <c r="K310" s="30" t="str">
        <f t="shared" si="22"/>
        <v/>
      </c>
      <c r="L310" s="30"/>
      <c r="M310" s="30"/>
      <c r="N310" s="22"/>
      <c r="O310" s="25"/>
      <c r="P310" s="26"/>
      <c r="Q310" s="22"/>
      <c r="R310" s="22"/>
      <c r="S310" s="22" t="str">
        <f t="shared" si="23"/>
        <v/>
      </c>
      <c r="T310" s="22" t="str">
        <f>IF(C310="","",IF(COUNTIF(tTQMReguliDoc[Cheie_regula],S310)&lt;&gt;1,"REGULA NECONFIGURATA",IF(COUNTIFS(tTQMReguliDoc[Cheie_regula],S310,tTQMReguliDoc[Stare],"Confirmata")=1,"Confirmata","De confirmat")))</f>
        <v/>
      </c>
      <c r="U310" s="22">
        <f>IF(OR(C310="",T310&lt;&gt;"Confirmata"),0,IF(COUNTIFS(tTQMReguliDoc[Cheie_regula],S310,tTQMReguliDoc[Aviz],"Da")=1,1,0))</f>
        <v>0</v>
      </c>
      <c r="V310" s="22">
        <f>IF(OR(C310="",T310&lt;&gt;"Confirmata"),0,IF(COUNTIFS(tTQMReguliDoc[Cheie_regula],S310,tTQMReguliDoc[Decl_conformitate],"Da")=1,1,0))</f>
        <v>0</v>
      </c>
      <c r="W310" s="22">
        <f>IF(OR(C310="",T310&lt;&gt;"Confirmata"),0,IF(COUNTIFS(tTQMReguliDoc[Cheie_regula],S310,tTQMReguliDoc[Decl_producator],"Da")=1,1,0))</f>
        <v>0</v>
      </c>
      <c r="X310" s="22">
        <f>IF(OR(C310="",T310&lt;&gt;"Confirmata"),0,IF(COUNTIFS(tTQMReguliDoc[Cheie_regula],S310,tTQMReguliDoc[Fise_tehnice],"Da")=1,1,0))</f>
        <v>0</v>
      </c>
      <c r="Y310" s="22" t="str">
        <f t="shared" si="24"/>
        <v/>
      </c>
      <c r="Z310" s="22"/>
      <c r="AA310" s="22"/>
    </row>
    <row r="311" spans="1:27" ht="15" customHeight="1">
      <c r="A311" s="30"/>
      <c r="B311" s="31"/>
      <c r="C311" s="30"/>
      <c r="D311" s="30"/>
      <c r="E311" s="30"/>
      <c r="F311" s="32" t="str">
        <f t="shared" si="20"/>
        <v/>
      </c>
      <c r="G311" s="30"/>
      <c r="H311" s="30"/>
      <c r="I311" s="30"/>
      <c r="J311" s="32" t="str">
        <f t="shared" si="21"/>
        <v/>
      </c>
      <c r="K311" s="30" t="str">
        <f t="shared" si="22"/>
        <v/>
      </c>
      <c r="L311" s="30"/>
      <c r="M311" s="30"/>
      <c r="N311" s="22"/>
      <c r="O311" s="25"/>
      <c r="P311" s="26"/>
      <c r="Q311" s="22"/>
      <c r="R311" s="22"/>
      <c r="S311" s="22" t="str">
        <f t="shared" si="23"/>
        <v/>
      </c>
      <c r="T311" s="22" t="str">
        <f>IF(C311="","",IF(COUNTIF(tTQMReguliDoc[Cheie_regula],S311)&lt;&gt;1,"REGULA NECONFIGURATA",IF(COUNTIFS(tTQMReguliDoc[Cheie_regula],S311,tTQMReguliDoc[Stare],"Confirmata")=1,"Confirmata","De confirmat")))</f>
        <v/>
      </c>
      <c r="U311" s="22">
        <f>IF(OR(C311="",T311&lt;&gt;"Confirmata"),0,IF(COUNTIFS(tTQMReguliDoc[Cheie_regula],S311,tTQMReguliDoc[Aviz],"Da")=1,1,0))</f>
        <v>0</v>
      </c>
      <c r="V311" s="22">
        <f>IF(OR(C311="",T311&lt;&gt;"Confirmata"),0,IF(COUNTIFS(tTQMReguliDoc[Cheie_regula],S311,tTQMReguliDoc[Decl_conformitate],"Da")=1,1,0))</f>
        <v>0</v>
      </c>
      <c r="W311" s="22">
        <f>IF(OR(C311="",T311&lt;&gt;"Confirmata"),0,IF(COUNTIFS(tTQMReguliDoc[Cheie_regula],S311,tTQMReguliDoc[Decl_producator],"Da")=1,1,0))</f>
        <v>0</v>
      </c>
      <c r="X311" s="22">
        <f>IF(OR(C311="",T311&lt;&gt;"Confirmata"),0,IF(COUNTIFS(tTQMReguliDoc[Cheie_regula],S311,tTQMReguliDoc[Fise_tehnice],"Da")=1,1,0))</f>
        <v>0</v>
      </c>
      <c r="Y311" s="22" t="str">
        <f t="shared" si="24"/>
        <v/>
      </c>
      <c r="Z311" s="22"/>
      <c r="AA311" s="22"/>
    </row>
    <row r="312" spans="1:27" ht="15" customHeight="1">
      <c r="A312" s="30"/>
      <c r="B312" s="31"/>
      <c r="C312" s="30"/>
      <c r="D312" s="30"/>
      <c r="E312" s="30"/>
      <c r="F312" s="32" t="str">
        <f t="shared" si="20"/>
        <v/>
      </c>
      <c r="G312" s="30"/>
      <c r="H312" s="30"/>
      <c r="I312" s="30"/>
      <c r="J312" s="32" t="str">
        <f t="shared" si="21"/>
        <v/>
      </c>
      <c r="K312" s="30" t="str">
        <f t="shared" si="22"/>
        <v/>
      </c>
      <c r="L312" s="30"/>
      <c r="M312" s="30"/>
      <c r="N312" s="22"/>
      <c r="O312" s="25"/>
      <c r="P312" s="26"/>
      <c r="Q312" s="22"/>
      <c r="R312" s="22"/>
      <c r="S312" s="22" t="str">
        <f t="shared" si="23"/>
        <v/>
      </c>
      <c r="T312" s="22" t="str">
        <f>IF(C312="","",IF(COUNTIF(tTQMReguliDoc[Cheie_regula],S312)&lt;&gt;1,"REGULA NECONFIGURATA",IF(COUNTIFS(tTQMReguliDoc[Cheie_regula],S312,tTQMReguliDoc[Stare],"Confirmata")=1,"Confirmata","De confirmat")))</f>
        <v/>
      </c>
      <c r="U312" s="22">
        <f>IF(OR(C312="",T312&lt;&gt;"Confirmata"),0,IF(COUNTIFS(tTQMReguliDoc[Cheie_regula],S312,tTQMReguliDoc[Aviz],"Da")=1,1,0))</f>
        <v>0</v>
      </c>
      <c r="V312" s="22">
        <f>IF(OR(C312="",T312&lt;&gt;"Confirmata"),0,IF(COUNTIFS(tTQMReguliDoc[Cheie_regula],S312,tTQMReguliDoc[Decl_conformitate],"Da")=1,1,0))</f>
        <v>0</v>
      </c>
      <c r="W312" s="22">
        <f>IF(OR(C312="",T312&lt;&gt;"Confirmata"),0,IF(COUNTIFS(tTQMReguliDoc[Cheie_regula],S312,tTQMReguliDoc[Decl_producator],"Da")=1,1,0))</f>
        <v>0</v>
      </c>
      <c r="X312" s="22">
        <f>IF(OR(C312="",T312&lt;&gt;"Confirmata"),0,IF(COUNTIFS(tTQMReguliDoc[Cheie_regula],S312,tTQMReguliDoc[Fise_tehnice],"Da")=1,1,0))</f>
        <v>0</v>
      </c>
      <c r="Y312" s="22" t="str">
        <f t="shared" si="24"/>
        <v/>
      </c>
      <c r="Z312" s="22"/>
      <c r="AA312" s="22"/>
    </row>
    <row r="313" spans="1:27" ht="15" customHeight="1">
      <c r="A313" s="30"/>
      <c r="B313" s="31"/>
      <c r="C313" s="30"/>
      <c r="D313" s="30"/>
      <c r="E313" s="30"/>
      <c r="F313" s="32" t="str">
        <f t="shared" si="20"/>
        <v/>
      </c>
      <c r="G313" s="30"/>
      <c r="H313" s="30"/>
      <c r="I313" s="30"/>
      <c r="J313" s="32" t="str">
        <f t="shared" si="21"/>
        <v/>
      </c>
      <c r="K313" s="30" t="str">
        <f t="shared" si="22"/>
        <v/>
      </c>
      <c r="L313" s="30"/>
      <c r="M313" s="30"/>
      <c r="N313" s="22"/>
      <c r="O313" s="25"/>
      <c r="P313" s="26"/>
      <c r="Q313" s="22"/>
      <c r="R313" s="22"/>
      <c r="S313" s="22" t="str">
        <f t="shared" si="23"/>
        <v/>
      </c>
      <c r="T313" s="22" t="str">
        <f>IF(C313="","",IF(COUNTIF(tTQMReguliDoc[Cheie_regula],S313)&lt;&gt;1,"REGULA NECONFIGURATA",IF(COUNTIFS(tTQMReguliDoc[Cheie_regula],S313,tTQMReguliDoc[Stare],"Confirmata")=1,"Confirmata","De confirmat")))</f>
        <v/>
      </c>
      <c r="U313" s="22">
        <f>IF(OR(C313="",T313&lt;&gt;"Confirmata"),0,IF(COUNTIFS(tTQMReguliDoc[Cheie_regula],S313,tTQMReguliDoc[Aviz],"Da")=1,1,0))</f>
        <v>0</v>
      </c>
      <c r="V313" s="22">
        <f>IF(OR(C313="",T313&lt;&gt;"Confirmata"),0,IF(COUNTIFS(tTQMReguliDoc[Cheie_regula],S313,tTQMReguliDoc[Decl_conformitate],"Da")=1,1,0))</f>
        <v>0</v>
      </c>
      <c r="W313" s="22">
        <f>IF(OR(C313="",T313&lt;&gt;"Confirmata"),0,IF(COUNTIFS(tTQMReguliDoc[Cheie_regula],S313,tTQMReguliDoc[Decl_producator],"Da")=1,1,0))</f>
        <v>0</v>
      </c>
      <c r="X313" s="22">
        <f>IF(OR(C313="",T313&lt;&gt;"Confirmata"),0,IF(COUNTIFS(tTQMReguliDoc[Cheie_regula],S313,tTQMReguliDoc[Fise_tehnice],"Da")=1,1,0))</f>
        <v>0</v>
      </c>
      <c r="Y313" s="22" t="str">
        <f t="shared" si="24"/>
        <v/>
      </c>
      <c r="Z313" s="22"/>
      <c r="AA313" s="22"/>
    </row>
    <row r="314" spans="1:27" ht="15" customHeight="1">
      <c r="A314" s="30"/>
      <c r="B314" s="31"/>
      <c r="C314" s="30"/>
      <c r="D314" s="30"/>
      <c r="E314" s="30"/>
      <c r="F314" s="32" t="str">
        <f t="shared" si="20"/>
        <v/>
      </c>
      <c r="G314" s="30"/>
      <c r="H314" s="30"/>
      <c r="I314" s="30"/>
      <c r="J314" s="32" t="str">
        <f t="shared" si="21"/>
        <v/>
      </c>
      <c r="K314" s="30" t="str">
        <f t="shared" si="22"/>
        <v/>
      </c>
      <c r="L314" s="30"/>
      <c r="M314" s="30"/>
      <c r="N314" s="22"/>
      <c r="O314" s="25"/>
      <c r="P314" s="26"/>
      <c r="Q314" s="22"/>
      <c r="R314" s="22"/>
      <c r="S314" s="22" t="str">
        <f t="shared" si="23"/>
        <v/>
      </c>
      <c r="T314" s="22" t="str">
        <f>IF(C314="","",IF(COUNTIF(tTQMReguliDoc[Cheie_regula],S314)&lt;&gt;1,"REGULA NECONFIGURATA",IF(COUNTIFS(tTQMReguliDoc[Cheie_regula],S314,tTQMReguliDoc[Stare],"Confirmata")=1,"Confirmata","De confirmat")))</f>
        <v/>
      </c>
      <c r="U314" s="22">
        <f>IF(OR(C314="",T314&lt;&gt;"Confirmata"),0,IF(COUNTIFS(tTQMReguliDoc[Cheie_regula],S314,tTQMReguliDoc[Aviz],"Da")=1,1,0))</f>
        <v>0</v>
      </c>
      <c r="V314" s="22">
        <f>IF(OR(C314="",T314&lt;&gt;"Confirmata"),0,IF(COUNTIFS(tTQMReguliDoc[Cheie_regula],S314,tTQMReguliDoc[Decl_conformitate],"Da")=1,1,0))</f>
        <v>0</v>
      </c>
      <c r="W314" s="22">
        <f>IF(OR(C314="",T314&lt;&gt;"Confirmata"),0,IF(COUNTIFS(tTQMReguliDoc[Cheie_regula],S314,tTQMReguliDoc[Decl_producator],"Da")=1,1,0))</f>
        <v>0</v>
      </c>
      <c r="X314" s="22">
        <f>IF(OR(C314="",T314&lt;&gt;"Confirmata"),0,IF(COUNTIFS(tTQMReguliDoc[Cheie_regula],S314,tTQMReguliDoc[Fise_tehnice],"Da")=1,1,0))</f>
        <v>0</v>
      </c>
      <c r="Y314" s="22" t="str">
        <f t="shared" si="24"/>
        <v/>
      </c>
      <c r="Z314" s="22"/>
      <c r="AA314" s="22"/>
    </row>
    <row r="315" spans="1:27" ht="15" customHeight="1">
      <c r="A315" s="30"/>
      <c r="B315" s="31"/>
      <c r="C315" s="30"/>
      <c r="D315" s="30"/>
      <c r="E315" s="30"/>
      <c r="F315" s="32" t="str">
        <f t="shared" si="20"/>
        <v/>
      </c>
      <c r="G315" s="30"/>
      <c r="H315" s="30"/>
      <c r="I315" s="30"/>
      <c r="J315" s="32" t="str">
        <f t="shared" si="21"/>
        <v/>
      </c>
      <c r="K315" s="30" t="str">
        <f t="shared" si="22"/>
        <v/>
      </c>
      <c r="L315" s="30"/>
      <c r="M315" s="30"/>
      <c r="N315" s="22"/>
      <c r="O315" s="25"/>
      <c r="P315" s="26"/>
      <c r="Q315" s="22"/>
      <c r="R315" s="22"/>
      <c r="S315" s="22" t="str">
        <f t="shared" si="23"/>
        <v/>
      </c>
      <c r="T315" s="22" t="str">
        <f>IF(C315="","",IF(COUNTIF(tTQMReguliDoc[Cheie_regula],S315)&lt;&gt;1,"REGULA NECONFIGURATA",IF(COUNTIFS(tTQMReguliDoc[Cheie_regula],S315,tTQMReguliDoc[Stare],"Confirmata")=1,"Confirmata","De confirmat")))</f>
        <v/>
      </c>
      <c r="U315" s="22">
        <f>IF(OR(C315="",T315&lt;&gt;"Confirmata"),0,IF(COUNTIFS(tTQMReguliDoc[Cheie_regula],S315,tTQMReguliDoc[Aviz],"Da")=1,1,0))</f>
        <v>0</v>
      </c>
      <c r="V315" s="22">
        <f>IF(OR(C315="",T315&lt;&gt;"Confirmata"),0,IF(COUNTIFS(tTQMReguliDoc[Cheie_regula],S315,tTQMReguliDoc[Decl_conformitate],"Da")=1,1,0))</f>
        <v>0</v>
      </c>
      <c r="W315" s="22">
        <f>IF(OR(C315="",T315&lt;&gt;"Confirmata"),0,IF(COUNTIFS(tTQMReguliDoc[Cheie_regula],S315,tTQMReguliDoc[Decl_producator],"Da")=1,1,0))</f>
        <v>0</v>
      </c>
      <c r="X315" s="22">
        <f>IF(OR(C315="",T315&lt;&gt;"Confirmata"),0,IF(COUNTIFS(tTQMReguliDoc[Cheie_regula],S315,tTQMReguliDoc[Fise_tehnice],"Da")=1,1,0))</f>
        <v>0</v>
      </c>
      <c r="Y315" s="22" t="str">
        <f t="shared" si="24"/>
        <v/>
      </c>
      <c r="Z315" s="22"/>
      <c r="AA315" s="22"/>
    </row>
    <row r="316" spans="1:27" ht="15" customHeight="1">
      <c r="A316" s="30"/>
      <c r="B316" s="31"/>
      <c r="C316" s="30"/>
      <c r="D316" s="30"/>
      <c r="E316" s="30"/>
      <c r="F316" s="32" t="str">
        <f t="shared" si="20"/>
        <v/>
      </c>
      <c r="G316" s="30"/>
      <c r="H316" s="30"/>
      <c r="I316" s="30"/>
      <c r="J316" s="32" t="str">
        <f t="shared" si="21"/>
        <v/>
      </c>
      <c r="K316" s="30" t="str">
        <f t="shared" si="22"/>
        <v/>
      </c>
      <c r="L316" s="30"/>
      <c r="M316" s="30"/>
      <c r="N316" s="22"/>
      <c r="O316" s="25"/>
      <c r="P316" s="26"/>
      <c r="Q316" s="22"/>
      <c r="R316" s="22"/>
      <c r="S316" s="22" t="str">
        <f t="shared" si="23"/>
        <v/>
      </c>
      <c r="T316" s="22" t="str">
        <f>IF(C316="","",IF(COUNTIF(tTQMReguliDoc[Cheie_regula],S316)&lt;&gt;1,"REGULA NECONFIGURATA",IF(COUNTIFS(tTQMReguliDoc[Cheie_regula],S316,tTQMReguliDoc[Stare],"Confirmata")=1,"Confirmata","De confirmat")))</f>
        <v/>
      </c>
      <c r="U316" s="22">
        <f>IF(OR(C316="",T316&lt;&gt;"Confirmata"),0,IF(COUNTIFS(tTQMReguliDoc[Cheie_regula],S316,tTQMReguliDoc[Aviz],"Da")=1,1,0))</f>
        <v>0</v>
      </c>
      <c r="V316" s="22">
        <f>IF(OR(C316="",T316&lt;&gt;"Confirmata"),0,IF(COUNTIFS(tTQMReguliDoc[Cheie_regula],S316,tTQMReguliDoc[Decl_conformitate],"Da")=1,1,0))</f>
        <v>0</v>
      </c>
      <c r="W316" s="22">
        <f>IF(OR(C316="",T316&lt;&gt;"Confirmata"),0,IF(COUNTIFS(tTQMReguliDoc[Cheie_regula],S316,tTQMReguliDoc[Decl_producator],"Da")=1,1,0))</f>
        <v>0</v>
      </c>
      <c r="X316" s="22">
        <f>IF(OR(C316="",T316&lt;&gt;"Confirmata"),0,IF(COUNTIFS(tTQMReguliDoc[Cheie_regula],S316,tTQMReguliDoc[Fise_tehnice],"Da")=1,1,0))</f>
        <v>0</v>
      </c>
      <c r="Y316" s="22" t="str">
        <f t="shared" si="24"/>
        <v/>
      </c>
      <c r="Z316" s="22"/>
      <c r="AA316" s="22"/>
    </row>
    <row r="317" spans="1:27" ht="15" customHeight="1">
      <c r="A317" s="30"/>
      <c r="B317" s="31"/>
      <c r="C317" s="30"/>
      <c r="D317" s="30"/>
      <c r="E317" s="30"/>
      <c r="F317" s="32" t="str">
        <f t="shared" si="20"/>
        <v/>
      </c>
      <c r="G317" s="30"/>
      <c r="H317" s="30"/>
      <c r="I317" s="30"/>
      <c r="J317" s="32" t="str">
        <f t="shared" si="21"/>
        <v/>
      </c>
      <c r="K317" s="30" t="str">
        <f t="shared" si="22"/>
        <v/>
      </c>
      <c r="L317" s="30"/>
      <c r="M317" s="30"/>
      <c r="N317" s="22"/>
      <c r="O317" s="25"/>
      <c r="P317" s="26"/>
      <c r="Q317" s="22"/>
      <c r="R317" s="22"/>
      <c r="S317" s="22" t="str">
        <f t="shared" si="23"/>
        <v/>
      </c>
      <c r="T317" s="22" t="str">
        <f>IF(C317="","",IF(COUNTIF(tTQMReguliDoc[Cheie_regula],S317)&lt;&gt;1,"REGULA NECONFIGURATA",IF(COUNTIFS(tTQMReguliDoc[Cheie_regula],S317,tTQMReguliDoc[Stare],"Confirmata")=1,"Confirmata","De confirmat")))</f>
        <v/>
      </c>
      <c r="U317" s="22">
        <f>IF(OR(C317="",T317&lt;&gt;"Confirmata"),0,IF(COUNTIFS(tTQMReguliDoc[Cheie_regula],S317,tTQMReguliDoc[Aviz],"Da")=1,1,0))</f>
        <v>0</v>
      </c>
      <c r="V317" s="22">
        <f>IF(OR(C317="",T317&lt;&gt;"Confirmata"),0,IF(COUNTIFS(tTQMReguliDoc[Cheie_regula],S317,tTQMReguliDoc[Decl_conformitate],"Da")=1,1,0))</f>
        <v>0</v>
      </c>
      <c r="W317" s="22">
        <f>IF(OR(C317="",T317&lt;&gt;"Confirmata"),0,IF(COUNTIFS(tTQMReguliDoc[Cheie_regula],S317,tTQMReguliDoc[Decl_producator],"Da")=1,1,0))</f>
        <v>0</v>
      </c>
      <c r="X317" s="22">
        <f>IF(OR(C317="",T317&lt;&gt;"Confirmata"),0,IF(COUNTIFS(tTQMReguliDoc[Cheie_regula],S317,tTQMReguliDoc[Fise_tehnice],"Da")=1,1,0))</f>
        <v>0</v>
      </c>
      <c r="Y317" s="22" t="str">
        <f t="shared" si="24"/>
        <v/>
      </c>
      <c r="Z317" s="22"/>
      <c r="AA317" s="22"/>
    </row>
    <row r="318" spans="1:27" ht="15" customHeight="1">
      <c r="A318" s="30"/>
      <c r="B318" s="31"/>
      <c r="C318" s="30"/>
      <c r="D318" s="30"/>
      <c r="E318" s="30"/>
      <c r="F318" s="32" t="str">
        <f t="shared" si="20"/>
        <v/>
      </c>
      <c r="G318" s="30"/>
      <c r="H318" s="30"/>
      <c r="I318" s="30"/>
      <c r="J318" s="32" t="str">
        <f t="shared" si="21"/>
        <v/>
      </c>
      <c r="K318" s="30" t="str">
        <f t="shared" si="22"/>
        <v/>
      </c>
      <c r="L318" s="30"/>
      <c r="M318" s="30"/>
      <c r="N318" s="22"/>
      <c r="O318" s="25"/>
      <c r="P318" s="26"/>
      <c r="Q318" s="22"/>
      <c r="R318" s="22"/>
      <c r="S318" s="22" t="str">
        <f t="shared" si="23"/>
        <v/>
      </c>
      <c r="T318" s="22" t="str">
        <f>IF(C318="","",IF(COUNTIF(tTQMReguliDoc[Cheie_regula],S318)&lt;&gt;1,"REGULA NECONFIGURATA",IF(COUNTIFS(tTQMReguliDoc[Cheie_regula],S318,tTQMReguliDoc[Stare],"Confirmata")=1,"Confirmata","De confirmat")))</f>
        <v/>
      </c>
      <c r="U318" s="22">
        <f>IF(OR(C318="",T318&lt;&gt;"Confirmata"),0,IF(COUNTIFS(tTQMReguliDoc[Cheie_regula],S318,tTQMReguliDoc[Aviz],"Da")=1,1,0))</f>
        <v>0</v>
      </c>
      <c r="V318" s="22">
        <f>IF(OR(C318="",T318&lt;&gt;"Confirmata"),0,IF(COUNTIFS(tTQMReguliDoc[Cheie_regula],S318,tTQMReguliDoc[Decl_conformitate],"Da")=1,1,0))</f>
        <v>0</v>
      </c>
      <c r="W318" s="22">
        <f>IF(OR(C318="",T318&lt;&gt;"Confirmata"),0,IF(COUNTIFS(tTQMReguliDoc[Cheie_regula],S318,tTQMReguliDoc[Decl_producator],"Da")=1,1,0))</f>
        <v>0</v>
      </c>
      <c r="X318" s="22">
        <f>IF(OR(C318="",T318&lt;&gt;"Confirmata"),0,IF(COUNTIFS(tTQMReguliDoc[Cheie_regula],S318,tTQMReguliDoc[Fise_tehnice],"Da")=1,1,0))</f>
        <v>0</v>
      </c>
      <c r="Y318" s="22" t="str">
        <f t="shared" si="24"/>
        <v/>
      </c>
      <c r="Z318" s="22"/>
      <c r="AA318" s="22"/>
    </row>
    <row r="319" spans="1:27" ht="15" customHeight="1">
      <c r="A319" s="30"/>
      <c r="B319" s="31"/>
      <c r="C319" s="30"/>
      <c r="D319" s="30"/>
      <c r="E319" s="30"/>
      <c r="F319" s="32" t="str">
        <f t="shared" si="20"/>
        <v/>
      </c>
      <c r="G319" s="30"/>
      <c r="H319" s="30"/>
      <c r="I319" s="30"/>
      <c r="J319" s="32" t="str">
        <f t="shared" si="21"/>
        <v/>
      </c>
      <c r="K319" s="30" t="str">
        <f t="shared" si="22"/>
        <v/>
      </c>
      <c r="L319" s="30"/>
      <c r="M319" s="30"/>
      <c r="N319" s="22"/>
      <c r="O319" s="25"/>
      <c r="P319" s="26"/>
      <c r="Q319" s="22"/>
      <c r="R319" s="22"/>
      <c r="S319" s="22" t="str">
        <f t="shared" si="23"/>
        <v/>
      </c>
      <c r="T319" s="22" t="str">
        <f>IF(C319="","",IF(COUNTIF(tTQMReguliDoc[Cheie_regula],S319)&lt;&gt;1,"REGULA NECONFIGURATA",IF(COUNTIFS(tTQMReguliDoc[Cheie_regula],S319,tTQMReguliDoc[Stare],"Confirmata")=1,"Confirmata","De confirmat")))</f>
        <v/>
      </c>
      <c r="U319" s="22">
        <f>IF(OR(C319="",T319&lt;&gt;"Confirmata"),0,IF(COUNTIFS(tTQMReguliDoc[Cheie_regula],S319,tTQMReguliDoc[Aviz],"Da")=1,1,0))</f>
        <v>0</v>
      </c>
      <c r="V319" s="22">
        <f>IF(OR(C319="",T319&lt;&gt;"Confirmata"),0,IF(COUNTIFS(tTQMReguliDoc[Cheie_regula],S319,tTQMReguliDoc[Decl_conformitate],"Da")=1,1,0))</f>
        <v>0</v>
      </c>
      <c r="W319" s="22">
        <f>IF(OR(C319="",T319&lt;&gt;"Confirmata"),0,IF(COUNTIFS(tTQMReguliDoc[Cheie_regula],S319,tTQMReguliDoc[Decl_producator],"Da")=1,1,0))</f>
        <v>0</v>
      </c>
      <c r="X319" s="22">
        <f>IF(OR(C319="",T319&lt;&gt;"Confirmata"),0,IF(COUNTIFS(tTQMReguliDoc[Cheie_regula],S319,tTQMReguliDoc[Fise_tehnice],"Da")=1,1,0))</f>
        <v>0</v>
      </c>
      <c r="Y319" s="22" t="str">
        <f t="shared" si="24"/>
        <v/>
      </c>
      <c r="Z319" s="22"/>
      <c r="AA319" s="22"/>
    </row>
    <row r="320" spans="1:27" ht="15" customHeight="1">
      <c r="A320" s="30"/>
      <c r="B320" s="31"/>
      <c r="C320" s="30"/>
      <c r="D320" s="30"/>
      <c r="E320" s="30"/>
      <c r="F320" s="32" t="str">
        <f t="shared" si="20"/>
        <v/>
      </c>
      <c r="G320" s="30"/>
      <c r="H320" s="30"/>
      <c r="I320" s="30"/>
      <c r="J320" s="32" t="str">
        <f t="shared" si="21"/>
        <v/>
      </c>
      <c r="K320" s="30" t="str">
        <f t="shared" si="22"/>
        <v/>
      </c>
      <c r="L320" s="30"/>
      <c r="M320" s="30"/>
      <c r="N320" s="22"/>
      <c r="O320" s="25"/>
      <c r="P320" s="26"/>
      <c r="Q320" s="22"/>
      <c r="R320" s="22"/>
      <c r="S320" s="22" t="str">
        <f t="shared" si="23"/>
        <v/>
      </c>
      <c r="T320" s="22" t="str">
        <f>IF(C320="","",IF(COUNTIF(tTQMReguliDoc[Cheie_regula],S320)&lt;&gt;1,"REGULA NECONFIGURATA",IF(COUNTIFS(tTQMReguliDoc[Cheie_regula],S320,tTQMReguliDoc[Stare],"Confirmata")=1,"Confirmata","De confirmat")))</f>
        <v/>
      </c>
      <c r="U320" s="22">
        <f>IF(OR(C320="",T320&lt;&gt;"Confirmata"),0,IF(COUNTIFS(tTQMReguliDoc[Cheie_regula],S320,tTQMReguliDoc[Aviz],"Da")=1,1,0))</f>
        <v>0</v>
      </c>
      <c r="V320" s="22">
        <f>IF(OR(C320="",T320&lt;&gt;"Confirmata"),0,IF(COUNTIFS(tTQMReguliDoc[Cheie_regula],S320,tTQMReguliDoc[Decl_conformitate],"Da")=1,1,0))</f>
        <v>0</v>
      </c>
      <c r="W320" s="22">
        <f>IF(OR(C320="",T320&lt;&gt;"Confirmata"),0,IF(COUNTIFS(tTQMReguliDoc[Cheie_regula],S320,tTQMReguliDoc[Decl_producator],"Da")=1,1,0))</f>
        <v>0</v>
      </c>
      <c r="X320" s="22">
        <f>IF(OR(C320="",T320&lt;&gt;"Confirmata"),0,IF(COUNTIFS(tTQMReguliDoc[Cheie_regula],S320,tTQMReguliDoc[Fise_tehnice],"Da")=1,1,0))</f>
        <v>0</v>
      </c>
      <c r="Y320" s="22" t="str">
        <f t="shared" si="24"/>
        <v/>
      </c>
      <c r="Z320" s="22"/>
      <c r="AA320" s="22"/>
    </row>
    <row r="321" spans="1:27" ht="15" customHeight="1">
      <c r="A321" s="30"/>
      <c r="B321" s="31"/>
      <c r="C321" s="30"/>
      <c r="D321" s="30"/>
      <c r="E321" s="30"/>
      <c r="F321" s="32" t="str">
        <f t="shared" si="20"/>
        <v/>
      </c>
      <c r="G321" s="30"/>
      <c r="H321" s="30"/>
      <c r="I321" s="30"/>
      <c r="J321" s="32" t="str">
        <f t="shared" si="21"/>
        <v/>
      </c>
      <c r="K321" s="30" t="str">
        <f t="shared" si="22"/>
        <v/>
      </c>
      <c r="L321" s="30"/>
      <c r="M321" s="30"/>
      <c r="N321" s="22"/>
      <c r="O321" s="25"/>
      <c r="P321" s="26"/>
      <c r="Q321" s="22"/>
      <c r="R321" s="22"/>
      <c r="S321" s="22" t="str">
        <f t="shared" si="23"/>
        <v/>
      </c>
      <c r="T321" s="22" t="str">
        <f>IF(C321="","",IF(COUNTIF(tTQMReguliDoc[Cheie_regula],S321)&lt;&gt;1,"REGULA NECONFIGURATA",IF(COUNTIFS(tTQMReguliDoc[Cheie_regula],S321,tTQMReguliDoc[Stare],"Confirmata")=1,"Confirmata","De confirmat")))</f>
        <v/>
      </c>
      <c r="U321" s="22">
        <f>IF(OR(C321="",T321&lt;&gt;"Confirmata"),0,IF(COUNTIFS(tTQMReguliDoc[Cheie_regula],S321,tTQMReguliDoc[Aviz],"Da")=1,1,0))</f>
        <v>0</v>
      </c>
      <c r="V321" s="22">
        <f>IF(OR(C321="",T321&lt;&gt;"Confirmata"),0,IF(COUNTIFS(tTQMReguliDoc[Cheie_regula],S321,tTQMReguliDoc[Decl_conformitate],"Da")=1,1,0))</f>
        <v>0</v>
      </c>
      <c r="W321" s="22">
        <f>IF(OR(C321="",T321&lt;&gt;"Confirmata"),0,IF(COUNTIFS(tTQMReguliDoc[Cheie_regula],S321,tTQMReguliDoc[Decl_producator],"Da")=1,1,0))</f>
        <v>0</v>
      </c>
      <c r="X321" s="22">
        <f>IF(OR(C321="",T321&lt;&gt;"Confirmata"),0,IF(COUNTIFS(tTQMReguliDoc[Cheie_regula],S321,tTQMReguliDoc[Fise_tehnice],"Da")=1,1,0))</f>
        <v>0</v>
      </c>
      <c r="Y321" s="22" t="str">
        <f t="shared" si="24"/>
        <v/>
      </c>
      <c r="Z321" s="22"/>
      <c r="AA321" s="22"/>
    </row>
    <row r="322" spans="1:27" ht="15" customHeight="1">
      <c r="A322" s="30"/>
      <c r="B322" s="31"/>
      <c r="C322" s="30"/>
      <c r="D322" s="30"/>
      <c r="E322" s="30"/>
      <c r="F322" s="32" t="str">
        <f t="shared" si="20"/>
        <v/>
      </c>
      <c r="G322" s="30"/>
      <c r="H322" s="30"/>
      <c r="I322" s="30"/>
      <c r="J322" s="32" t="str">
        <f t="shared" si="21"/>
        <v/>
      </c>
      <c r="K322" s="30" t="str">
        <f t="shared" si="22"/>
        <v/>
      </c>
      <c r="L322" s="30"/>
      <c r="M322" s="30"/>
      <c r="N322" s="22"/>
      <c r="O322" s="25"/>
      <c r="P322" s="26"/>
      <c r="Q322" s="22"/>
      <c r="R322" s="22"/>
      <c r="S322" s="22" t="str">
        <f t="shared" si="23"/>
        <v/>
      </c>
      <c r="T322" s="22" t="str">
        <f>IF(C322="","",IF(COUNTIF(tTQMReguliDoc[Cheie_regula],S322)&lt;&gt;1,"REGULA NECONFIGURATA",IF(COUNTIFS(tTQMReguliDoc[Cheie_regula],S322,tTQMReguliDoc[Stare],"Confirmata")=1,"Confirmata","De confirmat")))</f>
        <v/>
      </c>
      <c r="U322" s="22">
        <f>IF(OR(C322="",T322&lt;&gt;"Confirmata"),0,IF(COUNTIFS(tTQMReguliDoc[Cheie_regula],S322,tTQMReguliDoc[Aviz],"Da")=1,1,0))</f>
        <v>0</v>
      </c>
      <c r="V322" s="22">
        <f>IF(OR(C322="",T322&lt;&gt;"Confirmata"),0,IF(COUNTIFS(tTQMReguliDoc[Cheie_regula],S322,tTQMReguliDoc[Decl_conformitate],"Da")=1,1,0))</f>
        <v>0</v>
      </c>
      <c r="W322" s="22">
        <f>IF(OR(C322="",T322&lt;&gt;"Confirmata"),0,IF(COUNTIFS(tTQMReguliDoc[Cheie_regula],S322,tTQMReguliDoc[Decl_producator],"Da")=1,1,0))</f>
        <v>0</v>
      </c>
      <c r="X322" s="22">
        <f>IF(OR(C322="",T322&lt;&gt;"Confirmata"),0,IF(COUNTIFS(tTQMReguliDoc[Cheie_regula],S322,tTQMReguliDoc[Fise_tehnice],"Da")=1,1,0))</f>
        <v>0</v>
      </c>
      <c r="Y322" s="22" t="str">
        <f t="shared" si="24"/>
        <v/>
      </c>
      <c r="Z322" s="22"/>
      <c r="AA322" s="22"/>
    </row>
    <row r="323" spans="1:27" ht="15" customHeight="1">
      <c r="A323" s="30"/>
      <c r="B323" s="31"/>
      <c r="C323" s="30"/>
      <c r="D323" s="30"/>
      <c r="E323" s="30"/>
      <c r="F323" s="32" t="str">
        <f t="shared" si="20"/>
        <v/>
      </c>
      <c r="G323" s="30"/>
      <c r="H323" s="30"/>
      <c r="I323" s="30"/>
      <c r="J323" s="32" t="str">
        <f t="shared" si="21"/>
        <v/>
      </c>
      <c r="K323" s="30" t="str">
        <f t="shared" si="22"/>
        <v/>
      </c>
      <c r="L323" s="30"/>
      <c r="M323" s="30"/>
      <c r="N323" s="22"/>
      <c r="O323" s="25"/>
      <c r="P323" s="26"/>
      <c r="Q323" s="22"/>
      <c r="R323" s="22"/>
      <c r="S323" s="22" t="str">
        <f t="shared" si="23"/>
        <v/>
      </c>
      <c r="T323" s="22" t="str">
        <f>IF(C323="","",IF(COUNTIF(tTQMReguliDoc[Cheie_regula],S323)&lt;&gt;1,"REGULA NECONFIGURATA",IF(COUNTIFS(tTQMReguliDoc[Cheie_regula],S323,tTQMReguliDoc[Stare],"Confirmata")=1,"Confirmata","De confirmat")))</f>
        <v/>
      </c>
      <c r="U323" s="22">
        <f>IF(OR(C323="",T323&lt;&gt;"Confirmata"),0,IF(COUNTIFS(tTQMReguliDoc[Cheie_regula],S323,tTQMReguliDoc[Aviz],"Da")=1,1,0))</f>
        <v>0</v>
      </c>
      <c r="V323" s="22">
        <f>IF(OR(C323="",T323&lt;&gt;"Confirmata"),0,IF(COUNTIFS(tTQMReguliDoc[Cheie_regula],S323,tTQMReguliDoc[Decl_conformitate],"Da")=1,1,0))</f>
        <v>0</v>
      </c>
      <c r="W323" s="22">
        <f>IF(OR(C323="",T323&lt;&gt;"Confirmata"),0,IF(COUNTIFS(tTQMReguliDoc[Cheie_regula],S323,tTQMReguliDoc[Decl_producator],"Da")=1,1,0))</f>
        <v>0</v>
      </c>
      <c r="X323" s="22">
        <f>IF(OR(C323="",T323&lt;&gt;"Confirmata"),0,IF(COUNTIFS(tTQMReguliDoc[Cheie_regula],S323,tTQMReguliDoc[Fise_tehnice],"Da")=1,1,0))</f>
        <v>0</v>
      </c>
      <c r="Y323" s="22" t="str">
        <f t="shared" si="24"/>
        <v/>
      </c>
      <c r="Z323" s="22"/>
      <c r="AA323" s="22"/>
    </row>
    <row r="324" spans="1:27" ht="15" customHeight="1">
      <c r="A324" s="30"/>
      <c r="B324" s="31"/>
      <c r="C324" s="30"/>
      <c r="D324" s="30"/>
      <c r="E324" s="30"/>
      <c r="F324" s="32" t="str">
        <f t="shared" si="20"/>
        <v/>
      </c>
      <c r="G324" s="30"/>
      <c r="H324" s="30"/>
      <c r="I324" s="30"/>
      <c r="J324" s="32" t="str">
        <f t="shared" si="21"/>
        <v/>
      </c>
      <c r="K324" s="30" t="str">
        <f t="shared" si="22"/>
        <v/>
      </c>
      <c r="L324" s="30"/>
      <c r="M324" s="30"/>
      <c r="N324" s="22"/>
      <c r="O324" s="25"/>
      <c r="P324" s="26"/>
      <c r="Q324" s="22"/>
      <c r="R324" s="22"/>
      <c r="S324" s="22" t="str">
        <f t="shared" si="23"/>
        <v/>
      </c>
      <c r="T324" s="22" t="str">
        <f>IF(C324="","",IF(COUNTIF(tTQMReguliDoc[Cheie_regula],S324)&lt;&gt;1,"REGULA NECONFIGURATA",IF(COUNTIFS(tTQMReguliDoc[Cheie_regula],S324,tTQMReguliDoc[Stare],"Confirmata")=1,"Confirmata","De confirmat")))</f>
        <v/>
      </c>
      <c r="U324" s="22">
        <f>IF(OR(C324="",T324&lt;&gt;"Confirmata"),0,IF(COUNTIFS(tTQMReguliDoc[Cheie_regula],S324,tTQMReguliDoc[Aviz],"Da")=1,1,0))</f>
        <v>0</v>
      </c>
      <c r="V324" s="22">
        <f>IF(OR(C324="",T324&lt;&gt;"Confirmata"),0,IF(COUNTIFS(tTQMReguliDoc[Cheie_regula],S324,tTQMReguliDoc[Decl_conformitate],"Da")=1,1,0))</f>
        <v>0</v>
      </c>
      <c r="W324" s="22">
        <f>IF(OR(C324="",T324&lt;&gt;"Confirmata"),0,IF(COUNTIFS(tTQMReguliDoc[Cheie_regula],S324,tTQMReguliDoc[Decl_producator],"Da")=1,1,0))</f>
        <v>0</v>
      </c>
      <c r="X324" s="22">
        <f>IF(OR(C324="",T324&lt;&gt;"Confirmata"),0,IF(COUNTIFS(tTQMReguliDoc[Cheie_regula],S324,tTQMReguliDoc[Fise_tehnice],"Da")=1,1,0))</f>
        <v>0</v>
      </c>
      <c r="Y324" s="22" t="str">
        <f t="shared" si="24"/>
        <v/>
      </c>
      <c r="Z324" s="22"/>
      <c r="AA324" s="22"/>
    </row>
    <row r="325" spans="1:27" ht="15" customHeight="1">
      <c r="A325" s="30"/>
      <c r="B325" s="31"/>
      <c r="C325" s="30"/>
      <c r="D325" s="30"/>
      <c r="E325" s="30"/>
      <c r="F325" s="32" t="str">
        <f t="shared" si="20"/>
        <v/>
      </c>
      <c r="G325" s="30"/>
      <c r="H325" s="30"/>
      <c r="I325" s="30"/>
      <c r="J325" s="32" t="str">
        <f t="shared" si="21"/>
        <v/>
      </c>
      <c r="K325" s="30" t="str">
        <f t="shared" si="22"/>
        <v/>
      </c>
      <c r="L325" s="30"/>
      <c r="M325" s="30"/>
      <c r="N325" s="22"/>
      <c r="O325" s="25"/>
      <c r="P325" s="26"/>
      <c r="Q325" s="22"/>
      <c r="R325" s="22"/>
      <c r="S325" s="22" t="str">
        <f t="shared" si="23"/>
        <v/>
      </c>
      <c r="T325" s="22" t="str">
        <f>IF(C325="","",IF(COUNTIF(tTQMReguliDoc[Cheie_regula],S325)&lt;&gt;1,"REGULA NECONFIGURATA",IF(COUNTIFS(tTQMReguliDoc[Cheie_regula],S325,tTQMReguliDoc[Stare],"Confirmata")=1,"Confirmata","De confirmat")))</f>
        <v/>
      </c>
      <c r="U325" s="22">
        <f>IF(OR(C325="",T325&lt;&gt;"Confirmata"),0,IF(COUNTIFS(tTQMReguliDoc[Cheie_regula],S325,tTQMReguliDoc[Aviz],"Da")=1,1,0))</f>
        <v>0</v>
      </c>
      <c r="V325" s="22">
        <f>IF(OR(C325="",T325&lt;&gt;"Confirmata"),0,IF(COUNTIFS(tTQMReguliDoc[Cheie_regula],S325,tTQMReguliDoc[Decl_conformitate],"Da")=1,1,0))</f>
        <v>0</v>
      </c>
      <c r="W325" s="22">
        <f>IF(OR(C325="",T325&lt;&gt;"Confirmata"),0,IF(COUNTIFS(tTQMReguliDoc[Cheie_regula],S325,tTQMReguliDoc[Decl_producator],"Da")=1,1,0))</f>
        <v>0</v>
      </c>
      <c r="X325" s="22">
        <f>IF(OR(C325="",T325&lt;&gt;"Confirmata"),0,IF(COUNTIFS(tTQMReguliDoc[Cheie_regula],S325,tTQMReguliDoc[Fise_tehnice],"Da")=1,1,0))</f>
        <v>0</v>
      </c>
      <c r="Y325" s="22" t="str">
        <f t="shared" si="24"/>
        <v/>
      </c>
      <c r="Z325" s="22"/>
      <c r="AA325" s="22"/>
    </row>
    <row r="326" spans="1:27" ht="15" customHeight="1">
      <c r="A326" s="30"/>
      <c r="B326" s="31"/>
      <c r="C326" s="30"/>
      <c r="D326" s="30"/>
      <c r="E326" s="30"/>
      <c r="F326" s="32" t="str">
        <f t="shared" si="20"/>
        <v/>
      </c>
      <c r="G326" s="30"/>
      <c r="H326" s="30"/>
      <c r="I326" s="30"/>
      <c r="J326" s="32" t="str">
        <f t="shared" si="21"/>
        <v/>
      </c>
      <c r="K326" s="30" t="str">
        <f t="shared" si="22"/>
        <v/>
      </c>
      <c r="L326" s="30"/>
      <c r="M326" s="30"/>
      <c r="N326" s="22"/>
      <c r="O326" s="25"/>
      <c r="P326" s="26"/>
      <c r="Q326" s="22"/>
      <c r="R326" s="22"/>
      <c r="S326" s="22" t="str">
        <f t="shared" si="23"/>
        <v/>
      </c>
      <c r="T326" s="22" t="str">
        <f>IF(C326="","",IF(COUNTIF(tTQMReguliDoc[Cheie_regula],S326)&lt;&gt;1,"REGULA NECONFIGURATA",IF(COUNTIFS(tTQMReguliDoc[Cheie_regula],S326,tTQMReguliDoc[Stare],"Confirmata")=1,"Confirmata","De confirmat")))</f>
        <v/>
      </c>
      <c r="U326" s="22">
        <f>IF(OR(C326="",T326&lt;&gt;"Confirmata"),0,IF(COUNTIFS(tTQMReguliDoc[Cheie_regula],S326,tTQMReguliDoc[Aviz],"Da")=1,1,0))</f>
        <v>0</v>
      </c>
      <c r="V326" s="22">
        <f>IF(OR(C326="",T326&lt;&gt;"Confirmata"),0,IF(COUNTIFS(tTQMReguliDoc[Cheie_regula],S326,tTQMReguliDoc[Decl_conformitate],"Da")=1,1,0))</f>
        <v>0</v>
      </c>
      <c r="W326" s="22">
        <f>IF(OR(C326="",T326&lt;&gt;"Confirmata"),0,IF(COUNTIFS(tTQMReguliDoc[Cheie_regula],S326,tTQMReguliDoc[Decl_producator],"Da")=1,1,0))</f>
        <v>0</v>
      </c>
      <c r="X326" s="22">
        <f>IF(OR(C326="",T326&lt;&gt;"Confirmata"),0,IF(COUNTIFS(tTQMReguliDoc[Cheie_regula],S326,tTQMReguliDoc[Fise_tehnice],"Da")=1,1,0))</f>
        <v>0</v>
      </c>
      <c r="Y326" s="22" t="str">
        <f t="shared" si="24"/>
        <v/>
      </c>
      <c r="Z326" s="22"/>
      <c r="AA326" s="22"/>
    </row>
    <row r="327" spans="1:27" ht="15" customHeight="1">
      <c r="A327" s="30"/>
      <c r="B327" s="31"/>
      <c r="C327" s="30"/>
      <c r="D327" s="30"/>
      <c r="E327" s="30"/>
      <c r="F327" s="32" t="str">
        <f t="shared" si="20"/>
        <v/>
      </c>
      <c r="G327" s="30"/>
      <c r="H327" s="30"/>
      <c r="I327" s="30"/>
      <c r="J327" s="32" t="str">
        <f t="shared" si="21"/>
        <v/>
      </c>
      <c r="K327" s="30" t="str">
        <f t="shared" si="22"/>
        <v/>
      </c>
      <c r="L327" s="30"/>
      <c r="M327" s="30"/>
      <c r="N327" s="22"/>
      <c r="O327" s="25"/>
      <c r="P327" s="26"/>
      <c r="Q327" s="22"/>
      <c r="R327" s="22"/>
      <c r="S327" s="22" t="str">
        <f t="shared" si="23"/>
        <v/>
      </c>
      <c r="T327" s="22" t="str">
        <f>IF(C327="","",IF(COUNTIF(tTQMReguliDoc[Cheie_regula],S327)&lt;&gt;1,"REGULA NECONFIGURATA",IF(COUNTIFS(tTQMReguliDoc[Cheie_regula],S327,tTQMReguliDoc[Stare],"Confirmata")=1,"Confirmata","De confirmat")))</f>
        <v/>
      </c>
      <c r="U327" s="22">
        <f>IF(OR(C327="",T327&lt;&gt;"Confirmata"),0,IF(COUNTIFS(tTQMReguliDoc[Cheie_regula],S327,tTQMReguliDoc[Aviz],"Da")=1,1,0))</f>
        <v>0</v>
      </c>
      <c r="V327" s="22">
        <f>IF(OR(C327="",T327&lt;&gt;"Confirmata"),0,IF(COUNTIFS(tTQMReguliDoc[Cheie_regula],S327,tTQMReguliDoc[Decl_conformitate],"Da")=1,1,0))</f>
        <v>0</v>
      </c>
      <c r="W327" s="22">
        <f>IF(OR(C327="",T327&lt;&gt;"Confirmata"),0,IF(COUNTIFS(tTQMReguliDoc[Cheie_regula],S327,tTQMReguliDoc[Decl_producator],"Da")=1,1,0))</f>
        <v>0</v>
      </c>
      <c r="X327" s="22">
        <f>IF(OR(C327="",T327&lt;&gt;"Confirmata"),0,IF(COUNTIFS(tTQMReguliDoc[Cheie_regula],S327,tTQMReguliDoc[Fise_tehnice],"Da")=1,1,0))</f>
        <v>0</v>
      </c>
      <c r="Y327" s="22" t="str">
        <f t="shared" si="24"/>
        <v/>
      </c>
      <c r="Z327" s="22"/>
      <c r="AA327" s="22"/>
    </row>
    <row r="328" spans="1:27" ht="15" customHeight="1">
      <c r="A328" s="30"/>
      <c r="B328" s="31"/>
      <c r="C328" s="30"/>
      <c r="D328" s="30"/>
      <c r="E328" s="30"/>
      <c r="F328" s="32" t="str">
        <f t="shared" si="20"/>
        <v/>
      </c>
      <c r="G328" s="30"/>
      <c r="H328" s="30"/>
      <c r="I328" s="30"/>
      <c r="J328" s="32" t="str">
        <f t="shared" si="21"/>
        <v/>
      </c>
      <c r="K328" s="30" t="str">
        <f t="shared" si="22"/>
        <v/>
      </c>
      <c r="L328" s="30"/>
      <c r="M328" s="30"/>
      <c r="N328" s="22"/>
      <c r="O328" s="25"/>
      <c r="P328" s="26"/>
      <c r="Q328" s="22"/>
      <c r="R328" s="22"/>
      <c r="S328" s="22" t="str">
        <f t="shared" si="23"/>
        <v/>
      </c>
      <c r="T328" s="22" t="str">
        <f>IF(C328="","",IF(COUNTIF(tTQMReguliDoc[Cheie_regula],S328)&lt;&gt;1,"REGULA NECONFIGURATA",IF(COUNTIFS(tTQMReguliDoc[Cheie_regula],S328,tTQMReguliDoc[Stare],"Confirmata")=1,"Confirmata","De confirmat")))</f>
        <v/>
      </c>
      <c r="U328" s="22">
        <f>IF(OR(C328="",T328&lt;&gt;"Confirmata"),0,IF(COUNTIFS(tTQMReguliDoc[Cheie_regula],S328,tTQMReguliDoc[Aviz],"Da")=1,1,0))</f>
        <v>0</v>
      </c>
      <c r="V328" s="22">
        <f>IF(OR(C328="",T328&lt;&gt;"Confirmata"),0,IF(COUNTIFS(tTQMReguliDoc[Cheie_regula],S328,tTQMReguliDoc[Decl_conformitate],"Da")=1,1,0))</f>
        <v>0</v>
      </c>
      <c r="W328" s="22">
        <f>IF(OR(C328="",T328&lt;&gt;"Confirmata"),0,IF(COUNTIFS(tTQMReguliDoc[Cheie_regula],S328,tTQMReguliDoc[Decl_producator],"Da")=1,1,0))</f>
        <v>0</v>
      </c>
      <c r="X328" s="22">
        <f>IF(OR(C328="",T328&lt;&gt;"Confirmata"),0,IF(COUNTIFS(tTQMReguliDoc[Cheie_regula],S328,tTQMReguliDoc[Fise_tehnice],"Da")=1,1,0))</f>
        <v>0</v>
      </c>
      <c r="Y328" s="22" t="str">
        <f t="shared" si="24"/>
        <v/>
      </c>
      <c r="Z328" s="22"/>
      <c r="AA328" s="22"/>
    </row>
    <row r="329" spans="1:27" ht="15" customHeight="1">
      <c r="A329" s="30"/>
      <c r="B329" s="31"/>
      <c r="C329" s="30"/>
      <c r="D329" s="30"/>
      <c r="E329" s="30"/>
      <c r="F329" s="32" t="str">
        <f t="shared" si="20"/>
        <v/>
      </c>
      <c r="G329" s="30"/>
      <c r="H329" s="30"/>
      <c r="I329" s="30"/>
      <c r="J329" s="32" t="str">
        <f t="shared" si="21"/>
        <v/>
      </c>
      <c r="K329" s="30" t="str">
        <f t="shared" si="22"/>
        <v/>
      </c>
      <c r="L329" s="30"/>
      <c r="M329" s="30"/>
      <c r="N329" s="22"/>
      <c r="O329" s="25"/>
      <c r="P329" s="26"/>
      <c r="Q329" s="22"/>
      <c r="R329" s="22"/>
      <c r="S329" s="22" t="str">
        <f t="shared" si="23"/>
        <v/>
      </c>
      <c r="T329" s="22" t="str">
        <f>IF(C329="","",IF(COUNTIF(tTQMReguliDoc[Cheie_regula],S329)&lt;&gt;1,"REGULA NECONFIGURATA",IF(COUNTIFS(tTQMReguliDoc[Cheie_regula],S329,tTQMReguliDoc[Stare],"Confirmata")=1,"Confirmata","De confirmat")))</f>
        <v/>
      </c>
      <c r="U329" s="22">
        <f>IF(OR(C329="",T329&lt;&gt;"Confirmata"),0,IF(COUNTIFS(tTQMReguliDoc[Cheie_regula],S329,tTQMReguliDoc[Aviz],"Da")=1,1,0))</f>
        <v>0</v>
      </c>
      <c r="V329" s="22">
        <f>IF(OR(C329="",T329&lt;&gt;"Confirmata"),0,IF(COUNTIFS(tTQMReguliDoc[Cheie_regula],S329,tTQMReguliDoc[Decl_conformitate],"Da")=1,1,0))</f>
        <v>0</v>
      </c>
      <c r="W329" s="22">
        <f>IF(OR(C329="",T329&lt;&gt;"Confirmata"),0,IF(COUNTIFS(tTQMReguliDoc[Cheie_regula],S329,tTQMReguliDoc[Decl_producator],"Da")=1,1,0))</f>
        <v>0</v>
      </c>
      <c r="X329" s="22">
        <f>IF(OR(C329="",T329&lt;&gt;"Confirmata"),0,IF(COUNTIFS(tTQMReguliDoc[Cheie_regula],S329,tTQMReguliDoc[Fise_tehnice],"Da")=1,1,0))</f>
        <v>0</v>
      </c>
      <c r="Y329" s="22" t="str">
        <f t="shared" si="24"/>
        <v/>
      </c>
      <c r="Z329" s="22"/>
      <c r="AA329" s="22"/>
    </row>
    <row r="330" spans="1:27" ht="15" customHeight="1">
      <c r="A330" s="30"/>
      <c r="B330" s="31"/>
      <c r="C330" s="30"/>
      <c r="D330" s="30"/>
      <c r="E330" s="30"/>
      <c r="F330" s="32" t="str">
        <f t="shared" si="20"/>
        <v/>
      </c>
      <c r="G330" s="30"/>
      <c r="H330" s="30"/>
      <c r="I330" s="30"/>
      <c r="J330" s="32" t="str">
        <f t="shared" si="21"/>
        <v/>
      </c>
      <c r="K330" s="30" t="str">
        <f t="shared" si="22"/>
        <v/>
      </c>
      <c r="L330" s="30"/>
      <c r="M330" s="30"/>
      <c r="N330" s="22"/>
      <c r="O330" s="25"/>
      <c r="P330" s="26"/>
      <c r="Q330" s="22"/>
      <c r="R330" s="22"/>
      <c r="S330" s="22" t="str">
        <f t="shared" si="23"/>
        <v/>
      </c>
      <c r="T330" s="22" t="str">
        <f>IF(C330="","",IF(COUNTIF(tTQMReguliDoc[Cheie_regula],S330)&lt;&gt;1,"REGULA NECONFIGURATA",IF(COUNTIFS(tTQMReguliDoc[Cheie_regula],S330,tTQMReguliDoc[Stare],"Confirmata")=1,"Confirmata","De confirmat")))</f>
        <v/>
      </c>
      <c r="U330" s="22">
        <f>IF(OR(C330="",T330&lt;&gt;"Confirmata"),0,IF(COUNTIFS(tTQMReguliDoc[Cheie_regula],S330,tTQMReguliDoc[Aviz],"Da")=1,1,0))</f>
        <v>0</v>
      </c>
      <c r="V330" s="22">
        <f>IF(OR(C330="",T330&lt;&gt;"Confirmata"),0,IF(COUNTIFS(tTQMReguliDoc[Cheie_regula],S330,tTQMReguliDoc[Decl_conformitate],"Da")=1,1,0))</f>
        <v>0</v>
      </c>
      <c r="W330" s="22">
        <f>IF(OR(C330="",T330&lt;&gt;"Confirmata"),0,IF(COUNTIFS(tTQMReguliDoc[Cheie_regula],S330,tTQMReguliDoc[Decl_producator],"Da")=1,1,0))</f>
        <v>0</v>
      </c>
      <c r="X330" s="22">
        <f>IF(OR(C330="",T330&lt;&gt;"Confirmata"),0,IF(COUNTIFS(tTQMReguliDoc[Cheie_regula],S330,tTQMReguliDoc[Fise_tehnice],"Da")=1,1,0))</f>
        <v>0</v>
      </c>
      <c r="Y330" s="22" t="str">
        <f t="shared" si="24"/>
        <v/>
      </c>
      <c r="Z330" s="22"/>
      <c r="AA330" s="22"/>
    </row>
    <row r="331" spans="1:27" ht="15" customHeight="1">
      <c r="A331" s="30"/>
      <c r="B331" s="31"/>
      <c r="C331" s="30"/>
      <c r="D331" s="30"/>
      <c r="E331" s="30"/>
      <c r="F331" s="32" t="str">
        <f t="shared" si="20"/>
        <v/>
      </c>
      <c r="G331" s="30"/>
      <c r="H331" s="30"/>
      <c r="I331" s="30"/>
      <c r="J331" s="32" t="str">
        <f t="shared" si="21"/>
        <v/>
      </c>
      <c r="K331" s="30" t="str">
        <f t="shared" si="22"/>
        <v/>
      </c>
      <c r="L331" s="30"/>
      <c r="M331" s="30"/>
      <c r="N331" s="22"/>
      <c r="O331" s="25"/>
      <c r="P331" s="26"/>
      <c r="Q331" s="22"/>
      <c r="R331" s="22"/>
      <c r="S331" s="22" t="str">
        <f t="shared" si="23"/>
        <v/>
      </c>
      <c r="T331" s="22" t="str">
        <f>IF(C331="","",IF(COUNTIF(tTQMReguliDoc[Cheie_regula],S331)&lt;&gt;1,"REGULA NECONFIGURATA",IF(COUNTIFS(tTQMReguliDoc[Cheie_regula],S331,tTQMReguliDoc[Stare],"Confirmata")=1,"Confirmata","De confirmat")))</f>
        <v/>
      </c>
      <c r="U331" s="22">
        <f>IF(OR(C331="",T331&lt;&gt;"Confirmata"),0,IF(COUNTIFS(tTQMReguliDoc[Cheie_regula],S331,tTQMReguliDoc[Aviz],"Da")=1,1,0))</f>
        <v>0</v>
      </c>
      <c r="V331" s="22">
        <f>IF(OR(C331="",T331&lt;&gt;"Confirmata"),0,IF(COUNTIFS(tTQMReguliDoc[Cheie_regula],S331,tTQMReguliDoc[Decl_conformitate],"Da")=1,1,0))</f>
        <v>0</v>
      </c>
      <c r="W331" s="22">
        <f>IF(OR(C331="",T331&lt;&gt;"Confirmata"),0,IF(COUNTIFS(tTQMReguliDoc[Cheie_regula],S331,tTQMReguliDoc[Decl_producator],"Da")=1,1,0))</f>
        <v>0</v>
      </c>
      <c r="X331" s="22">
        <f>IF(OR(C331="",T331&lt;&gt;"Confirmata"),0,IF(COUNTIFS(tTQMReguliDoc[Cheie_regula],S331,tTQMReguliDoc[Fise_tehnice],"Da")=1,1,0))</f>
        <v>0</v>
      </c>
      <c r="Y331" s="22" t="str">
        <f t="shared" si="24"/>
        <v/>
      </c>
      <c r="Z331" s="22"/>
      <c r="AA331" s="22"/>
    </row>
    <row r="332" spans="1:27" ht="15" customHeight="1">
      <c r="A332" s="30"/>
      <c r="B332" s="31"/>
      <c r="C332" s="30"/>
      <c r="D332" s="30"/>
      <c r="E332" s="30"/>
      <c r="F332" s="32" t="str">
        <f t="shared" si="20"/>
        <v/>
      </c>
      <c r="G332" s="30"/>
      <c r="H332" s="30"/>
      <c r="I332" s="30"/>
      <c r="J332" s="32" t="str">
        <f t="shared" si="21"/>
        <v/>
      </c>
      <c r="K332" s="30" t="str">
        <f t="shared" si="22"/>
        <v/>
      </c>
      <c r="L332" s="30"/>
      <c r="M332" s="30"/>
      <c r="N332" s="22"/>
      <c r="O332" s="25"/>
      <c r="P332" s="26"/>
      <c r="Q332" s="22"/>
      <c r="R332" s="22"/>
      <c r="S332" s="22" t="str">
        <f t="shared" si="23"/>
        <v/>
      </c>
      <c r="T332" s="22" t="str">
        <f>IF(C332="","",IF(COUNTIF(tTQMReguliDoc[Cheie_regula],S332)&lt;&gt;1,"REGULA NECONFIGURATA",IF(COUNTIFS(tTQMReguliDoc[Cheie_regula],S332,tTQMReguliDoc[Stare],"Confirmata")=1,"Confirmata","De confirmat")))</f>
        <v/>
      </c>
      <c r="U332" s="22">
        <f>IF(OR(C332="",T332&lt;&gt;"Confirmata"),0,IF(COUNTIFS(tTQMReguliDoc[Cheie_regula],S332,tTQMReguliDoc[Aviz],"Da")=1,1,0))</f>
        <v>0</v>
      </c>
      <c r="V332" s="22">
        <f>IF(OR(C332="",T332&lt;&gt;"Confirmata"),0,IF(COUNTIFS(tTQMReguliDoc[Cheie_regula],S332,tTQMReguliDoc[Decl_conformitate],"Da")=1,1,0))</f>
        <v>0</v>
      </c>
      <c r="W332" s="22">
        <f>IF(OR(C332="",T332&lt;&gt;"Confirmata"),0,IF(COUNTIFS(tTQMReguliDoc[Cheie_regula],S332,tTQMReguliDoc[Decl_producator],"Da")=1,1,0))</f>
        <v>0</v>
      </c>
      <c r="X332" s="22">
        <f>IF(OR(C332="",T332&lt;&gt;"Confirmata"),0,IF(COUNTIFS(tTQMReguliDoc[Cheie_regula],S332,tTQMReguliDoc[Fise_tehnice],"Da")=1,1,0))</f>
        <v>0</v>
      </c>
      <c r="Y332" s="22" t="str">
        <f t="shared" si="24"/>
        <v/>
      </c>
      <c r="Z332" s="22"/>
      <c r="AA332" s="22"/>
    </row>
    <row r="333" spans="1:27" ht="15" customHeight="1">
      <c r="A333" s="30"/>
      <c r="B333" s="31"/>
      <c r="C333" s="30"/>
      <c r="D333" s="30"/>
      <c r="E333" s="30"/>
      <c r="F333" s="32" t="str">
        <f t="shared" si="20"/>
        <v/>
      </c>
      <c r="G333" s="30"/>
      <c r="H333" s="30"/>
      <c r="I333" s="30"/>
      <c r="J333" s="32" t="str">
        <f t="shared" si="21"/>
        <v/>
      </c>
      <c r="K333" s="30" t="str">
        <f t="shared" si="22"/>
        <v/>
      </c>
      <c r="L333" s="30"/>
      <c r="M333" s="30"/>
      <c r="N333" s="22"/>
      <c r="O333" s="25"/>
      <c r="P333" s="26"/>
      <c r="Q333" s="22"/>
      <c r="R333" s="22"/>
      <c r="S333" s="22" t="str">
        <f t="shared" si="23"/>
        <v/>
      </c>
      <c r="T333" s="22" t="str">
        <f>IF(C333="","",IF(COUNTIF(tTQMReguliDoc[Cheie_regula],S333)&lt;&gt;1,"REGULA NECONFIGURATA",IF(COUNTIFS(tTQMReguliDoc[Cheie_regula],S333,tTQMReguliDoc[Stare],"Confirmata")=1,"Confirmata","De confirmat")))</f>
        <v/>
      </c>
      <c r="U333" s="22">
        <f>IF(OR(C333="",T333&lt;&gt;"Confirmata"),0,IF(COUNTIFS(tTQMReguliDoc[Cheie_regula],S333,tTQMReguliDoc[Aviz],"Da")=1,1,0))</f>
        <v>0</v>
      </c>
      <c r="V333" s="22">
        <f>IF(OR(C333="",T333&lt;&gt;"Confirmata"),0,IF(COUNTIFS(tTQMReguliDoc[Cheie_regula],S333,tTQMReguliDoc[Decl_conformitate],"Da")=1,1,0))</f>
        <v>0</v>
      </c>
      <c r="W333" s="22">
        <f>IF(OR(C333="",T333&lt;&gt;"Confirmata"),0,IF(COUNTIFS(tTQMReguliDoc[Cheie_regula],S333,tTQMReguliDoc[Decl_producator],"Da")=1,1,0))</f>
        <v>0</v>
      </c>
      <c r="X333" s="22">
        <f>IF(OR(C333="",T333&lt;&gt;"Confirmata"),0,IF(COUNTIFS(tTQMReguliDoc[Cheie_regula],S333,tTQMReguliDoc[Fise_tehnice],"Da")=1,1,0))</f>
        <v>0</v>
      </c>
      <c r="Y333" s="22" t="str">
        <f t="shared" si="24"/>
        <v/>
      </c>
      <c r="Z333" s="22"/>
      <c r="AA333" s="22"/>
    </row>
    <row r="334" spans="1:27" ht="15" customHeight="1">
      <c r="A334" s="30"/>
      <c r="B334" s="31"/>
      <c r="C334" s="30"/>
      <c r="D334" s="30"/>
      <c r="E334" s="30"/>
      <c r="F334" s="32" t="str">
        <f t="shared" ref="F334:F397" si="25">IF(C334="","",IF(T334&lt;&gt;"Confirmata","DE CONFIRMAT",IF(U334=1,"OBLIGATORIU AVIZ","NU")))</f>
        <v/>
      </c>
      <c r="G334" s="30"/>
      <c r="H334" s="30"/>
      <c r="I334" s="30"/>
      <c r="J334" s="32" t="str">
        <f t="shared" ref="J334:J397" si="26">IF(C334="","",IF(K334="","DOSAR COMPLET","INCOMPLET - VERIFICARE DOCUMENTE"))</f>
        <v/>
      </c>
      <c r="K334" s="30" t="str">
        <f t="shared" ref="K334:K397" si="27">IF(C334="","",IF(Y334="","",LEFT(Y334,LEN(Y334)-2)))</f>
        <v/>
      </c>
      <c r="L334" s="30"/>
      <c r="M334" s="30"/>
      <c r="N334" s="22"/>
      <c r="O334" s="25"/>
      <c r="P334" s="26"/>
      <c r="Q334" s="22"/>
      <c r="R334" s="22"/>
      <c r="S334" s="22" t="str">
        <f t="shared" ref="S334:S397" si="28">IF(C334="","",IF(LEFT(LOWER(D334),4)="furn","Furnizor",IF(LEFT(LOWER(D334),4)="prod","Producator",IF(LEFT(LOWER(D334),4)="pres","Prestator",IF(LEFT(LOWER(D334),3)="alt","Alt partener",D334))))&amp;"|"&amp;IF(LEFT(LOWER(E334),4)="doar","Doar Aviz",IF(LEFT(LOWER(E334),4)="fact","Factura",E334)))</f>
        <v/>
      </c>
      <c r="T334" s="22" t="str">
        <f>IF(C334="","",IF(COUNTIF(tTQMReguliDoc[Cheie_regula],S334)&lt;&gt;1,"REGULA NECONFIGURATA",IF(COUNTIFS(tTQMReguliDoc[Cheie_regula],S334,tTQMReguliDoc[Stare],"Confirmata")=1,"Confirmata","De confirmat")))</f>
        <v/>
      </c>
      <c r="U334" s="22">
        <f>IF(OR(C334="",T334&lt;&gt;"Confirmata"),0,IF(COUNTIFS(tTQMReguliDoc[Cheie_regula],S334,tTQMReguliDoc[Aviz],"Da")=1,1,0))</f>
        <v>0</v>
      </c>
      <c r="V334" s="22">
        <f>IF(OR(C334="",T334&lt;&gt;"Confirmata"),0,IF(COUNTIFS(tTQMReguliDoc[Cheie_regula],S334,tTQMReguliDoc[Decl_conformitate],"Da")=1,1,0))</f>
        <v>0</v>
      </c>
      <c r="W334" s="22">
        <f>IF(OR(C334="",T334&lt;&gt;"Confirmata"),0,IF(COUNTIFS(tTQMReguliDoc[Cheie_regula],S334,tTQMReguliDoc[Decl_producator],"Da")=1,1,0))</f>
        <v>0</v>
      </c>
      <c r="X334" s="22">
        <f>IF(OR(C334="",T334&lt;&gt;"Confirmata"),0,IF(COUNTIFS(tTQMReguliDoc[Cheie_regula],S334,tTQMReguliDoc[Fise_tehnice],"Da")=1,1,0))</f>
        <v>0</v>
      </c>
      <c r="Y334" s="22" t="str">
        <f t="shared" ref="Y334:Y397" si="29">IF(C334="","",IF(T334&lt;&gt;"Confirmata","Confirmati regulile documentelor; ",IF(AND(U334=1,Z334&lt;&gt;"Primit"),"Aviz; ","")&amp;IF(AND(V334=1,G334&lt;&gt;"Primit"),"Declaratie conformitate; ","")&amp;IF(AND(W334=1,H334&lt;&gt;"Primit"),"Declaratie producator; ","")&amp;IF(AND(X334=1,I334&lt;&gt;"Primit"),"Fise tehnice; ","")))</f>
        <v/>
      </c>
      <c r="Z334" s="22"/>
      <c r="AA334" s="22"/>
    </row>
    <row r="335" spans="1:27" ht="15" customHeight="1">
      <c r="A335" s="30"/>
      <c r="B335" s="31"/>
      <c r="C335" s="30"/>
      <c r="D335" s="30"/>
      <c r="E335" s="30"/>
      <c r="F335" s="32" t="str">
        <f t="shared" si="25"/>
        <v/>
      </c>
      <c r="G335" s="30"/>
      <c r="H335" s="30"/>
      <c r="I335" s="30"/>
      <c r="J335" s="32" t="str">
        <f t="shared" si="26"/>
        <v/>
      </c>
      <c r="K335" s="30" t="str">
        <f t="shared" si="27"/>
        <v/>
      </c>
      <c r="L335" s="30"/>
      <c r="M335" s="30"/>
      <c r="N335" s="22"/>
      <c r="O335" s="25"/>
      <c r="P335" s="26"/>
      <c r="Q335" s="22"/>
      <c r="R335" s="22"/>
      <c r="S335" s="22" t="str">
        <f t="shared" si="28"/>
        <v/>
      </c>
      <c r="T335" s="22" t="str">
        <f>IF(C335="","",IF(COUNTIF(tTQMReguliDoc[Cheie_regula],S335)&lt;&gt;1,"REGULA NECONFIGURATA",IF(COUNTIFS(tTQMReguliDoc[Cheie_regula],S335,tTQMReguliDoc[Stare],"Confirmata")=1,"Confirmata","De confirmat")))</f>
        <v/>
      </c>
      <c r="U335" s="22">
        <f>IF(OR(C335="",T335&lt;&gt;"Confirmata"),0,IF(COUNTIFS(tTQMReguliDoc[Cheie_regula],S335,tTQMReguliDoc[Aviz],"Da")=1,1,0))</f>
        <v>0</v>
      </c>
      <c r="V335" s="22">
        <f>IF(OR(C335="",T335&lt;&gt;"Confirmata"),0,IF(COUNTIFS(tTQMReguliDoc[Cheie_regula],S335,tTQMReguliDoc[Decl_conformitate],"Da")=1,1,0))</f>
        <v>0</v>
      </c>
      <c r="W335" s="22">
        <f>IF(OR(C335="",T335&lt;&gt;"Confirmata"),0,IF(COUNTIFS(tTQMReguliDoc[Cheie_regula],S335,tTQMReguliDoc[Decl_producator],"Da")=1,1,0))</f>
        <v>0</v>
      </c>
      <c r="X335" s="22">
        <f>IF(OR(C335="",T335&lt;&gt;"Confirmata"),0,IF(COUNTIFS(tTQMReguliDoc[Cheie_regula],S335,tTQMReguliDoc[Fise_tehnice],"Da")=1,1,0))</f>
        <v>0</v>
      </c>
      <c r="Y335" s="22" t="str">
        <f t="shared" si="29"/>
        <v/>
      </c>
      <c r="Z335" s="22"/>
      <c r="AA335" s="22"/>
    </row>
    <row r="336" spans="1:27" ht="15" customHeight="1">
      <c r="A336" s="30"/>
      <c r="B336" s="31"/>
      <c r="C336" s="30"/>
      <c r="D336" s="30"/>
      <c r="E336" s="30"/>
      <c r="F336" s="32" t="str">
        <f t="shared" si="25"/>
        <v/>
      </c>
      <c r="G336" s="30"/>
      <c r="H336" s="30"/>
      <c r="I336" s="30"/>
      <c r="J336" s="32" t="str">
        <f t="shared" si="26"/>
        <v/>
      </c>
      <c r="K336" s="30" t="str">
        <f t="shared" si="27"/>
        <v/>
      </c>
      <c r="L336" s="30"/>
      <c r="M336" s="30"/>
      <c r="N336" s="22"/>
      <c r="O336" s="25"/>
      <c r="P336" s="26"/>
      <c r="Q336" s="22"/>
      <c r="R336" s="22"/>
      <c r="S336" s="22" t="str">
        <f t="shared" si="28"/>
        <v/>
      </c>
      <c r="T336" s="22" t="str">
        <f>IF(C336="","",IF(COUNTIF(tTQMReguliDoc[Cheie_regula],S336)&lt;&gt;1,"REGULA NECONFIGURATA",IF(COUNTIFS(tTQMReguliDoc[Cheie_regula],S336,tTQMReguliDoc[Stare],"Confirmata")=1,"Confirmata","De confirmat")))</f>
        <v/>
      </c>
      <c r="U336" s="22">
        <f>IF(OR(C336="",T336&lt;&gt;"Confirmata"),0,IF(COUNTIFS(tTQMReguliDoc[Cheie_regula],S336,tTQMReguliDoc[Aviz],"Da")=1,1,0))</f>
        <v>0</v>
      </c>
      <c r="V336" s="22">
        <f>IF(OR(C336="",T336&lt;&gt;"Confirmata"),0,IF(COUNTIFS(tTQMReguliDoc[Cheie_regula],S336,tTQMReguliDoc[Decl_conformitate],"Da")=1,1,0))</f>
        <v>0</v>
      </c>
      <c r="W336" s="22">
        <f>IF(OR(C336="",T336&lt;&gt;"Confirmata"),0,IF(COUNTIFS(tTQMReguliDoc[Cheie_regula],S336,tTQMReguliDoc[Decl_producator],"Da")=1,1,0))</f>
        <v>0</v>
      </c>
      <c r="X336" s="22">
        <f>IF(OR(C336="",T336&lt;&gt;"Confirmata"),0,IF(COUNTIFS(tTQMReguliDoc[Cheie_regula],S336,tTQMReguliDoc[Fise_tehnice],"Da")=1,1,0))</f>
        <v>0</v>
      </c>
      <c r="Y336" s="22" t="str">
        <f t="shared" si="29"/>
        <v/>
      </c>
      <c r="Z336" s="22"/>
      <c r="AA336" s="22"/>
    </row>
    <row r="337" spans="1:27" ht="15" customHeight="1">
      <c r="A337" s="30"/>
      <c r="B337" s="31"/>
      <c r="C337" s="30"/>
      <c r="D337" s="30"/>
      <c r="E337" s="30"/>
      <c r="F337" s="32" t="str">
        <f t="shared" si="25"/>
        <v/>
      </c>
      <c r="G337" s="30"/>
      <c r="H337" s="30"/>
      <c r="I337" s="30"/>
      <c r="J337" s="32" t="str">
        <f t="shared" si="26"/>
        <v/>
      </c>
      <c r="K337" s="30" t="str">
        <f t="shared" si="27"/>
        <v/>
      </c>
      <c r="L337" s="30"/>
      <c r="M337" s="30"/>
      <c r="N337" s="22"/>
      <c r="O337" s="25"/>
      <c r="P337" s="26"/>
      <c r="Q337" s="22"/>
      <c r="R337" s="22"/>
      <c r="S337" s="22" t="str">
        <f t="shared" si="28"/>
        <v/>
      </c>
      <c r="T337" s="22" t="str">
        <f>IF(C337="","",IF(COUNTIF(tTQMReguliDoc[Cheie_regula],S337)&lt;&gt;1,"REGULA NECONFIGURATA",IF(COUNTIFS(tTQMReguliDoc[Cheie_regula],S337,tTQMReguliDoc[Stare],"Confirmata")=1,"Confirmata","De confirmat")))</f>
        <v/>
      </c>
      <c r="U337" s="22">
        <f>IF(OR(C337="",T337&lt;&gt;"Confirmata"),0,IF(COUNTIFS(tTQMReguliDoc[Cheie_regula],S337,tTQMReguliDoc[Aviz],"Da")=1,1,0))</f>
        <v>0</v>
      </c>
      <c r="V337" s="22">
        <f>IF(OR(C337="",T337&lt;&gt;"Confirmata"),0,IF(COUNTIFS(tTQMReguliDoc[Cheie_regula],S337,tTQMReguliDoc[Decl_conformitate],"Da")=1,1,0))</f>
        <v>0</v>
      </c>
      <c r="W337" s="22">
        <f>IF(OR(C337="",T337&lt;&gt;"Confirmata"),0,IF(COUNTIFS(tTQMReguliDoc[Cheie_regula],S337,tTQMReguliDoc[Decl_producator],"Da")=1,1,0))</f>
        <v>0</v>
      </c>
      <c r="X337" s="22">
        <f>IF(OR(C337="",T337&lt;&gt;"Confirmata"),0,IF(COUNTIFS(tTQMReguliDoc[Cheie_regula],S337,tTQMReguliDoc[Fise_tehnice],"Da")=1,1,0))</f>
        <v>0</v>
      </c>
      <c r="Y337" s="22" t="str">
        <f t="shared" si="29"/>
        <v/>
      </c>
      <c r="Z337" s="22"/>
      <c r="AA337" s="22"/>
    </row>
    <row r="338" spans="1:27" ht="15" customHeight="1">
      <c r="A338" s="30"/>
      <c r="B338" s="31"/>
      <c r="C338" s="30"/>
      <c r="D338" s="30"/>
      <c r="E338" s="30"/>
      <c r="F338" s="32" t="str">
        <f t="shared" si="25"/>
        <v/>
      </c>
      <c r="G338" s="30"/>
      <c r="H338" s="30"/>
      <c r="I338" s="30"/>
      <c r="J338" s="32" t="str">
        <f t="shared" si="26"/>
        <v/>
      </c>
      <c r="K338" s="30" t="str">
        <f t="shared" si="27"/>
        <v/>
      </c>
      <c r="L338" s="30"/>
      <c r="M338" s="30"/>
      <c r="N338" s="22"/>
      <c r="O338" s="25"/>
      <c r="P338" s="26"/>
      <c r="Q338" s="22"/>
      <c r="R338" s="22"/>
      <c r="S338" s="22" t="str">
        <f t="shared" si="28"/>
        <v/>
      </c>
      <c r="T338" s="22" t="str">
        <f>IF(C338="","",IF(COUNTIF(tTQMReguliDoc[Cheie_regula],S338)&lt;&gt;1,"REGULA NECONFIGURATA",IF(COUNTIFS(tTQMReguliDoc[Cheie_regula],S338,tTQMReguliDoc[Stare],"Confirmata")=1,"Confirmata","De confirmat")))</f>
        <v/>
      </c>
      <c r="U338" s="22">
        <f>IF(OR(C338="",T338&lt;&gt;"Confirmata"),0,IF(COUNTIFS(tTQMReguliDoc[Cheie_regula],S338,tTQMReguliDoc[Aviz],"Da")=1,1,0))</f>
        <v>0</v>
      </c>
      <c r="V338" s="22">
        <f>IF(OR(C338="",T338&lt;&gt;"Confirmata"),0,IF(COUNTIFS(tTQMReguliDoc[Cheie_regula],S338,tTQMReguliDoc[Decl_conformitate],"Da")=1,1,0))</f>
        <v>0</v>
      </c>
      <c r="W338" s="22">
        <f>IF(OR(C338="",T338&lt;&gt;"Confirmata"),0,IF(COUNTIFS(tTQMReguliDoc[Cheie_regula],S338,tTQMReguliDoc[Decl_producator],"Da")=1,1,0))</f>
        <v>0</v>
      </c>
      <c r="X338" s="22">
        <f>IF(OR(C338="",T338&lt;&gt;"Confirmata"),0,IF(COUNTIFS(tTQMReguliDoc[Cheie_regula],S338,tTQMReguliDoc[Fise_tehnice],"Da")=1,1,0))</f>
        <v>0</v>
      </c>
      <c r="Y338" s="22" t="str">
        <f t="shared" si="29"/>
        <v/>
      </c>
      <c r="Z338" s="22"/>
      <c r="AA338" s="22"/>
    </row>
    <row r="339" spans="1:27" ht="15" customHeight="1">
      <c r="A339" s="30"/>
      <c r="B339" s="31"/>
      <c r="C339" s="30"/>
      <c r="D339" s="30"/>
      <c r="E339" s="30"/>
      <c r="F339" s="32" t="str">
        <f t="shared" si="25"/>
        <v/>
      </c>
      <c r="G339" s="30"/>
      <c r="H339" s="30"/>
      <c r="I339" s="30"/>
      <c r="J339" s="32" t="str">
        <f t="shared" si="26"/>
        <v/>
      </c>
      <c r="K339" s="30" t="str">
        <f t="shared" si="27"/>
        <v/>
      </c>
      <c r="L339" s="30"/>
      <c r="M339" s="30"/>
      <c r="N339" s="22"/>
      <c r="O339" s="25"/>
      <c r="P339" s="26"/>
      <c r="Q339" s="22"/>
      <c r="R339" s="22"/>
      <c r="S339" s="22" t="str">
        <f t="shared" si="28"/>
        <v/>
      </c>
      <c r="T339" s="22" t="str">
        <f>IF(C339="","",IF(COUNTIF(tTQMReguliDoc[Cheie_regula],S339)&lt;&gt;1,"REGULA NECONFIGURATA",IF(COUNTIFS(tTQMReguliDoc[Cheie_regula],S339,tTQMReguliDoc[Stare],"Confirmata")=1,"Confirmata","De confirmat")))</f>
        <v/>
      </c>
      <c r="U339" s="22">
        <f>IF(OR(C339="",T339&lt;&gt;"Confirmata"),0,IF(COUNTIFS(tTQMReguliDoc[Cheie_regula],S339,tTQMReguliDoc[Aviz],"Da")=1,1,0))</f>
        <v>0</v>
      </c>
      <c r="V339" s="22">
        <f>IF(OR(C339="",T339&lt;&gt;"Confirmata"),0,IF(COUNTIFS(tTQMReguliDoc[Cheie_regula],S339,tTQMReguliDoc[Decl_conformitate],"Da")=1,1,0))</f>
        <v>0</v>
      </c>
      <c r="W339" s="22">
        <f>IF(OR(C339="",T339&lt;&gt;"Confirmata"),0,IF(COUNTIFS(tTQMReguliDoc[Cheie_regula],S339,tTQMReguliDoc[Decl_producator],"Da")=1,1,0))</f>
        <v>0</v>
      </c>
      <c r="X339" s="22">
        <f>IF(OR(C339="",T339&lt;&gt;"Confirmata"),0,IF(COUNTIFS(tTQMReguliDoc[Cheie_regula],S339,tTQMReguliDoc[Fise_tehnice],"Da")=1,1,0))</f>
        <v>0</v>
      </c>
      <c r="Y339" s="22" t="str">
        <f t="shared" si="29"/>
        <v/>
      </c>
      <c r="Z339" s="22"/>
      <c r="AA339" s="22"/>
    </row>
    <row r="340" spans="1:27" ht="15" customHeight="1">
      <c r="A340" s="30"/>
      <c r="B340" s="31"/>
      <c r="C340" s="30"/>
      <c r="D340" s="30"/>
      <c r="E340" s="30"/>
      <c r="F340" s="32" t="str">
        <f t="shared" si="25"/>
        <v/>
      </c>
      <c r="G340" s="30"/>
      <c r="H340" s="30"/>
      <c r="I340" s="30"/>
      <c r="J340" s="32" t="str">
        <f t="shared" si="26"/>
        <v/>
      </c>
      <c r="K340" s="30" t="str">
        <f t="shared" si="27"/>
        <v/>
      </c>
      <c r="L340" s="30"/>
      <c r="M340" s="30"/>
      <c r="N340" s="22"/>
      <c r="O340" s="25"/>
      <c r="P340" s="26"/>
      <c r="Q340" s="22"/>
      <c r="R340" s="22"/>
      <c r="S340" s="22" t="str">
        <f t="shared" si="28"/>
        <v/>
      </c>
      <c r="T340" s="22" t="str">
        <f>IF(C340="","",IF(COUNTIF(tTQMReguliDoc[Cheie_regula],S340)&lt;&gt;1,"REGULA NECONFIGURATA",IF(COUNTIFS(tTQMReguliDoc[Cheie_regula],S340,tTQMReguliDoc[Stare],"Confirmata")=1,"Confirmata","De confirmat")))</f>
        <v/>
      </c>
      <c r="U340" s="22">
        <f>IF(OR(C340="",T340&lt;&gt;"Confirmata"),0,IF(COUNTIFS(tTQMReguliDoc[Cheie_regula],S340,tTQMReguliDoc[Aviz],"Da")=1,1,0))</f>
        <v>0</v>
      </c>
      <c r="V340" s="22">
        <f>IF(OR(C340="",T340&lt;&gt;"Confirmata"),0,IF(COUNTIFS(tTQMReguliDoc[Cheie_regula],S340,tTQMReguliDoc[Decl_conformitate],"Da")=1,1,0))</f>
        <v>0</v>
      </c>
      <c r="W340" s="22">
        <f>IF(OR(C340="",T340&lt;&gt;"Confirmata"),0,IF(COUNTIFS(tTQMReguliDoc[Cheie_regula],S340,tTQMReguliDoc[Decl_producator],"Da")=1,1,0))</f>
        <v>0</v>
      </c>
      <c r="X340" s="22">
        <f>IF(OR(C340="",T340&lt;&gt;"Confirmata"),0,IF(COUNTIFS(tTQMReguliDoc[Cheie_regula],S340,tTQMReguliDoc[Fise_tehnice],"Da")=1,1,0))</f>
        <v>0</v>
      </c>
      <c r="Y340" s="22" t="str">
        <f t="shared" si="29"/>
        <v/>
      </c>
      <c r="Z340" s="22"/>
      <c r="AA340" s="22"/>
    </row>
    <row r="341" spans="1:27" ht="15" customHeight="1">
      <c r="A341" s="30"/>
      <c r="B341" s="31"/>
      <c r="C341" s="30"/>
      <c r="D341" s="30"/>
      <c r="E341" s="30"/>
      <c r="F341" s="32" t="str">
        <f t="shared" si="25"/>
        <v/>
      </c>
      <c r="G341" s="30"/>
      <c r="H341" s="30"/>
      <c r="I341" s="30"/>
      <c r="J341" s="32" t="str">
        <f t="shared" si="26"/>
        <v/>
      </c>
      <c r="K341" s="30" t="str">
        <f t="shared" si="27"/>
        <v/>
      </c>
      <c r="L341" s="30"/>
      <c r="M341" s="30"/>
      <c r="N341" s="22"/>
      <c r="O341" s="25"/>
      <c r="P341" s="26"/>
      <c r="Q341" s="22"/>
      <c r="R341" s="22"/>
      <c r="S341" s="22" t="str">
        <f t="shared" si="28"/>
        <v/>
      </c>
      <c r="T341" s="22" t="str">
        <f>IF(C341="","",IF(COUNTIF(tTQMReguliDoc[Cheie_regula],S341)&lt;&gt;1,"REGULA NECONFIGURATA",IF(COUNTIFS(tTQMReguliDoc[Cheie_regula],S341,tTQMReguliDoc[Stare],"Confirmata")=1,"Confirmata","De confirmat")))</f>
        <v/>
      </c>
      <c r="U341" s="22">
        <f>IF(OR(C341="",T341&lt;&gt;"Confirmata"),0,IF(COUNTIFS(tTQMReguliDoc[Cheie_regula],S341,tTQMReguliDoc[Aviz],"Da")=1,1,0))</f>
        <v>0</v>
      </c>
      <c r="V341" s="22">
        <f>IF(OR(C341="",T341&lt;&gt;"Confirmata"),0,IF(COUNTIFS(tTQMReguliDoc[Cheie_regula],S341,tTQMReguliDoc[Decl_conformitate],"Da")=1,1,0))</f>
        <v>0</v>
      </c>
      <c r="W341" s="22">
        <f>IF(OR(C341="",T341&lt;&gt;"Confirmata"),0,IF(COUNTIFS(tTQMReguliDoc[Cheie_regula],S341,tTQMReguliDoc[Decl_producator],"Da")=1,1,0))</f>
        <v>0</v>
      </c>
      <c r="X341" s="22">
        <f>IF(OR(C341="",T341&lt;&gt;"Confirmata"),0,IF(COUNTIFS(tTQMReguliDoc[Cheie_regula],S341,tTQMReguliDoc[Fise_tehnice],"Da")=1,1,0))</f>
        <v>0</v>
      </c>
      <c r="Y341" s="22" t="str">
        <f t="shared" si="29"/>
        <v/>
      </c>
      <c r="Z341" s="22"/>
      <c r="AA341" s="22"/>
    </row>
    <row r="342" spans="1:27" ht="15" customHeight="1">
      <c r="A342" s="30"/>
      <c r="B342" s="31"/>
      <c r="C342" s="30"/>
      <c r="D342" s="30"/>
      <c r="E342" s="30"/>
      <c r="F342" s="32" t="str">
        <f t="shared" si="25"/>
        <v/>
      </c>
      <c r="G342" s="30"/>
      <c r="H342" s="30"/>
      <c r="I342" s="30"/>
      <c r="J342" s="32" t="str">
        <f t="shared" si="26"/>
        <v/>
      </c>
      <c r="K342" s="30" t="str">
        <f t="shared" si="27"/>
        <v/>
      </c>
      <c r="L342" s="30"/>
      <c r="M342" s="30"/>
      <c r="N342" s="22"/>
      <c r="O342" s="25"/>
      <c r="P342" s="26"/>
      <c r="Q342" s="22"/>
      <c r="R342" s="22"/>
      <c r="S342" s="22" t="str">
        <f t="shared" si="28"/>
        <v/>
      </c>
      <c r="T342" s="22" t="str">
        <f>IF(C342="","",IF(COUNTIF(tTQMReguliDoc[Cheie_regula],S342)&lt;&gt;1,"REGULA NECONFIGURATA",IF(COUNTIFS(tTQMReguliDoc[Cheie_regula],S342,tTQMReguliDoc[Stare],"Confirmata")=1,"Confirmata","De confirmat")))</f>
        <v/>
      </c>
      <c r="U342" s="22">
        <f>IF(OR(C342="",T342&lt;&gt;"Confirmata"),0,IF(COUNTIFS(tTQMReguliDoc[Cheie_regula],S342,tTQMReguliDoc[Aviz],"Da")=1,1,0))</f>
        <v>0</v>
      </c>
      <c r="V342" s="22">
        <f>IF(OR(C342="",T342&lt;&gt;"Confirmata"),0,IF(COUNTIFS(tTQMReguliDoc[Cheie_regula],S342,tTQMReguliDoc[Decl_conformitate],"Da")=1,1,0))</f>
        <v>0</v>
      </c>
      <c r="W342" s="22">
        <f>IF(OR(C342="",T342&lt;&gt;"Confirmata"),0,IF(COUNTIFS(tTQMReguliDoc[Cheie_regula],S342,tTQMReguliDoc[Decl_producator],"Da")=1,1,0))</f>
        <v>0</v>
      </c>
      <c r="X342" s="22">
        <f>IF(OR(C342="",T342&lt;&gt;"Confirmata"),0,IF(COUNTIFS(tTQMReguliDoc[Cheie_regula],S342,tTQMReguliDoc[Fise_tehnice],"Da")=1,1,0))</f>
        <v>0</v>
      </c>
      <c r="Y342" s="22" t="str">
        <f t="shared" si="29"/>
        <v/>
      </c>
      <c r="Z342" s="22"/>
      <c r="AA342" s="22"/>
    </row>
    <row r="343" spans="1:27" ht="15" customHeight="1">
      <c r="A343" s="30"/>
      <c r="B343" s="31"/>
      <c r="C343" s="30"/>
      <c r="D343" s="30"/>
      <c r="E343" s="30"/>
      <c r="F343" s="32" t="str">
        <f t="shared" si="25"/>
        <v/>
      </c>
      <c r="G343" s="30"/>
      <c r="H343" s="30"/>
      <c r="I343" s="30"/>
      <c r="J343" s="32" t="str">
        <f t="shared" si="26"/>
        <v/>
      </c>
      <c r="K343" s="30" t="str">
        <f t="shared" si="27"/>
        <v/>
      </c>
      <c r="L343" s="30"/>
      <c r="M343" s="30"/>
      <c r="N343" s="22"/>
      <c r="O343" s="25"/>
      <c r="P343" s="26"/>
      <c r="Q343" s="22"/>
      <c r="R343" s="22"/>
      <c r="S343" s="22" t="str">
        <f t="shared" si="28"/>
        <v/>
      </c>
      <c r="T343" s="22" t="str">
        <f>IF(C343="","",IF(COUNTIF(tTQMReguliDoc[Cheie_regula],S343)&lt;&gt;1,"REGULA NECONFIGURATA",IF(COUNTIFS(tTQMReguliDoc[Cheie_regula],S343,tTQMReguliDoc[Stare],"Confirmata")=1,"Confirmata","De confirmat")))</f>
        <v/>
      </c>
      <c r="U343" s="22">
        <f>IF(OR(C343="",T343&lt;&gt;"Confirmata"),0,IF(COUNTIFS(tTQMReguliDoc[Cheie_regula],S343,tTQMReguliDoc[Aviz],"Da")=1,1,0))</f>
        <v>0</v>
      </c>
      <c r="V343" s="22">
        <f>IF(OR(C343="",T343&lt;&gt;"Confirmata"),0,IF(COUNTIFS(tTQMReguliDoc[Cheie_regula],S343,tTQMReguliDoc[Decl_conformitate],"Da")=1,1,0))</f>
        <v>0</v>
      </c>
      <c r="W343" s="22">
        <f>IF(OR(C343="",T343&lt;&gt;"Confirmata"),0,IF(COUNTIFS(tTQMReguliDoc[Cheie_regula],S343,tTQMReguliDoc[Decl_producator],"Da")=1,1,0))</f>
        <v>0</v>
      </c>
      <c r="X343" s="22">
        <f>IF(OR(C343="",T343&lt;&gt;"Confirmata"),0,IF(COUNTIFS(tTQMReguliDoc[Cheie_regula],S343,tTQMReguliDoc[Fise_tehnice],"Da")=1,1,0))</f>
        <v>0</v>
      </c>
      <c r="Y343" s="22" t="str">
        <f t="shared" si="29"/>
        <v/>
      </c>
      <c r="Z343" s="22"/>
      <c r="AA343" s="22"/>
    </row>
    <row r="344" spans="1:27" ht="15" customHeight="1">
      <c r="A344" s="30"/>
      <c r="B344" s="31"/>
      <c r="C344" s="30"/>
      <c r="D344" s="30"/>
      <c r="E344" s="30"/>
      <c r="F344" s="32" t="str">
        <f t="shared" si="25"/>
        <v/>
      </c>
      <c r="G344" s="30"/>
      <c r="H344" s="30"/>
      <c r="I344" s="30"/>
      <c r="J344" s="32" t="str">
        <f t="shared" si="26"/>
        <v/>
      </c>
      <c r="K344" s="30" t="str">
        <f t="shared" si="27"/>
        <v/>
      </c>
      <c r="L344" s="30"/>
      <c r="M344" s="30"/>
      <c r="N344" s="22"/>
      <c r="O344" s="25"/>
      <c r="P344" s="26"/>
      <c r="Q344" s="22"/>
      <c r="R344" s="22"/>
      <c r="S344" s="22" t="str">
        <f t="shared" si="28"/>
        <v/>
      </c>
      <c r="T344" s="22" t="str">
        <f>IF(C344="","",IF(COUNTIF(tTQMReguliDoc[Cheie_regula],S344)&lt;&gt;1,"REGULA NECONFIGURATA",IF(COUNTIFS(tTQMReguliDoc[Cheie_regula],S344,tTQMReguliDoc[Stare],"Confirmata")=1,"Confirmata","De confirmat")))</f>
        <v/>
      </c>
      <c r="U344" s="22">
        <f>IF(OR(C344="",T344&lt;&gt;"Confirmata"),0,IF(COUNTIFS(tTQMReguliDoc[Cheie_regula],S344,tTQMReguliDoc[Aviz],"Da")=1,1,0))</f>
        <v>0</v>
      </c>
      <c r="V344" s="22">
        <f>IF(OR(C344="",T344&lt;&gt;"Confirmata"),0,IF(COUNTIFS(tTQMReguliDoc[Cheie_regula],S344,tTQMReguliDoc[Decl_conformitate],"Da")=1,1,0))</f>
        <v>0</v>
      </c>
      <c r="W344" s="22">
        <f>IF(OR(C344="",T344&lt;&gt;"Confirmata"),0,IF(COUNTIFS(tTQMReguliDoc[Cheie_regula],S344,tTQMReguliDoc[Decl_producator],"Da")=1,1,0))</f>
        <v>0</v>
      </c>
      <c r="X344" s="22">
        <f>IF(OR(C344="",T344&lt;&gt;"Confirmata"),0,IF(COUNTIFS(tTQMReguliDoc[Cheie_regula],S344,tTQMReguliDoc[Fise_tehnice],"Da")=1,1,0))</f>
        <v>0</v>
      </c>
      <c r="Y344" s="22" t="str">
        <f t="shared" si="29"/>
        <v/>
      </c>
      <c r="Z344" s="22"/>
      <c r="AA344" s="22"/>
    </row>
    <row r="345" spans="1:27" ht="15" customHeight="1">
      <c r="A345" s="30"/>
      <c r="B345" s="31"/>
      <c r="C345" s="30"/>
      <c r="D345" s="30"/>
      <c r="E345" s="30"/>
      <c r="F345" s="32" t="str">
        <f t="shared" si="25"/>
        <v/>
      </c>
      <c r="G345" s="30"/>
      <c r="H345" s="30"/>
      <c r="I345" s="30"/>
      <c r="J345" s="32" t="str">
        <f t="shared" si="26"/>
        <v/>
      </c>
      <c r="K345" s="30" t="str">
        <f t="shared" si="27"/>
        <v/>
      </c>
      <c r="L345" s="30"/>
      <c r="M345" s="30"/>
      <c r="N345" s="22"/>
      <c r="O345" s="25"/>
      <c r="P345" s="26"/>
      <c r="Q345" s="22"/>
      <c r="R345" s="22"/>
      <c r="S345" s="22" t="str">
        <f t="shared" si="28"/>
        <v/>
      </c>
      <c r="T345" s="22" t="str">
        <f>IF(C345="","",IF(COUNTIF(tTQMReguliDoc[Cheie_regula],S345)&lt;&gt;1,"REGULA NECONFIGURATA",IF(COUNTIFS(tTQMReguliDoc[Cheie_regula],S345,tTQMReguliDoc[Stare],"Confirmata")=1,"Confirmata","De confirmat")))</f>
        <v/>
      </c>
      <c r="U345" s="22">
        <f>IF(OR(C345="",T345&lt;&gt;"Confirmata"),0,IF(COUNTIFS(tTQMReguliDoc[Cheie_regula],S345,tTQMReguliDoc[Aviz],"Da")=1,1,0))</f>
        <v>0</v>
      </c>
      <c r="V345" s="22">
        <f>IF(OR(C345="",T345&lt;&gt;"Confirmata"),0,IF(COUNTIFS(tTQMReguliDoc[Cheie_regula],S345,tTQMReguliDoc[Decl_conformitate],"Da")=1,1,0))</f>
        <v>0</v>
      </c>
      <c r="W345" s="22">
        <f>IF(OR(C345="",T345&lt;&gt;"Confirmata"),0,IF(COUNTIFS(tTQMReguliDoc[Cheie_regula],S345,tTQMReguliDoc[Decl_producator],"Da")=1,1,0))</f>
        <v>0</v>
      </c>
      <c r="X345" s="22">
        <f>IF(OR(C345="",T345&lt;&gt;"Confirmata"),0,IF(COUNTIFS(tTQMReguliDoc[Cheie_regula],S345,tTQMReguliDoc[Fise_tehnice],"Da")=1,1,0))</f>
        <v>0</v>
      </c>
      <c r="Y345" s="22" t="str">
        <f t="shared" si="29"/>
        <v/>
      </c>
      <c r="Z345" s="22"/>
      <c r="AA345" s="22"/>
    </row>
    <row r="346" spans="1:27" ht="15" customHeight="1">
      <c r="A346" s="30"/>
      <c r="B346" s="31"/>
      <c r="C346" s="30"/>
      <c r="D346" s="30"/>
      <c r="E346" s="30"/>
      <c r="F346" s="32" t="str">
        <f t="shared" si="25"/>
        <v/>
      </c>
      <c r="G346" s="30"/>
      <c r="H346" s="30"/>
      <c r="I346" s="30"/>
      <c r="J346" s="32" t="str">
        <f t="shared" si="26"/>
        <v/>
      </c>
      <c r="K346" s="30" t="str">
        <f t="shared" si="27"/>
        <v/>
      </c>
      <c r="L346" s="30"/>
      <c r="M346" s="30"/>
      <c r="N346" s="22"/>
      <c r="O346" s="25"/>
      <c r="P346" s="26"/>
      <c r="Q346" s="22"/>
      <c r="R346" s="22"/>
      <c r="S346" s="22" t="str">
        <f t="shared" si="28"/>
        <v/>
      </c>
      <c r="T346" s="22" t="str">
        <f>IF(C346="","",IF(COUNTIF(tTQMReguliDoc[Cheie_regula],S346)&lt;&gt;1,"REGULA NECONFIGURATA",IF(COUNTIFS(tTQMReguliDoc[Cheie_regula],S346,tTQMReguliDoc[Stare],"Confirmata")=1,"Confirmata","De confirmat")))</f>
        <v/>
      </c>
      <c r="U346" s="22">
        <f>IF(OR(C346="",T346&lt;&gt;"Confirmata"),0,IF(COUNTIFS(tTQMReguliDoc[Cheie_regula],S346,tTQMReguliDoc[Aviz],"Da")=1,1,0))</f>
        <v>0</v>
      </c>
      <c r="V346" s="22">
        <f>IF(OR(C346="",T346&lt;&gt;"Confirmata"),0,IF(COUNTIFS(tTQMReguliDoc[Cheie_regula],S346,tTQMReguliDoc[Decl_conformitate],"Da")=1,1,0))</f>
        <v>0</v>
      </c>
      <c r="W346" s="22">
        <f>IF(OR(C346="",T346&lt;&gt;"Confirmata"),0,IF(COUNTIFS(tTQMReguliDoc[Cheie_regula],S346,tTQMReguliDoc[Decl_producator],"Da")=1,1,0))</f>
        <v>0</v>
      </c>
      <c r="X346" s="22">
        <f>IF(OR(C346="",T346&lt;&gt;"Confirmata"),0,IF(COUNTIFS(tTQMReguliDoc[Cheie_regula],S346,tTQMReguliDoc[Fise_tehnice],"Da")=1,1,0))</f>
        <v>0</v>
      </c>
      <c r="Y346" s="22" t="str">
        <f t="shared" si="29"/>
        <v/>
      </c>
      <c r="Z346" s="22"/>
      <c r="AA346" s="22"/>
    </row>
    <row r="347" spans="1:27" ht="15" customHeight="1">
      <c r="A347" s="30"/>
      <c r="B347" s="31"/>
      <c r="C347" s="30"/>
      <c r="D347" s="30"/>
      <c r="E347" s="30"/>
      <c r="F347" s="32" t="str">
        <f t="shared" si="25"/>
        <v/>
      </c>
      <c r="G347" s="30"/>
      <c r="H347" s="30"/>
      <c r="I347" s="30"/>
      <c r="J347" s="32" t="str">
        <f t="shared" si="26"/>
        <v/>
      </c>
      <c r="K347" s="30" t="str">
        <f t="shared" si="27"/>
        <v/>
      </c>
      <c r="L347" s="30"/>
      <c r="M347" s="30"/>
      <c r="N347" s="22"/>
      <c r="O347" s="25"/>
      <c r="P347" s="26"/>
      <c r="Q347" s="22"/>
      <c r="R347" s="22"/>
      <c r="S347" s="22" t="str">
        <f t="shared" si="28"/>
        <v/>
      </c>
      <c r="T347" s="22" t="str">
        <f>IF(C347="","",IF(COUNTIF(tTQMReguliDoc[Cheie_regula],S347)&lt;&gt;1,"REGULA NECONFIGURATA",IF(COUNTIFS(tTQMReguliDoc[Cheie_regula],S347,tTQMReguliDoc[Stare],"Confirmata")=1,"Confirmata","De confirmat")))</f>
        <v/>
      </c>
      <c r="U347" s="22">
        <f>IF(OR(C347="",T347&lt;&gt;"Confirmata"),0,IF(COUNTIFS(tTQMReguliDoc[Cheie_regula],S347,tTQMReguliDoc[Aviz],"Da")=1,1,0))</f>
        <v>0</v>
      </c>
      <c r="V347" s="22">
        <f>IF(OR(C347="",T347&lt;&gt;"Confirmata"),0,IF(COUNTIFS(tTQMReguliDoc[Cheie_regula],S347,tTQMReguliDoc[Decl_conformitate],"Da")=1,1,0))</f>
        <v>0</v>
      </c>
      <c r="W347" s="22">
        <f>IF(OR(C347="",T347&lt;&gt;"Confirmata"),0,IF(COUNTIFS(tTQMReguliDoc[Cheie_regula],S347,tTQMReguliDoc[Decl_producator],"Da")=1,1,0))</f>
        <v>0</v>
      </c>
      <c r="X347" s="22">
        <f>IF(OR(C347="",T347&lt;&gt;"Confirmata"),0,IF(COUNTIFS(tTQMReguliDoc[Cheie_regula],S347,tTQMReguliDoc[Fise_tehnice],"Da")=1,1,0))</f>
        <v>0</v>
      </c>
      <c r="Y347" s="22" t="str">
        <f t="shared" si="29"/>
        <v/>
      </c>
      <c r="Z347" s="22"/>
      <c r="AA347" s="22"/>
    </row>
    <row r="348" spans="1:27" ht="15" customHeight="1">
      <c r="A348" s="30"/>
      <c r="B348" s="31"/>
      <c r="C348" s="30"/>
      <c r="D348" s="30"/>
      <c r="E348" s="30"/>
      <c r="F348" s="32" t="str">
        <f t="shared" si="25"/>
        <v/>
      </c>
      <c r="G348" s="30"/>
      <c r="H348" s="30"/>
      <c r="I348" s="30"/>
      <c r="J348" s="32" t="str">
        <f t="shared" si="26"/>
        <v/>
      </c>
      <c r="K348" s="30" t="str">
        <f t="shared" si="27"/>
        <v/>
      </c>
      <c r="L348" s="30"/>
      <c r="M348" s="30"/>
      <c r="N348" s="22"/>
      <c r="O348" s="25"/>
      <c r="P348" s="26"/>
      <c r="Q348" s="22"/>
      <c r="R348" s="22"/>
      <c r="S348" s="22" t="str">
        <f t="shared" si="28"/>
        <v/>
      </c>
      <c r="T348" s="22" t="str">
        <f>IF(C348="","",IF(COUNTIF(tTQMReguliDoc[Cheie_regula],S348)&lt;&gt;1,"REGULA NECONFIGURATA",IF(COUNTIFS(tTQMReguliDoc[Cheie_regula],S348,tTQMReguliDoc[Stare],"Confirmata")=1,"Confirmata","De confirmat")))</f>
        <v/>
      </c>
      <c r="U348" s="22">
        <f>IF(OR(C348="",T348&lt;&gt;"Confirmata"),0,IF(COUNTIFS(tTQMReguliDoc[Cheie_regula],S348,tTQMReguliDoc[Aviz],"Da")=1,1,0))</f>
        <v>0</v>
      </c>
      <c r="V348" s="22">
        <f>IF(OR(C348="",T348&lt;&gt;"Confirmata"),0,IF(COUNTIFS(tTQMReguliDoc[Cheie_regula],S348,tTQMReguliDoc[Decl_conformitate],"Da")=1,1,0))</f>
        <v>0</v>
      </c>
      <c r="W348" s="22">
        <f>IF(OR(C348="",T348&lt;&gt;"Confirmata"),0,IF(COUNTIFS(tTQMReguliDoc[Cheie_regula],S348,tTQMReguliDoc[Decl_producator],"Da")=1,1,0))</f>
        <v>0</v>
      </c>
      <c r="X348" s="22">
        <f>IF(OR(C348="",T348&lt;&gt;"Confirmata"),0,IF(COUNTIFS(tTQMReguliDoc[Cheie_regula],S348,tTQMReguliDoc[Fise_tehnice],"Da")=1,1,0))</f>
        <v>0</v>
      </c>
      <c r="Y348" s="22" t="str">
        <f t="shared" si="29"/>
        <v/>
      </c>
      <c r="Z348" s="22"/>
      <c r="AA348" s="22"/>
    </row>
    <row r="349" spans="1:27" ht="15" customHeight="1">
      <c r="A349" s="30"/>
      <c r="B349" s="31"/>
      <c r="C349" s="30"/>
      <c r="D349" s="30"/>
      <c r="E349" s="30"/>
      <c r="F349" s="32" t="str">
        <f t="shared" si="25"/>
        <v/>
      </c>
      <c r="G349" s="30"/>
      <c r="H349" s="30"/>
      <c r="I349" s="30"/>
      <c r="J349" s="32" t="str">
        <f t="shared" si="26"/>
        <v/>
      </c>
      <c r="K349" s="30" t="str">
        <f t="shared" si="27"/>
        <v/>
      </c>
      <c r="L349" s="30"/>
      <c r="M349" s="30"/>
      <c r="N349" s="22"/>
      <c r="O349" s="25"/>
      <c r="P349" s="26"/>
      <c r="Q349" s="22"/>
      <c r="R349" s="22"/>
      <c r="S349" s="22" t="str">
        <f t="shared" si="28"/>
        <v/>
      </c>
      <c r="T349" s="22" t="str">
        <f>IF(C349="","",IF(COUNTIF(tTQMReguliDoc[Cheie_regula],S349)&lt;&gt;1,"REGULA NECONFIGURATA",IF(COUNTIFS(tTQMReguliDoc[Cheie_regula],S349,tTQMReguliDoc[Stare],"Confirmata")=1,"Confirmata","De confirmat")))</f>
        <v/>
      </c>
      <c r="U349" s="22">
        <f>IF(OR(C349="",T349&lt;&gt;"Confirmata"),0,IF(COUNTIFS(tTQMReguliDoc[Cheie_regula],S349,tTQMReguliDoc[Aviz],"Da")=1,1,0))</f>
        <v>0</v>
      </c>
      <c r="V349" s="22">
        <f>IF(OR(C349="",T349&lt;&gt;"Confirmata"),0,IF(COUNTIFS(tTQMReguliDoc[Cheie_regula],S349,tTQMReguliDoc[Decl_conformitate],"Da")=1,1,0))</f>
        <v>0</v>
      </c>
      <c r="W349" s="22">
        <f>IF(OR(C349="",T349&lt;&gt;"Confirmata"),0,IF(COUNTIFS(tTQMReguliDoc[Cheie_regula],S349,tTQMReguliDoc[Decl_producator],"Da")=1,1,0))</f>
        <v>0</v>
      </c>
      <c r="X349" s="22">
        <f>IF(OR(C349="",T349&lt;&gt;"Confirmata"),0,IF(COUNTIFS(tTQMReguliDoc[Cheie_regula],S349,tTQMReguliDoc[Fise_tehnice],"Da")=1,1,0))</f>
        <v>0</v>
      </c>
      <c r="Y349" s="22" t="str">
        <f t="shared" si="29"/>
        <v/>
      </c>
      <c r="Z349" s="22"/>
      <c r="AA349" s="22"/>
    </row>
    <row r="350" spans="1:27" ht="15" customHeight="1">
      <c r="A350" s="30"/>
      <c r="B350" s="31"/>
      <c r="C350" s="30"/>
      <c r="D350" s="30"/>
      <c r="E350" s="30"/>
      <c r="F350" s="32" t="str">
        <f t="shared" si="25"/>
        <v/>
      </c>
      <c r="G350" s="30"/>
      <c r="H350" s="30"/>
      <c r="I350" s="30"/>
      <c r="J350" s="32" t="str">
        <f t="shared" si="26"/>
        <v/>
      </c>
      <c r="K350" s="30" t="str">
        <f t="shared" si="27"/>
        <v/>
      </c>
      <c r="L350" s="30"/>
      <c r="M350" s="30"/>
      <c r="N350" s="22"/>
      <c r="O350" s="25"/>
      <c r="P350" s="26"/>
      <c r="Q350" s="22"/>
      <c r="R350" s="22"/>
      <c r="S350" s="22" t="str">
        <f t="shared" si="28"/>
        <v/>
      </c>
      <c r="T350" s="22" t="str">
        <f>IF(C350="","",IF(COUNTIF(tTQMReguliDoc[Cheie_regula],S350)&lt;&gt;1,"REGULA NECONFIGURATA",IF(COUNTIFS(tTQMReguliDoc[Cheie_regula],S350,tTQMReguliDoc[Stare],"Confirmata")=1,"Confirmata","De confirmat")))</f>
        <v/>
      </c>
      <c r="U350" s="22">
        <f>IF(OR(C350="",T350&lt;&gt;"Confirmata"),0,IF(COUNTIFS(tTQMReguliDoc[Cheie_regula],S350,tTQMReguliDoc[Aviz],"Da")=1,1,0))</f>
        <v>0</v>
      </c>
      <c r="V350" s="22">
        <f>IF(OR(C350="",T350&lt;&gt;"Confirmata"),0,IF(COUNTIFS(tTQMReguliDoc[Cheie_regula],S350,tTQMReguliDoc[Decl_conformitate],"Da")=1,1,0))</f>
        <v>0</v>
      </c>
      <c r="W350" s="22">
        <f>IF(OR(C350="",T350&lt;&gt;"Confirmata"),0,IF(COUNTIFS(tTQMReguliDoc[Cheie_regula],S350,tTQMReguliDoc[Decl_producator],"Da")=1,1,0))</f>
        <v>0</v>
      </c>
      <c r="X350" s="22">
        <f>IF(OR(C350="",T350&lt;&gt;"Confirmata"),0,IF(COUNTIFS(tTQMReguliDoc[Cheie_regula],S350,tTQMReguliDoc[Fise_tehnice],"Da")=1,1,0))</f>
        <v>0</v>
      </c>
      <c r="Y350" s="22" t="str">
        <f t="shared" si="29"/>
        <v/>
      </c>
      <c r="Z350" s="22"/>
      <c r="AA350" s="22"/>
    </row>
    <row r="351" spans="1:27" ht="15" customHeight="1">
      <c r="A351" s="30"/>
      <c r="B351" s="31"/>
      <c r="C351" s="30"/>
      <c r="D351" s="30"/>
      <c r="E351" s="30"/>
      <c r="F351" s="32" t="str">
        <f t="shared" si="25"/>
        <v/>
      </c>
      <c r="G351" s="30"/>
      <c r="H351" s="30"/>
      <c r="I351" s="30"/>
      <c r="J351" s="32" t="str">
        <f t="shared" si="26"/>
        <v/>
      </c>
      <c r="K351" s="30" t="str">
        <f t="shared" si="27"/>
        <v/>
      </c>
      <c r="L351" s="30"/>
      <c r="M351" s="30"/>
      <c r="N351" s="22"/>
      <c r="O351" s="25"/>
      <c r="P351" s="26"/>
      <c r="Q351" s="22"/>
      <c r="R351" s="22"/>
      <c r="S351" s="22" t="str">
        <f t="shared" si="28"/>
        <v/>
      </c>
      <c r="T351" s="22" t="str">
        <f>IF(C351="","",IF(COUNTIF(tTQMReguliDoc[Cheie_regula],S351)&lt;&gt;1,"REGULA NECONFIGURATA",IF(COUNTIFS(tTQMReguliDoc[Cheie_regula],S351,tTQMReguliDoc[Stare],"Confirmata")=1,"Confirmata","De confirmat")))</f>
        <v/>
      </c>
      <c r="U351" s="22">
        <f>IF(OR(C351="",T351&lt;&gt;"Confirmata"),0,IF(COUNTIFS(tTQMReguliDoc[Cheie_regula],S351,tTQMReguliDoc[Aviz],"Da")=1,1,0))</f>
        <v>0</v>
      </c>
      <c r="V351" s="22">
        <f>IF(OR(C351="",T351&lt;&gt;"Confirmata"),0,IF(COUNTIFS(tTQMReguliDoc[Cheie_regula],S351,tTQMReguliDoc[Decl_conformitate],"Da")=1,1,0))</f>
        <v>0</v>
      </c>
      <c r="W351" s="22">
        <f>IF(OR(C351="",T351&lt;&gt;"Confirmata"),0,IF(COUNTIFS(tTQMReguliDoc[Cheie_regula],S351,tTQMReguliDoc[Decl_producator],"Da")=1,1,0))</f>
        <v>0</v>
      </c>
      <c r="X351" s="22">
        <f>IF(OR(C351="",T351&lt;&gt;"Confirmata"),0,IF(COUNTIFS(tTQMReguliDoc[Cheie_regula],S351,tTQMReguliDoc[Fise_tehnice],"Da")=1,1,0))</f>
        <v>0</v>
      </c>
      <c r="Y351" s="22" t="str">
        <f t="shared" si="29"/>
        <v/>
      </c>
      <c r="Z351" s="22"/>
      <c r="AA351" s="22"/>
    </row>
    <row r="352" spans="1:27" ht="15" customHeight="1">
      <c r="A352" s="30"/>
      <c r="B352" s="31"/>
      <c r="C352" s="30"/>
      <c r="D352" s="30"/>
      <c r="E352" s="30"/>
      <c r="F352" s="32" t="str">
        <f t="shared" si="25"/>
        <v/>
      </c>
      <c r="G352" s="30"/>
      <c r="H352" s="30"/>
      <c r="I352" s="30"/>
      <c r="J352" s="32" t="str">
        <f t="shared" si="26"/>
        <v/>
      </c>
      <c r="K352" s="30" t="str">
        <f t="shared" si="27"/>
        <v/>
      </c>
      <c r="L352" s="30"/>
      <c r="M352" s="30"/>
      <c r="N352" s="22"/>
      <c r="O352" s="25"/>
      <c r="P352" s="26"/>
      <c r="Q352" s="22"/>
      <c r="R352" s="22"/>
      <c r="S352" s="22" t="str">
        <f t="shared" si="28"/>
        <v/>
      </c>
      <c r="T352" s="22" t="str">
        <f>IF(C352="","",IF(COUNTIF(tTQMReguliDoc[Cheie_regula],S352)&lt;&gt;1,"REGULA NECONFIGURATA",IF(COUNTIFS(tTQMReguliDoc[Cheie_regula],S352,tTQMReguliDoc[Stare],"Confirmata")=1,"Confirmata","De confirmat")))</f>
        <v/>
      </c>
      <c r="U352" s="22">
        <f>IF(OR(C352="",T352&lt;&gt;"Confirmata"),0,IF(COUNTIFS(tTQMReguliDoc[Cheie_regula],S352,tTQMReguliDoc[Aviz],"Da")=1,1,0))</f>
        <v>0</v>
      </c>
      <c r="V352" s="22">
        <f>IF(OR(C352="",T352&lt;&gt;"Confirmata"),0,IF(COUNTIFS(tTQMReguliDoc[Cheie_regula],S352,tTQMReguliDoc[Decl_conformitate],"Da")=1,1,0))</f>
        <v>0</v>
      </c>
      <c r="W352" s="22">
        <f>IF(OR(C352="",T352&lt;&gt;"Confirmata"),0,IF(COUNTIFS(tTQMReguliDoc[Cheie_regula],S352,tTQMReguliDoc[Decl_producator],"Da")=1,1,0))</f>
        <v>0</v>
      </c>
      <c r="X352" s="22">
        <f>IF(OR(C352="",T352&lt;&gt;"Confirmata"),0,IF(COUNTIFS(tTQMReguliDoc[Cheie_regula],S352,tTQMReguliDoc[Fise_tehnice],"Da")=1,1,0))</f>
        <v>0</v>
      </c>
      <c r="Y352" s="22" t="str">
        <f t="shared" si="29"/>
        <v/>
      </c>
      <c r="Z352" s="22"/>
      <c r="AA352" s="22"/>
    </row>
    <row r="353" spans="1:27" ht="15" customHeight="1">
      <c r="A353" s="30"/>
      <c r="B353" s="31"/>
      <c r="C353" s="30"/>
      <c r="D353" s="30"/>
      <c r="E353" s="30"/>
      <c r="F353" s="32" t="str">
        <f t="shared" si="25"/>
        <v/>
      </c>
      <c r="G353" s="30"/>
      <c r="H353" s="30"/>
      <c r="I353" s="30"/>
      <c r="J353" s="32" t="str">
        <f t="shared" si="26"/>
        <v/>
      </c>
      <c r="K353" s="30" t="str">
        <f t="shared" si="27"/>
        <v/>
      </c>
      <c r="L353" s="30"/>
      <c r="M353" s="30"/>
      <c r="N353" s="22"/>
      <c r="O353" s="25"/>
      <c r="P353" s="26"/>
      <c r="Q353" s="22"/>
      <c r="R353" s="22"/>
      <c r="S353" s="22" t="str">
        <f t="shared" si="28"/>
        <v/>
      </c>
      <c r="T353" s="22" t="str">
        <f>IF(C353="","",IF(COUNTIF(tTQMReguliDoc[Cheie_regula],S353)&lt;&gt;1,"REGULA NECONFIGURATA",IF(COUNTIFS(tTQMReguliDoc[Cheie_regula],S353,tTQMReguliDoc[Stare],"Confirmata")=1,"Confirmata","De confirmat")))</f>
        <v/>
      </c>
      <c r="U353" s="22">
        <f>IF(OR(C353="",T353&lt;&gt;"Confirmata"),0,IF(COUNTIFS(tTQMReguliDoc[Cheie_regula],S353,tTQMReguliDoc[Aviz],"Da")=1,1,0))</f>
        <v>0</v>
      </c>
      <c r="V353" s="22">
        <f>IF(OR(C353="",T353&lt;&gt;"Confirmata"),0,IF(COUNTIFS(tTQMReguliDoc[Cheie_regula],S353,tTQMReguliDoc[Decl_conformitate],"Da")=1,1,0))</f>
        <v>0</v>
      </c>
      <c r="W353" s="22">
        <f>IF(OR(C353="",T353&lt;&gt;"Confirmata"),0,IF(COUNTIFS(tTQMReguliDoc[Cheie_regula],S353,tTQMReguliDoc[Decl_producator],"Da")=1,1,0))</f>
        <v>0</v>
      </c>
      <c r="X353" s="22">
        <f>IF(OR(C353="",T353&lt;&gt;"Confirmata"),0,IF(COUNTIFS(tTQMReguliDoc[Cheie_regula],S353,tTQMReguliDoc[Fise_tehnice],"Da")=1,1,0))</f>
        <v>0</v>
      </c>
      <c r="Y353" s="22" t="str">
        <f t="shared" si="29"/>
        <v/>
      </c>
      <c r="Z353" s="22"/>
      <c r="AA353" s="22"/>
    </row>
    <row r="354" spans="1:27" ht="15" customHeight="1">
      <c r="A354" s="30"/>
      <c r="B354" s="31"/>
      <c r="C354" s="30"/>
      <c r="D354" s="30"/>
      <c r="E354" s="30"/>
      <c r="F354" s="32" t="str">
        <f t="shared" si="25"/>
        <v/>
      </c>
      <c r="G354" s="30"/>
      <c r="H354" s="30"/>
      <c r="I354" s="30"/>
      <c r="J354" s="32" t="str">
        <f t="shared" si="26"/>
        <v/>
      </c>
      <c r="K354" s="30" t="str">
        <f t="shared" si="27"/>
        <v/>
      </c>
      <c r="L354" s="30"/>
      <c r="M354" s="30"/>
      <c r="N354" s="22"/>
      <c r="O354" s="25"/>
      <c r="P354" s="26"/>
      <c r="Q354" s="22"/>
      <c r="R354" s="22"/>
      <c r="S354" s="22" t="str">
        <f t="shared" si="28"/>
        <v/>
      </c>
      <c r="T354" s="22" t="str">
        <f>IF(C354="","",IF(COUNTIF(tTQMReguliDoc[Cheie_regula],S354)&lt;&gt;1,"REGULA NECONFIGURATA",IF(COUNTIFS(tTQMReguliDoc[Cheie_regula],S354,tTQMReguliDoc[Stare],"Confirmata")=1,"Confirmata","De confirmat")))</f>
        <v/>
      </c>
      <c r="U354" s="22">
        <f>IF(OR(C354="",T354&lt;&gt;"Confirmata"),0,IF(COUNTIFS(tTQMReguliDoc[Cheie_regula],S354,tTQMReguliDoc[Aviz],"Da")=1,1,0))</f>
        <v>0</v>
      </c>
      <c r="V354" s="22">
        <f>IF(OR(C354="",T354&lt;&gt;"Confirmata"),0,IF(COUNTIFS(tTQMReguliDoc[Cheie_regula],S354,tTQMReguliDoc[Decl_conformitate],"Da")=1,1,0))</f>
        <v>0</v>
      </c>
      <c r="W354" s="22">
        <f>IF(OR(C354="",T354&lt;&gt;"Confirmata"),0,IF(COUNTIFS(tTQMReguliDoc[Cheie_regula],S354,tTQMReguliDoc[Decl_producator],"Da")=1,1,0))</f>
        <v>0</v>
      </c>
      <c r="X354" s="22">
        <f>IF(OR(C354="",T354&lt;&gt;"Confirmata"),0,IF(COUNTIFS(tTQMReguliDoc[Cheie_regula],S354,tTQMReguliDoc[Fise_tehnice],"Da")=1,1,0))</f>
        <v>0</v>
      </c>
      <c r="Y354" s="22" t="str">
        <f t="shared" si="29"/>
        <v/>
      </c>
      <c r="Z354" s="22"/>
      <c r="AA354" s="22"/>
    </row>
    <row r="355" spans="1:27" ht="15" customHeight="1">
      <c r="A355" s="30"/>
      <c r="B355" s="31"/>
      <c r="C355" s="30"/>
      <c r="D355" s="30"/>
      <c r="E355" s="30"/>
      <c r="F355" s="32" t="str">
        <f t="shared" si="25"/>
        <v/>
      </c>
      <c r="G355" s="30"/>
      <c r="H355" s="30"/>
      <c r="I355" s="30"/>
      <c r="J355" s="32" t="str">
        <f t="shared" si="26"/>
        <v/>
      </c>
      <c r="K355" s="30" t="str">
        <f t="shared" si="27"/>
        <v/>
      </c>
      <c r="L355" s="30"/>
      <c r="M355" s="30"/>
      <c r="N355" s="22"/>
      <c r="O355" s="25"/>
      <c r="P355" s="26"/>
      <c r="Q355" s="22"/>
      <c r="R355" s="22"/>
      <c r="S355" s="22" t="str">
        <f t="shared" si="28"/>
        <v/>
      </c>
      <c r="T355" s="22" t="str">
        <f>IF(C355="","",IF(COUNTIF(tTQMReguliDoc[Cheie_regula],S355)&lt;&gt;1,"REGULA NECONFIGURATA",IF(COUNTIFS(tTQMReguliDoc[Cheie_regula],S355,tTQMReguliDoc[Stare],"Confirmata")=1,"Confirmata","De confirmat")))</f>
        <v/>
      </c>
      <c r="U355" s="22">
        <f>IF(OR(C355="",T355&lt;&gt;"Confirmata"),0,IF(COUNTIFS(tTQMReguliDoc[Cheie_regula],S355,tTQMReguliDoc[Aviz],"Da")=1,1,0))</f>
        <v>0</v>
      </c>
      <c r="V355" s="22">
        <f>IF(OR(C355="",T355&lt;&gt;"Confirmata"),0,IF(COUNTIFS(tTQMReguliDoc[Cheie_regula],S355,tTQMReguliDoc[Decl_conformitate],"Da")=1,1,0))</f>
        <v>0</v>
      </c>
      <c r="W355" s="22">
        <f>IF(OR(C355="",T355&lt;&gt;"Confirmata"),0,IF(COUNTIFS(tTQMReguliDoc[Cheie_regula],S355,tTQMReguliDoc[Decl_producator],"Da")=1,1,0))</f>
        <v>0</v>
      </c>
      <c r="X355" s="22">
        <f>IF(OR(C355="",T355&lt;&gt;"Confirmata"),0,IF(COUNTIFS(tTQMReguliDoc[Cheie_regula],S355,tTQMReguliDoc[Fise_tehnice],"Da")=1,1,0))</f>
        <v>0</v>
      </c>
      <c r="Y355" s="22" t="str">
        <f t="shared" si="29"/>
        <v/>
      </c>
      <c r="Z355" s="22"/>
      <c r="AA355" s="22"/>
    </row>
    <row r="356" spans="1:27" ht="15" customHeight="1">
      <c r="A356" s="30"/>
      <c r="B356" s="31"/>
      <c r="C356" s="30"/>
      <c r="D356" s="30"/>
      <c r="E356" s="30"/>
      <c r="F356" s="32" t="str">
        <f t="shared" si="25"/>
        <v/>
      </c>
      <c r="G356" s="30"/>
      <c r="H356" s="30"/>
      <c r="I356" s="30"/>
      <c r="J356" s="32" t="str">
        <f t="shared" si="26"/>
        <v/>
      </c>
      <c r="K356" s="30" t="str">
        <f t="shared" si="27"/>
        <v/>
      </c>
      <c r="L356" s="30"/>
      <c r="M356" s="30"/>
      <c r="N356" s="22"/>
      <c r="O356" s="25"/>
      <c r="P356" s="26"/>
      <c r="Q356" s="22"/>
      <c r="R356" s="22"/>
      <c r="S356" s="22" t="str">
        <f t="shared" si="28"/>
        <v/>
      </c>
      <c r="T356" s="22" t="str">
        <f>IF(C356="","",IF(COUNTIF(tTQMReguliDoc[Cheie_regula],S356)&lt;&gt;1,"REGULA NECONFIGURATA",IF(COUNTIFS(tTQMReguliDoc[Cheie_regula],S356,tTQMReguliDoc[Stare],"Confirmata")=1,"Confirmata","De confirmat")))</f>
        <v/>
      </c>
      <c r="U356" s="22">
        <f>IF(OR(C356="",T356&lt;&gt;"Confirmata"),0,IF(COUNTIFS(tTQMReguliDoc[Cheie_regula],S356,tTQMReguliDoc[Aviz],"Da")=1,1,0))</f>
        <v>0</v>
      </c>
      <c r="V356" s="22">
        <f>IF(OR(C356="",T356&lt;&gt;"Confirmata"),0,IF(COUNTIFS(tTQMReguliDoc[Cheie_regula],S356,tTQMReguliDoc[Decl_conformitate],"Da")=1,1,0))</f>
        <v>0</v>
      </c>
      <c r="W356" s="22">
        <f>IF(OR(C356="",T356&lt;&gt;"Confirmata"),0,IF(COUNTIFS(tTQMReguliDoc[Cheie_regula],S356,tTQMReguliDoc[Decl_producator],"Da")=1,1,0))</f>
        <v>0</v>
      </c>
      <c r="X356" s="22">
        <f>IF(OR(C356="",T356&lt;&gt;"Confirmata"),0,IF(COUNTIFS(tTQMReguliDoc[Cheie_regula],S356,tTQMReguliDoc[Fise_tehnice],"Da")=1,1,0))</f>
        <v>0</v>
      </c>
      <c r="Y356" s="22" t="str">
        <f t="shared" si="29"/>
        <v/>
      </c>
      <c r="Z356" s="22"/>
      <c r="AA356" s="22"/>
    </row>
    <row r="357" spans="1:27" ht="15" customHeight="1">
      <c r="A357" s="30"/>
      <c r="B357" s="31"/>
      <c r="C357" s="30"/>
      <c r="D357" s="30"/>
      <c r="E357" s="30"/>
      <c r="F357" s="32" t="str">
        <f t="shared" si="25"/>
        <v/>
      </c>
      <c r="G357" s="30"/>
      <c r="H357" s="30"/>
      <c r="I357" s="30"/>
      <c r="J357" s="32" t="str">
        <f t="shared" si="26"/>
        <v/>
      </c>
      <c r="K357" s="30" t="str">
        <f t="shared" si="27"/>
        <v/>
      </c>
      <c r="L357" s="30"/>
      <c r="M357" s="30"/>
      <c r="N357" s="22"/>
      <c r="O357" s="25"/>
      <c r="P357" s="26"/>
      <c r="Q357" s="22"/>
      <c r="R357" s="22"/>
      <c r="S357" s="22" t="str">
        <f t="shared" si="28"/>
        <v/>
      </c>
      <c r="T357" s="22" t="str">
        <f>IF(C357="","",IF(COUNTIF(tTQMReguliDoc[Cheie_regula],S357)&lt;&gt;1,"REGULA NECONFIGURATA",IF(COUNTIFS(tTQMReguliDoc[Cheie_regula],S357,tTQMReguliDoc[Stare],"Confirmata")=1,"Confirmata","De confirmat")))</f>
        <v/>
      </c>
      <c r="U357" s="22">
        <f>IF(OR(C357="",T357&lt;&gt;"Confirmata"),0,IF(COUNTIFS(tTQMReguliDoc[Cheie_regula],S357,tTQMReguliDoc[Aviz],"Da")=1,1,0))</f>
        <v>0</v>
      </c>
      <c r="V357" s="22">
        <f>IF(OR(C357="",T357&lt;&gt;"Confirmata"),0,IF(COUNTIFS(tTQMReguliDoc[Cheie_regula],S357,tTQMReguliDoc[Decl_conformitate],"Da")=1,1,0))</f>
        <v>0</v>
      </c>
      <c r="W357" s="22">
        <f>IF(OR(C357="",T357&lt;&gt;"Confirmata"),0,IF(COUNTIFS(tTQMReguliDoc[Cheie_regula],S357,tTQMReguliDoc[Decl_producator],"Da")=1,1,0))</f>
        <v>0</v>
      </c>
      <c r="X357" s="22">
        <f>IF(OR(C357="",T357&lt;&gt;"Confirmata"),0,IF(COUNTIFS(tTQMReguliDoc[Cheie_regula],S357,tTQMReguliDoc[Fise_tehnice],"Da")=1,1,0))</f>
        <v>0</v>
      </c>
      <c r="Y357" s="22" t="str">
        <f t="shared" si="29"/>
        <v/>
      </c>
      <c r="Z357" s="22"/>
      <c r="AA357" s="22"/>
    </row>
    <row r="358" spans="1:27" ht="15" customHeight="1">
      <c r="A358" s="30"/>
      <c r="B358" s="31"/>
      <c r="C358" s="30"/>
      <c r="D358" s="30"/>
      <c r="E358" s="30"/>
      <c r="F358" s="32" t="str">
        <f t="shared" si="25"/>
        <v/>
      </c>
      <c r="G358" s="30"/>
      <c r="H358" s="30"/>
      <c r="I358" s="30"/>
      <c r="J358" s="32" t="str">
        <f t="shared" si="26"/>
        <v/>
      </c>
      <c r="K358" s="30" t="str">
        <f t="shared" si="27"/>
        <v/>
      </c>
      <c r="L358" s="30"/>
      <c r="M358" s="30"/>
      <c r="N358" s="22"/>
      <c r="O358" s="25"/>
      <c r="P358" s="26"/>
      <c r="Q358" s="22"/>
      <c r="R358" s="22"/>
      <c r="S358" s="22" t="str">
        <f t="shared" si="28"/>
        <v/>
      </c>
      <c r="T358" s="22" t="str">
        <f>IF(C358="","",IF(COUNTIF(tTQMReguliDoc[Cheie_regula],S358)&lt;&gt;1,"REGULA NECONFIGURATA",IF(COUNTIFS(tTQMReguliDoc[Cheie_regula],S358,tTQMReguliDoc[Stare],"Confirmata")=1,"Confirmata","De confirmat")))</f>
        <v/>
      </c>
      <c r="U358" s="22">
        <f>IF(OR(C358="",T358&lt;&gt;"Confirmata"),0,IF(COUNTIFS(tTQMReguliDoc[Cheie_regula],S358,tTQMReguliDoc[Aviz],"Da")=1,1,0))</f>
        <v>0</v>
      </c>
      <c r="V358" s="22">
        <f>IF(OR(C358="",T358&lt;&gt;"Confirmata"),0,IF(COUNTIFS(tTQMReguliDoc[Cheie_regula],S358,tTQMReguliDoc[Decl_conformitate],"Da")=1,1,0))</f>
        <v>0</v>
      </c>
      <c r="W358" s="22">
        <f>IF(OR(C358="",T358&lt;&gt;"Confirmata"),0,IF(COUNTIFS(tTQMReguliDoc[Cheie_regula],S358,tTQMReguliDoc[Decl_producator],"Da")=1,1,0))</f>
        <v>0</v>
      </c>
      <c r="X358" s="22">
        <f>IF(OR(C358="",T358&lt;&gt;"Confirmata"),0,IF(COUNTIFS(tTQMReguliDoc[Cheie_regula],S358,tTQMReguliDoc[Fise_tehnice],"Da")=1,1,0))</f>
        <v>0</v>
      </c>
      <c r="Y358" s="22" t="str">
        <f t="shared" si="29"/>
        <v/>
      </c>
      <c r="Z358" s="22"/>
      <c r="AA358" s="22"/>
    </row>
    <row r="359" spans="1:27" ht="15" customHeight="1">
      <c r="A359" s="30"/>
      <c r="B359" s="31"/>
      <c r="C359" s="30"/>
      <c r="D359" s="30"/>
      <c r="E359" s="30"/>
      <c r="F359" s="32" t="str">
        <f t="shared" si="25"/>
        <v/>
      </c>
      <c r="G359" s="30"/>
      <c r="H359" s="30"/>
      <c r="I359" s="30"/>
      <c r="J359" s="32" t="str">
        <f t="shared" si="26"/>
        <v/>
      </c>
      <c r="K359" s="30" t="str">
        <f t="shared" si="27"/>
        <v/>
      </c>
      <c r="L359" s="30"/>
      <c r="M359" s="30"/>
      <c r="N359" s="22"/>
      <c r="O359" s="25"/>
      <c r="P359" s="26"/>
      <c r="Q359" s="22"/>
      <c r="R359" s="22"/>
      <c r="S359" s="22" t="str">
        <f t="shared" si="28"/>
        <v/>
      </c>
      <c r="T359" s="22" t="str">
        <f>IF(C359="","",IF(COUNTIF(tTQMReguliDoc[Cheie_regula],S359)&lt;&gt;1,"REGULA NECONFIGURATA",IF(COUNTIFS(tTQMReguliDoc[Cheie_regula],S359,tTQMReguliDoc[Stare],"Confirmata")=1,"Confirmata","De confirmat")))</f>
        <v/>
      </c>
      <c r="U359" s="22">
        <f>IF(OR(C359="",T359&lt;&gt;"Confirmata"),0,IF(COUNTIFS(tTQMReguliDoc[Cheie_regula],S359,tTQMReguliDoc[Aviz],"Da")=1,1,0))</f>
        <v>0</v>
      </c>
      <c r="V359" s="22">
        <f>IF(OR(C359="",T359&lt;&gt;"Confirmata"),0,IF(COUNTIFS(tTQMReguliDoc[Cheie_regula],S359,tTQMReguliDoc[Decl_conformitate],"Da")=1,1,0))</f>
        <v>0</v>
      </c>
      <c r="W359" s="22">
        <f>IF(OR(C359="",T359&lt;&gt;"Confirmata"),0,IF(COUNTIFS(tTQMReguliDoc[Cheie_regula],S359,tTQMReguliDoc[Decl_producator],"Da")=1,1,0))</f>
        <v>0</v>
      </c>
      <c r="X359" s="22">
        <f>IF(OR(C359="",T359&lt;&gt;"Confirmata"),0,IF(COUNTIFS(tTQMReguliDoc[Cheie_regula],S359,tTQMReguliDoc[Fise_tehnice],"Da")=1,1,0))</f>
        <v>0</v>
      </c>
      <c r="Y359" s="22" t="str">
        <f t="shared" si="29"/>
        <v/>
      </c>
      <c r="Z359" s="22"/>
      <c r="AA359" s="22"/>
    </row>
    <row r="360" spans="1:27" ht="15" customHeight="1">
      <c r="A360" s="30"/>
      <c r="B360" s="31"/>
      <c r="C360" s="30"/>
      <c r="D360" s="30"/>
      <c r="E360" s="30"/>
      <c r="F360" s="32" t="str">
        <f t="shared" si="25"/>
        <v/>
      </c>
      <c r="G360" s="30"/>
      <c r="H360" s="30"/>
      <c r="I360" s="30"/>
      <c r="J360" s="32" t="str">
        <f t="shared" si="26"/>
        <v/>
      </c>
      <c r="K360" s="30" t="str">
        <f t="shared" si="27"/>
        <v/>
      </c>
      <c r="L360" s="30"/>
      <c r="M360" s="30"/>
      <c r="N360" s="22"/>
      <c r="O360" s="25"/>
      <c r="P360" s="26"/>
      <c r="Q360" s="22"/>
      <c r="R360" s="22"/>
      <c r="S360" s="22" t="str">
        <f t="shared" si="28"/>
        <v/>
      </c>
      <c r="T360" s="22" t="str">
        <f>IF(C360="","",IF(COUNTIF(tTQMReguliDoc[Cheie_regula],S360)&lt;&gt;1,"REGULA NECONFIGURATA",IF(COUNTIFS(tTQMReguliDoc[Cheie_regula],S360,tTQMReguliDoc[Stare],"Confirmata")=1,"Confirmata","De confirmat")))</f>
        <v/>
      </c>
      <c r="U360" s="22">
        <f>IF(OR(C360="",T360&lt;&gt;"Confirmata"),0,IF(COUNTIFS(tTQMReguliDoc[Cheie_regula],S360,tTQMReguliDoc[Aviz],"Da")=1,1,0))</f>
        <v>0</v>
      </c>
      <c r="V360" s="22">
        <f>IF(OR(C360="",T360&lt;&gt;"Confirmata"),0,IF(COUNTIFS(tTQMReguliDoc[Cheie_regula],S360,tTQMReguliDoc[Decl_conformitate],"Da")=1,1,0))</f>
        <v>0</v>
      </c>
      <c r="W360" s="22">
        <f>IF(OR(C360="",T360&lt;&gt;"Confirmata"),0,IF(COUNTIFS(tTQMReguliDoc[Cheie_regula],S360,tTQMReguliDoc[Decl_producator],"Da")=1,1,0))</f>
        <v>0</v>
      </c>
      <c r="X360" s="22">
        <f>IF(OR(C360="",T360&lt;&gt;"Confirmata"),0,IF(COUNTIFS(tTQMReguliDoc[Cheie_regula],S360,tTQMReguliDoc[Fise_tehnice],"Da")=1,1,0))</f>
        <v>0</v>
      </c>
      <c r="Y360" s="22" t="str">
        <f t="shared" si="29"/>
        <v/>
      </c>
      <c r="Z360" s="22"/>
      <c r="AA360" s="22"/>
    </row>
    <row r="361" spans="1:27" ht="15" customHeight="1">
      <c r="A361" s="30"/>
      <c r="B361" s="31"/>
      <c r="C361" s="30"/>
      <c r="D361" s="30"/>
      <c r="E361" s="30"/>
      <c r="F361" s="32" t="str">
        <f t="shared" si="25"/>
        <v/>
      </c>
      <c r="G361" s="30"/>
      <c r="H361" s="30"/>
      <c r="I361" s="30"/>
      <c r="J361" s="32" t="str">
        <f t="shared" si="26"/>
        <v/>
      </c>
      <c r="K361" s="30" t="str">
        <f t="shared" si="27"/>
        <v/>
      </c>
      <c r="L361" s="30"/>
      <c r="M361" s="30"/>
      <c r="N361" s="22"/>
      <c r="O361" s="25"/>
      <c r="P361" s="26"/>
      <c r="Q361" s="22"/>
      <c r="R361" s="22"/>
      <c r="S361" s="22" t="str">
        <f t="shared" si="28"/>
        <v/>
      </c>
      <c r="T361" s="22" t="str">
        <f>IF(C361="","",IF(COUNTIF(tTQMReguliDoc[Cheie_regula],S361)&lt;&gt;1,"REGULA NECONFIGURATA",IF(COUNTIFS(tTQMReguliDoc[Cheie_regula],S361,tTQMReguliDoc[Stare],"Confirmata")=1,"Confirmata","De confirmat")))</f>
        <v/>
      </c>
      <c r="U361" s="22">
        <f>IF(OR(C361="",T361&lt;&gt;"Confirmata"),0,IF(COUNTIFS(tTQMReguliDoc[Cheie_regula],S361,tTQMReguliDoc[Aviz],"Da")=1,1,0))</f>
        <v>0</v>
      </c>
      <c r="V361" s="22">
        <f>IF(OR(C361="",T361&lt;&gt;"Confirmata"),0,IF(COUNTIFS(tTQMReguliDoc[Cheie_regula],S361,tTQMReguliDoc[Decl_conformitate],"Da")=1,1,0))</f>
        <v>0</v>
      </c>
      <c r="W361" s="22">
        <f>IF(OR(C361="",T361&lt;&gt;"Confirmata"),0,IF(COUNTIFS(tTQMReguliDoc[Cheie_regula],S361,tTQMReguliDoc[Decl_producator],"Da")=1,1,0))</f>
        <v>0</v>
      </c>
      <c r="X361" s="22">
        <f>IF(OR(C361="",T361&lt;&gt;"Confirmata"),0,IF(COUNTIFS(tTQMReguliDoc[Cheie_regula],S361,tTQMReguliDoc[Fise_tehnice],"Da")=1,1,0))</f>
        <v>0</v>
      </c>
      <c r="Y361" s="22" t="str">
        <f t="shared" si="29"/>
        <v/>
      </c>
      <c r="Z361" s="22"/>
      <c r="AA361" s="22"/>
    </row>
    <row r="362" spans="1:27" ht="15" customHeight="1">
      <c r="A362" s="30"/>
      <c r="B362" s="31"/>
      <c r="C362" s="30"/>
      <c r="D362" s="30"/>
      <c r="E362" s="30"/>
      <c r="F362" s="32" t="str">
        <f t="shared" si="25"/>
        <v/>
      </c>
      <c r="G362" s="30"/>
      <c r="H362" s="30"/>
      <c r="I362" s="30"/>
      <c r="J362" s="32" t="str">
        <f t="shared" si="26"/>
        <v/>
      </c>
      <c r="K362" s="30" t="str">
        <f t="shared" si="27"/>
        <v/>
      </c>
      <c r="L362" s="30"/>
      <c r="M362" s="30"/>
      <c r="N362" s="22"/>
      <c r="O362" s="25"/>
      <c r="P362" s="26"/>
      <c r="Q362" s="22"/>
      <c r="R362" s="22"/>
      <c r="S362" s="22" t="str">
        <f t="shared" si="28"/>
        <v/>
      </c>
      <c r="T362" s="22" t="str">
        <f>IF(C362="","",IF(COUNTIF(tTQMReguliDoc[Cheie_regula],S362)&lt;&gt;1,"REGULA NECONFIGURATA",IF(COUNTIFS(tTQMReguliDoc[Cheie_regula],S362,tTQMReguliDoc[Stare],"Confirmata")=1,"Confirmata","De confirmat")))</f>
        <v/>
      </c>
      <c r="U362" s="22">
        <f>IF(OR(C362="",T362&lt;&gt;"Confirmata"),0,IF(COUNTIFS(tTQMReguliDoc[Cheie_regula],S362,tTQMReguliDoc[Aviz],"Da")=1,1,0))</f>
        <v>0</v>
      </c>
      <c r="V362" s="22">
        <f>IF(OR(C362="",T362&lt;&gt;"Confirmata"),0,IF(COUNTIFS(tTQMReguliDoc[Cheie_regula],S362,tTQMReguliDoc[Decl_conformitate],"Da")=1,1,0))</f>
        <v>0</v>
      </c>
      <c r="W362" s="22">
        <f>IF(OR(C362="",T362&lt;&gt;"Confirmata"),0,IF(COUNTIFS(tTQMReguliDoc[Cheie_regula],S362,tTQMReguliDoc[Decl_producator],"Da")=1,1,0))</f>
        <v>0</v>
      </c>
      <c r="X362" s="22">
        <f>IF(OR(C362="",T362&lt;&gt;"Confirmata"),0,IF(COUNTIFS(tTQMReguliDoc[Cheie_regula],S362,tTQMReguliDoc[Fise_tehnice],"Da")=1,1,0))</f>
        <v>0</v>
      </c>
      <c r="Y362" s="22" t="str">
        <f t="shared" si="29"/>
        <v/>
      </c>
      <c r="Z362" s="22"/>
      <c r="AA362" s="22"/>
    </row>
    <row r="363" spans="1:27" ht="15" customHeight="1">
      <c r="A363" s="30"/>
      <c r="B363" s="31"/>
      <c r="C363" s="30"/>
      <c r="D363" s="30"/>
      <c r="E363" s="30"/>
      <c r="F363" s="32" t="str">
        <f t="shared" si="25"/>
        <v/>
      </c>
      <c r="G363" s="30"/>
      <c r="H363" s="30"/>
      <c r="I363" s="30"/>
      <c r="J363" s="32" t="str">
        <f t="shared" si="26"/>
        <v/>
      </c>
      <c r="K363" s="30" t="str">
        <f t="shared" si="27"/>
        <v/>
      </c>
      <c r="L363" s="30"/>
      <c r="M363" s="30"/>
      <c r="N363" s="22"/>
      <c r="O363" s="25"/>
      <c r="P363" s="26"/>
      <c r="Q363" s="22"/>
      <c r="R363" s="22"/>
      <c r="S363" s="22" t="str">
        <f t="shared" si="28"/>
        <v/>
      </c>
      <c r="T363" s="22" t="str">
        <f>IF(C363="","",IF(COUNTIF(tTQMReguliDoc[Cheie_regula],S363)&lt;&gt;1,"REGULA NECONFIGURATA",IF(COUNTIFS(tTQMReguliDoc[Cheie_regula],S363,tTQMReguliDoc[Stare],"Confirmata")=1,"Confirmata","De confirmat")))</f>
        <v/>
      </c>
      <c r="U363" s="22">
        <f>IF(OR(C363="",T363&lt;&gt;"Confirmata"),0,IF(COUNTIFS(tTQMReguliDoc[Cheie_regula],S363,tTQMReguliDoc[Aviz],"Da")=1,1,0))</f>
        <v>0</v>
      </c>
      <c r="V363" s="22">
        <f>IF(OR(C363="",T363&lt;&gt;"Confirmata"),0,IF(COUNTIFS(tTQMReguliDoc[Cheie_regula],S363,tTQMReguliDoc[Decl_conformitate],"Da")=1,1,0))</f>
        <v>0</v>
      </c>
      <c r="W363" s="22">
        <f>IF(OR(C363="",T363&lt;&gt;"Confirmata"),0,IF(COUNTIFS(tTQMReguliDoc[Cheie_regula],S363,tTQMReguliDoc[Decl_producator],"Da")=1,1,0))</f>
        <v>0</v>
      </c>
      <c r="X363" s="22">
        <f>IF(OR(C363="",T363&lt;&gt;"Confirmata"),0,IF(COUNTIFS(tTQMReguliDoc[Cheie_regula],S363,tTQMReguliDoc[Fise_tehnice],"Da")=1,1,0))</f>
        <v>0</v>
      </c>
      <c r="Y363" s="22" t="str">
        <f t="shared" si="29"/>
        <v/>
      </c>
      <c r="Z363" s="22"/>
      <c r="AA363" s="22"/>
    </row>
    <row r="364" spans="1:27" ht="15" customHeight="1">
      <c r="A364" s="30"/>
      <c r="B364" s="31"/>
      <c r="C364" s="30"/>
      <c r="D364" s="30"/>
      <c r="E364" s="30"/>
      <c r="F364" s="32" t="str">
        <f t="shared" si="25"/>
        <v/>
      </c>
      <c r="G364" s="30"/>
      <c r="H364" s="30"/>
      <c r="I364" s="30"/>
      <c r="J364" s="32" t="str">
        <f t="shared" si="26"/>
        <v/>
      </c>
      <c r="K364" s="30" t="str">
        <f t="shared" si="27"/>
        <v/>
      </c>
      <c r="L364" s="30"/>
      <c r="M364" s="30"/>
      <c r="N364" s="22"/>
      <c r="O364" s="25"/>
      <c r="P364" s="26"/>
      <c r="Q364" s="22"/>
      <c r="R364" s="22"/>
      <c r="S364" s="22" t="str">
        <f t="shared" si="28"/>
        <v/>
      </c>
      <c r="T364" s="22" t="str">
        <f>IF(C364="","",IF(COUNTIF(tTQMReguliDoc[Cheie_regula],S364)&lt;&gt;1,"REGULA NECONFIGURATA",IF(COUNTIFS(tTQMReguliDoc[Cheie_regula],S364,tTQMReguliDoc[Stare],"Confirmata")=1,"Confirmata","De confirmat")))</f>
        <v/>
      </c>
      <c r="U364" s="22">
        <f>IF(OR(C364="",T364&lt;&gt;"Confirmata"),0,IF(COUNTIFS(tTQMReguliDoc[Cheie_regula],S364,tTQMReguliDoc[Aviz],"Da")=1,1,0))</f>
        <v>0</v>
      </c>
      <c r="V364" s="22">
        <f>IF(OR(C364="",T364&lt;&gt;"Confirmata"),0,IF(COUNTIFS(tTQMReguliDoc[Cheie_regula],S364,tTQMReguliDoc[Decl_conformitate],"Da")=1,1,0))</f>
        <v>0</v>
      </c>
      <c r="W364" s="22">
        <f>IF(OR(C364="",T364&lt;&gt;"Confirmata"),0,IF(COUNTIFS(tTQMReguliDoc[Cheie_regula],S364,tTQMReguliDoc[Decl_producator],"Da")=1,1,0))</f>
        <v>0</v>
      </c>
      <c r="X364" s="22">
        <f>IF(OR(C364="",T364&lt;&gt;"Confirmata"),0,IF(COUNTIFS(tTQMReguliDoc[Cheie_regula],S364,tTQMReguliDoc[Fise_tehnice],"Da")=1,1,0))</f>
        <v>0</v>
      </c>
      <c r="Y364" s="22" t="str">
        <f t="shared" si="29"/>
        <v/>
      </c>
      <c r="Z364" s="22"/>
      <c r="AA364" s="22"/>
    </row>
    <row r="365" spans="1:27" ht="15" customHeight="1">
      <c r="A365" s="30"/>
      <c r="B365" s="31"/>
      <c r="C365" s="30"/>
      <c r="D365" s="30"/>
      <c r="E365" s="30"/>
      <c r="F365" s="32" t="str">
        <f t="shared" si="25"/>
        <v/>
      </c>
      <c r="G365" s="30"/>
      <c r="H365" s="30"/>
      <c r="I365" s="30"/>
      <c r="J365" s="32" t="str">
        <f t="shared" si="26"/>
        <v/>
      </c>
      <c r="K365" s="30" t="str">
        <f t="shared" si="27"/>
        <v/>
      </c>
      <c r="L365" s="30"/>
      <c r="M365" s="30"/>
      <c r="N365" s="22"/>
      <c r="O365" s="25"/>
      <c r="P365" s="26"/>
      <c r="Q365" s="22"/>
      <c r="R365" s="22"/>
      <c r="S365" s="22" t="str">
        <f t="shared" si="28"/>
        <v/>
      </c>
      <c r="T365" s="22" t="str">
        <f>IF(C365="","",IF(COUNTIF(tTQMReguliDoc[Cheie_regula],S365)&lt;&gt;1,"REGULA NECONFIGURATA",IF(COUNTIFS(tTQMReguliDoc[Cheie_regula],S365,tTQMReguliDoc[Stare],"Confirmata")=1,"Confirmata","De confirmat")))</f>
        <v/>
      </c>
      <c r="U365" s="22">
        <f>IF(OR(C365="",T365&lt;&gt;"Confirmata"),0,IF(COUNTIFS(tTQMReguliDoc[Cheie_regula],S365,tTQMReguliDoc[Aviz],"Da")=1,1,0))</f>
        <v>0</v>
      </c>
      <c r="V365" s="22">
        <f>IF(OR(C365="",T365&lt;&gt;"Confirmata"),0,IF(COUNTIFS(tTQMReguliDoc[Cheie_regula],S365,tTQMReguliDoc[Decl_conformitate],"Da")=1,1,0))</f>
        <v>0</v>
      </c>
      <c r="W365" s="22">
        <f>IF(OR(C365="",T365&lt;&gt;"Confirmata"),0,IF(COUNTIFS(tTQMReguliDoc[Cheie_regula],S365,tTQMReguliDoc[Decl_producator],"Da")=1,1,0))</f>
        <v>0</v>
      </c>
      <c r="X365" s="22">
        <f>IF(OR(C365="",T365&lt;&gt;"Confirmata"),0,IF(COUNTIFS(tTQMReguliDoc[Cheie_regula],S365,tTQMReguliDoc[Fise_tehnice],"Da")=1,1,0))</f>
        <v>0</v>
      </c>
      <c r="Y365" s="22" t="str">
        <f t="shared" si="29"/>
        <v/>
      </c>
      <c r="Z365" s="22"/>
      <c r="AA365" s="22"/>
    </row>
    <row r="366" spans="1:27" ht="15" customHeight="1">
      <c r="A366" s="30"/>
      <c r="B366" s="31"/>
      <c r="C366" s="30"/>
      <c r="D366" s="30"/>
      <c r="E366" s="30"/>
      <c r="F366" s="32" t="str">
        <f t="shared" si="25"/>
        <v/>
      </c>
      <c r="G366" s="30"/>
      <c r="H366" s="30"/>
      <c r="I366" s="30"/>
      <c r="J366" s="32" t="str">
        <f t="shared" si="26"/>
        <v/>
      </c>
      <c r="K366" s="30" t="str">
        <f t="shared" si="27"/>
        <v/>
      </c>
      <c r="L366" s="30"/>
      <c r="M366" s="30"/>
      <c r="N366" s="22"/>
      <c r="O366" s="25"/>
      <c r="P366" s="26"/>
      <c r="Q366" s="22"/>
      <c r="R366" s="22"/>
      <c r="S366" s="22" t="str">
        <f t="shared" si="28"/>
        <v/>
      </c>
      <c r="T366" s="22" t="str">
        <f>IF(C366="","",IF(COUNTIF(tTQMReguliDoc[Cheie_regula],S366)&lt;&gt;1,"REGULA NECONFIGURATA",IF(COUNTIFS(tTQMReguliDoc[Cheie_regula],S366,tTQMReguliDoc[Stare],"Confirmata")=1,"Confirmata","De confirmat")))</f>
        <v/>
      </c>
      <c r="U366" s="22">
        <f>IF(OR(C366="",T366&lt;&gt;"Confirmata"),0,IF(COUNTIFS(tTQMReguliDoc[Cheie_regula],S366,tTQMReguliDoc[Aviz],"Da")=1,1,0))</f>
        <v>0</v>
      </c>
      <c r="V366" s="22">
        <f>IF(OR(C366="",T366&lt;&gt;"Confirmata"),0,IF(COUNTIFS(tTQMReguliDoc[Cheie_regula],S366,tTQMReguliDoc[Decl_conformitate],"Da")=1,1,0))</f>
        <v>0</v>
      </c>
      <c r="W366" s="22">
        <f>IF(OR(C366="",T366&lt;&gt;"Confirmata"),0,IF(COUNTIFS(tTQMReguliDoc[Cheie_regula],S366,tTQMReguliDoc[Decl_producator],"Da")=1,1,0))</f>
        <v>0</v>
      </c>
      <c r="X366" s="22">
        <f>IF(OR(C366="",T366&lt;&gt;"Confirmata"),0,IF(COUNTIFS(tTQMReguliDoc[Cheie_regula],S366,tTQMReguliDoc[Fise_tehnice],"Da")=1,1,0))</f>
        <v>0</v>
      </c>
      <c r="Y366" s="22" t="str">
        <f t="shared" si="29"/>
        <v/>
      </c>
      <c r="Z366" s="22"/>
      <c r="AA366" s="22"/>
    </row>
    <row r="367" spans="1:27" ht="15" customHeight="1">
      <c r="A367" s="30"/>
      <c r="B367" s="31"/>
      <c r="C367" s="30"/>
      <c r="D367" s="30"/>
      <c r="E367" s="30"/>
      <c r="F367" s="32" t="str">
        <f t="shared" si="25"/>
        <v/>
      </c>
      <c r="G367" s="30"/>
      <c r="H367" s="30"/>
      <c r="I367" s="30"/>
      <c r="J367" s="32" t="str">
        <f t="shared" si="26"/>
        <v/>
      </c>
      <c r="K367" s="30" t="str">
        <f t="shared" si="27"/>
        <v/>
      </c>
      <c r="L367" s="30"/>
      <c r="M367" s="30"/>
      <c r="N367" s="22"/>
      <c r="O367" s="25"/>
      <c r="P367" s="26"/>
      <c r="Q367" s="22"/>
      <c r="R367" s="22"/>
      <c r="S367" s="22" t="str">
        <f t="shared" si="28"/>
        <v/>
      </c>
      <c r="T367" s="22" t="str">
        <f>IF(C367="","",IF(COUNTIF(tTQMReguliDoc[Cheie_regula],S367)&lt;&gt;1,"REGULA NECONFIGURATA",IF(COUNTIFS(tTQMReguliDoc[Cheie_regula],S367,tTQMReguliDoc[Stare],"Confirmata")=1,"Confirmata","De confirmat")))</f>
        <v/>
      </c>
      <c r="U367" s="22">
        <f>IF(OR(C367="",T367&lt;&gt;"Confirmata"),0,IF(COUNTIFS(tTQMReguliDoc[Cheie_regula],S367,tTQMReguliDoc[Aviz],"Da")=1,1,0))</f>
        <v>0</v>
      </c>
      <c r="V367" s="22">
        <f>IF(OR(C367="",T367&lt;&gt;"Confirmata"),0,IF(COUNTIFS(tTQMReguliDoc[Cheie_regula],S367,tTQMReguliDoc[Decl_conformitate],"Da")=1,1,0))</f>
        <v>0</v>
      </c>
      <c r="W367" s="22">
        <f>IF(OR(C367="",T367&lt;&gt;"Confirmata"),0,IF(COUNTIFS(tTQMReguliDoc[Cheie_regula],S367,tTQMReguliDoc[Decl_producator],"Da")=1,1,0))</f>
        <v>0</v>
      </c>
      <c r="X367" s="22">
        <f>IF(OR(C367="",T367&lt;&gt;"Confirmata"),0,IF(COUNTIFS(tTQMReguliDoc[Cheie_regula],S367,tTQMReguliDoc[Fise_tehnice],"Da")=1,1,0))</f>
        <v>0</v>
      </c>
      <c r="Y367" s="22" t="str">
        <f t="shared" si="29"/>
        <v/>
      </c>
      <c r="Z367" s="22"/>
      <c r="AA367" s="22"/>
    </row>
    <row r="368" spans="1:27" ht="15" customHeight="1">
      <c r="A368" s="30"/>
      <c r="B368" s="31"/>
      <c r="C368" s="30"/>
      <c r="D368" s="30"/>
      <c r="E368" s="30"/>
      <c r="F368" s="32" t="str">
        <f t="shared" si="25"/>
        <v/>
      </c>
      <c r="G368" s="30"/>
      <c r="H368" s="30"/>
      <c r="I368" s="30"/>
      <c r="J368" s="32" t="str">
        <f t="shared" si="26"/>
        <v/>
      </c>
      <c r="K368" s="30" t="str">
        <f t="shared" si="27"/>
        <v/>
      </c>
      <c r="L368" s="30"/>
      <c r="M368" s="30"/>
      <c r="N368" s="22"/>
      <c r="O368" s="25"/>
      <c r="P368" s="26"/>
      <c r="Q368" s="22"/>
      <c r="R368" s="22"/>
      <c r="S368" s="22" t="str">
        <f t="shared" si="28"/>
        <v/>
      </c>
      <c r="T368" s="22" t="str">
        <f>IF(C368="","",IF(COUNTIF(tTQMReguliDoc[Cheie_regula],S368)&lt;&gt;1,"REGULA NECONFIGURATA",IF(COUNTIFS(tTQMReguliDoc[Cheie_regula],S368,tTQMReguliDoc[Stare],"Confirmata")=1,"Confirmata","De confirmat")))</f>
        <v/>
      </c>
      <c r="U368" s="22">
        <f>IF(OR(C368="",T368&lt;&gt;"Confirmata"),0,IF(COUNTIFS(tTQMReguliDoc[Cheie_regula],S368,tTQMReguliDoc[Aviz],"Da")=1,1,0))</f>
        <v>0</v>
      </c>
      <c r="V368" s="22">
        <f>IF(OR(C368="",T368&lt;&gt;"Confirmata"),0,IF(COUNTIFS(tTQMReguliDoc[Cheie_regula],S368,tTQMReguliDoc[Decl_conformitate],"Da")=1,1,0))</f>
        <v>0</v>
      </c>
      <c r="W368" s="22">
        <f>IF(OR(C368="",T368&lt;&gt;"Confirmata"),0,IF(COUNTIFS(tTQMReguliDoc[Cheie_regula],S368,tTQMReguliDoc[Decl_producator],"Da")=1,1,0))</f>
        <v>0</v>
      </c>
      <c r="X368" s="22">
        <f>IF(OR(C368="",T368&lt;&gt;"Confirmata"),0,IF(COUNTIFS(tTQMReguliDoc[Cheie_regula],S368,tTQMReguliDoc[Fise_tehnice],"Da")=1,1,0))</f>
        <v>0</v>
      </c>
      <c r="Y368" s="22" t="str">
        <f t="shared" si="29"/>
        <v/>
      </c>
      <c r="Z368" s="22"/>
      <c r="AA368" s="22"/>
    </row>
    <row r="369" spans="1:27" ht="15" customHeight="1">
      <c r="A369" s="30"/>
      <c r="B369" s="31"/>
      <c r="C369" s="30"/>
      <c r="D369" s="30"/>
      <c r="E369" s="30"/>
      <c r="F369" s="32" t="str">
        <f t="shared" si="25"/>
        <v/>
      </c>
      <c r="G369" s="30"/>
      <c r="H369" s="30"/>
      <c r="I369" s="30"/>
      <c r="J369" s="32" t="str">
        <f t="shared" si="26"/>
        <v/>
      </c>
      <c r="K369" s="30" t="str">
        <f t="shared" si="27"/>
        <v/>
      </c>
      <c r="L369" s="30"/>
      <c r="M369" s="30"/>
      <c r="N369" s="22"/>
      <c r="O369" s="25"/>
      <c r="P369" s="26"/>
      <c r="Q369" s="22"/>
      <c r="R369" s="22"/>
      <c r="S369" s="22" t="str">
        <f t="shared" si="28"/>
        <v/>
      </c>
      <c r="T369" s="22" t="str">
        <f>IF(C369="","",IF(COUNTIF(tTQMReguliDoc[Cheie_regula],S369)&lt;&gt;1,"REGULA NECONFIGURATA",IF(COUNTIFS(tTQMReguliDoc[Cheie_regula],S369,tTQMReguliDoc[Stare],"Confirmata")=1,"Confirmata","De confirmat")))</f>
        <v/>
      </c>
      <c r="U369" s="22">
        <f>IF(OR(C369="",T369&lt;&gt;"Confirmata"),0,IF(COUNTIFS(tTQMReguliDoc[Cheie_regula],S369,tTQMReguliDoc[Aviz],"Da")=1,1,0))</f>
        <v>0</v>
      </c>
      <c r="V369" s="22">
        <f>IF(OR(C369="",T369&lt;&gt;"Confirmata"),0,IF(COUNTIFS(tTQMReguliDoc[Cheie_regula],S369,tTQMReguliDoc[Decl_conformitate],"Da")=1,1,0))</f>
        <v>0</v>
      </c>
      <c r="W369" s="22">
        <f>IF(OR(C369="",T369&lt;&gt;"Confirmata"),0,IF(COUNTIFS(tTQMReguliDoc[Cheie_regula],S369,tTQMReguliDoc[Decl_producator],"Da")=1,1,0))</f>
        <v>0</v>
      </c>
      <c r="X369" s="22">
        <f>IF(OR(C369="",T369&lt;&gt;"Confirmata"),0,IF(COUNTIFS(tTQMReguliDoc[Cheie_regula],S369,tTQMReguliDoc[Fise_tehnice],"Da")=1,1,0))</f>
        <v>0</v>
      </c>
      <c r="Y369" s="22" t="str">
        <f t="shared" si="29"/>
        <v/>
      </c>
      <c r="Z369" s="22"/>
      <c r="AA369" s="22"/>
    </row>
    <row r="370" spans="1:27" ht="15" customHeight="1">
      <c r="A370" s="30"/>
      <c r="B370" s="31"/>
      <c r="C370" s="30"/>
      <c r="D370" s="30"/>
      <c r="E370" s="30"/>
      <c r="F370" s="32" t="str">
        <f t="shared" si="25"/>
        <v/>
      </c>
      <c r="G370" s="30"/>
      <c r="H370" s="30"/>
      <c r="I370" s="30"/>
      <c r="J370" s="32" t="str">
        <f t="shared" si="26"/>
        <v/>
      </c>
      <c r="K370" s="30" t="str">
        <f t="shared" si="27"/>
        <v/>
      </c>
      <c r="L370" s="30"/>
      <c r="M370" s="30"/>
      <c r="N370" s="22"/>
      <c r="O370" s="25"/>
      <c r="P370" s="26"/>
      <c r="Q370" s="22"/>
      <c r="R370" s="22"/>
      <c r="S370" s="22" t="str">
        <f t="shared" si="28"/>
        <v/>
      </c>
      <c r="T370" s="22" t="str">
        <f>IF(C370="","",IF(COUNTIF(tTQMReguliDoc[Cheie_regula],S370)&lt;&gt;1,"REGULA NECONFIGURATA",IF(COUNTIFS(tTQMReguliDoc[Cheie_regula],S370,tTQMReguliDoc[Stare],"Confirmata")=1,"Confirmata","De confirmat")))</f>
        <v/>
      </c>
      <c r="U370" s="22">
        <f>IF(OR(C370="",T370&lt;&gt;"Confirmata"),0,IF(COUNTIFS(tTQMReguliDoc[Cheie_regula],S370,tTQMReguliDoc[Aviz],"Da")=1,1,0))</f>
        <v>0</v>
      </c>
      <c r="V370" s="22">
        <f>IF(OR(C370="",T370&lt;&gt;"Confirmata"),0,IF(COUNTIFS(tTQMReguliDoc[Cheie_regula],S370,tTQMReguliDoc[Decl_conformitate],"Da")=1,1,0))</f>
        <v>0</v>
      </c>
      <c r="W370" s="22">
        <f>IF(OR(C370="",T370&lt;&gt;"Confirmata"),0,IF(COUNTIFS(tTQMReguliDoc[Cheie_regula],S370,tTQMReguliDoc[Decl_producator],"Da")=1,1,0))</f>
        <v>0</v>
      </c>
      <c r="X370" s="22">
        <f>IF(OR(C370="",T370&lt;&gt;"Confirmata"),0,IF(COUNTIFS(tTQMReguliDoc[Cheie_regula],S370,tTQMReguliDoc[Fise_tehnice],"Da")=1,1,0))</f>
        <v>0</v>
      </c>
      <c r="Y370" s="22" t="str">
        <f t="shared" si="29"/>
        <v/>
      </c>
      <c r="Z370" s="22"/>
      <c r="AA370" s="22"/>
    </row>
    <row r="371" spans="1:27" ht="15" customHeight="1">
      <c r="A371" s="30"/>
      <c r="B371" s="31"/>
      <c r="C371" s="30"/>
      <c r="D371" s="30"/>
      <c r="E371" s="30"/>
      <c r="F371" s="32" t="str">
        <f t="shared" si="25"/>
        <v/>
      </c>
      <c r="G371" s="30"/>
      <c r="H371" s="30"/>
      <c r="I371" s="30"/>
      <c r="J371" s="32" t="str">
        <f t="shared" si="26"/>
        <v/>
      </c>
      <c r="K371" s="30" t="str">
        <f t="shared" si="27"/>
        <v/>
      </c>
      <c r="L371" s="30"/>
      <c r="M371" s="30"/>
      <c r="N371" s="22"/>
      <c r="O371" s="25"/>
      <c r="P371" s="26"/>
      <c r="Q371" s="22"/>
      <c r="R371" s="22"/>
      <c r="S371" s="22" t="str">
        <f t="shared" si="28"/>
        <v/>
      </c>
      <c r="T371" s="22" t="str">
        <f>IF(C371="","",IF(COUNTIF(tTQMReguliDoc[Cheie_regula],S371)&lt;&gt;1,"REGULA NECONFIGURATA",IF(COUNTIFS(tTQMReguliDoc[Cheie_regula],S371,tTQMReguliDoc[Stare],"Confirmata")=1,"Confirmata","De confirmat")))</f>
        <v/>
      </c>
      <c r="U371" s="22">
        <f>IF(OR(C371="",T371&lt;&gt;"Confirmata"),0,IF(COUNTIFS(tTQMReguliDoc[Cheie_regula],S371,tTQMReguliDoc[Aviz],"Da")=1,1,0))</f>
        <v>0</v>
      </c>
      <c r="V371" s="22">
        <f>IF(OR(C371="",T371&lt;&gt;"Confirmata"),0,IF(COUNTIFS(tTQMReguliDoc[Cheie_regula],S371,tTQMReguliDoc[Decl_conformitate],"Da")=1,1,0))</f>
        <v>0</v>
      </c>
      <c r="W371" s="22">
        <f>IF(OR(C371="",T371&lt;&gt;"Confirmata"),0,IF(COUNTIFS(tTQMReguliDoc[Cheie_regula],S371,tTQMReguliDoc[Decl_producator],"Da")=1,1,0))</f>
        <v>0</v>
      </c>
      <c r="X371" s="22">
        <f>IF(OR(C371="",T371&lt;&gt;"Confirmata"),0,IF(COUNTIFS(tTQMReguliDoc[Cheie_regula],S371,tTQMReguliDoc[Fise_tehnice],"Da")=1,1,0))</f>
        <v>0</v>
      </c>
      <c r="Y371" s="22" t="str">
        <f t="shared" si="29"/>
        <v/>
      </c>
      <c r="Z371" s="22"/>
      <c r="AA371" s="22"/>
    </row>
    <row r="372" spans="1:27" ht="15" customHeight="1">
      <c r="A372" s="30"/>
      <c r="B372" s="31"/>
      <c r="C372" s="30"/>
      <c r="D372" s="30"/>
      <c r="E372" s="30"/>
      <c r="F372" s="32" t="str">
        <f t="shared" si="25"/>
        <v/>
      </c>
      <c r="G372" s="30"/>
      <c r="H372" s="30"/>
      <c r="I372" s="30"/>
      <c r="J372" s="32" t="str">
        <f t="shared" si="26"/>
        <v/>
      </c>
      <c r="K372" s="30" t="str">
        <f t="shared" si="27"/>
        <v/>
      </c>
      <c r="L372" s="30"/>
      <c r="M372" s="30"/>
      <c r="N372" s="22"/>
      <c r="O372" s="25"/>
      <c r="P372" s="26"/>
      <c r="Q372" s="22"/>
      <c r="R372" s="22"/>
      <c r="S372" s="22" t="str">
        <f t="shared" si="28"/>
        <v/>
      </c>
      <c r="T372" s="22" t="str">
        <f>IF(C372="","",IF(COUNTIF(tTQMReguliDoc[Cheie_regula],S372)&lt;&gt;1,"REGULA NECONFIGURATA",IF(COUNTIFS(tTQMReguliDoc[Cheie_regula],S372,tTQMReguliDoc[Stare],"Confirmata")=1,"Confirmata","De confirmat")))</f>
        <v/>
      </c>
      <c r="U372" s="22">
        <f>IF(OR(C372="",T372&lt;&gt;"Confirmata"),0,IF(COUNTIFS(tTQMReguliDoc[Cheie_regula],S372,tTQMReguliDoc[Aviz],"Da")=1,1,0))</f>
        <v>0</v>
      </c>
      <c r="V372" s="22">
        <f>IF(OR(C372="",T372&lt;&gt;"Confirmata"),0,IF(COUNTIFS(tTQMReguliDoc[Cheie_regula],S372,tTQMReguliDoc[Decl_conformitate],"Da")=1,1,0))</f>
        <v>0</v>
      </c>
      <c r="W372" s="22">
        <f>IF(OR(C372="",T372&lt;&gt;"Confirmata"),0,IF(COUNTIFS(tTQMReguliDoc[Cheie_regula],S372,tTQMReguliDoc[Decl_producator],"Da")=1,1,0))</f>
        <v>0</v>
      </c>
      <c r="X372" s="22">
        <f>IF(OR(C372="",T372&lt;&gt;"Confirmata"),0,IF(COUNTIFS(tTQMReguliDoc[Cheie_regula],S372,tTQMReguliDoc[Fise_tehnice],"Da")=1,1,0))</f>
        <v>0</v>
      </c>
      <c r="Y372" s="22" t="str">
        <f t="shared" si="29"/>
        <v/>
      </c>
      <c r="Z372" s="22"/>
      <c r="AA372" s="22"/>
    </row>
    <row r="373" spans="1:27" ht="15" customHeight="1">
      <c r="A373" s="30"/>
      <c r="B373" s="31"/>
      <c r="C373" s="30"/>
      <c r="D373" s="30"/>
      <c r="E373" s="30"/>
      <c r="F373" s="32" t="str">
        <f t="shared" si="25"/>
        <v/>
      </c>
      <c r="G373" s="30"/>
      <c r="H373" s="30"/>
      <c r="I373" s="30"/>
      <c r="J373" s="32" t="str">
        <f t="shared" si="26"/>
        <v/>
      </c>
      <c r="K373" s="30" t="str">
        <f t="shared" si="27"/>
        <v/>
      </c>
      <c r="L373" s="30"/>
      <c r="M373" s="30"/>
      <c r="N373" s="22"/>
      <c r="O373" s="25"/>
      <c r="P373" s="26"/>
      <c r="Q373" s="22"/>
      <c r="R373" s="22"/>
      <c r="S373" s="22" t="str">
        <f t="shared" si="28"/>
        <v/>
      </c>
      <c r="T373" s="22" t="str">
        <f>IF(C373="","",IF(COUNTIF(tTQMReguliDoc[Cheie_regula],S373)&lt;&gt;1,"REGULA NECONFIGURATA",IF(COUNTIFS(tTQMReguliDoc[Cheie_regula],S373,tTQMReguliDoc[Stare],"Confirmata")=1,"Confirmata","De confirmat")))</f>
        <v/>
      </c>
      <c r="U373" s="22">
        <f>IF(OR(C373="",T373&lt;&gt;"Confirmata"),0,IF(COUNTIFS(tTQMReguliDoc[Cheie_regula],S373,tTQMReguliDoc[Aviz],"Da")=1,1,0))</f>
        <v>0</v>
      </c>
      <c r="V373" s="22">
        <f>IF(OR(C373="",T373&lt;&gt;"Confirmata"),0,IF(COUNTIFS(tTQMReguliDoc[Cheie_regula],S373,tTQMReguliDoc[Decl_conformitate],"Da")=1,1,0))</f>
        <v>0</v>
      </c>
      <c r="W373" s="22">
        <f>IF(OR(C373="",T373&lt;&gt;"Confirmata"),0,IF(COUNTIFS(tTQMReguliDoc[Cheie_regula],S373,tTQMReguliDoc[Decl_producator],"Da")=1,1,0))</f>
        <v>0</v>
      </c>
      <c r="X373" s="22">
        <f>IF(OR(C373="",T373&lt;&gt;"Confirmata"),0,IF(COUNTIFS(tTQMReguliDoc[Cheie_regula],S373,tTQMReguliDoc[Fise_tehnice],"Da")=1,1,0))</f>
        <v>0</v>
      </c>
      <c r="Y373" s="22" t="str">
        <f t="shared" si="29"/>
        <v/>
      </c>
      <c r="Z373" s="22"/>
      <c r="AA373" s="22"/>
    </row>
    <row r="374" spans="1:27" ht="15" customHeight="1">
      <c r="A374" s="30"/>
      <c r="B374" s="31"/>
      <c r="C374" s="30"/>
      <c r="D374" s="30"/>
      <c r="E374" s="30"/>
      <c r="F374" s="32" t="str">
        <f t="shared" si="25"/>
        <v/>
      </c>
      <c r="G374" s="30"/>
      <c r="H374" s="30"/>
      <c r="I374" s="30"/>
      <c r="J374" s="32" t="str">
        <f t="shared" si="26"/>
        <v/>
      </c>
      <c r="K374" s="30" t="str">
        <f t="shared" si="27"/>
        <v/>
      </c>
      <c r="L374" s="30"/>
      <c r="M374" s="30"/>
      <c r="N374" s="22"/>
      <c r="O374" s="25"/>
      <c r="P374" s="26"/>
      <c r="Q374" s="22"/>
      <c r="R374" s="22"/>
      <c r="S374" s="22" t="str">
        <f t="shared" si="28"/>
        <v/>
      </c>
      <c r="T374" s="22" t="str">
        <f>IF(C374="","",IF(COUNTIF(tTQMReguliDoc[Cheie_regula],S374)&lt;&gt;1,"REGULA NECONFIGURATA",IF(COUNTIFS(tTQMReguliDoc[Cheie_regula],S374,tTQMReguliDoc[Stare],"Confirmata")=1,"Confirmata","De confirmat")))</f>
        <v/>
      </c>
      <c r="U374" s="22">
        <f>IF(OR(C374="",T374&lt;&gt;"Confirmata"),0,IF(COUNTIFS(tTQMReguliDoc[Cheie_regula],S374,tTQMReguliDoc[Aviz],"Da")=1,1,0))</f>
        <v>0</v>
      </c>
      <c r="V374" s="22">
        <f>IF(OR(C374="",T374&lt;&gt;"Confirmata"),0,IF(COUNTIFS(tTQMReguliDoc[Cheie_regula],S374,tTQMReguliDoc[Decl_conformitate],"Da")=1,1,0))</f>
        <v>0</v>
      </c>
      <c r="W374" s="22">
        <f>IF(OR(C374="",T374&lt;&gt;"Confirmata"),0,IF(COUNTIFS(tTQMReguliDoc[Cheie_regula],S374,tTQMReguliDoc[Decl_producator],"Da")=1,1,0))</f>
        <v>0</v>
      </c>
      <c r="X374" s="22">
        <f>IF(OR(C374="",T374&lt;&gt;"Confirmata"),0,IF(COUNTIFS(tTQMReguliDoc[Cheie_regula],S374,tTQMReguliDoc[Fise_tehnice],"Da")=1,1,0))</f>
        <v>0</v>
      </c>
      <c r="Y374" s="22" t="str">
        <f t="shared" si="29"/>
        <v/>
      </c>
      <c r="Z374" s="22"/>
      <c r="AA374" s="22"/>
    </row>
    <row r="375" spans="1:27" ht="15" customHeight="1">
      <c r="A375" s="30"/>
      <c r="B375" s="31"/>
      <c r="C375" s="30"/>
      <c r="D375" s="30"/>
      <c r="E375" s="30"/>
      <c r="F375" s="32" t="str">
        <f t="shared" si="25"/>
        <v/>
      </c>
      <c r="G375" s="30"/>
      <c r="H375" s="30"/>
      <c r="I375" s="30"/>
      <c r="J375" s="32" t="str">
        <f t="shared" si="26"/>
        <v/>
      </c>
      <c r="K375" s="30" t="str">
        <f t="shared" si="27"/>
        <v/>
      </c>
      <c r="L375" s="30"/>
      <c r="M375" s="30"/>
      <c r="N375" s="22"/>
      <c r="O375" s="25"/>
      <c r="P375" s="26"/>
      <c r="Q375" s="22"/>
      <c r="R375" s="22"/>
      <c r="S375" s="22" t="str">
        <f t="shared" si="28"/>
        <v/>
      </c>
      <c r="T375" s="22" t="str">
        <f>IF(C375="","",IF(COUNTIF(tTQMReguliDoc[Cheie_regula],S375)&lt;&gt;1,"REGULA NECONFIGURATA",IF(COUNTIFS(tTQMReguliDoc[Cheie_regula],S375,tTQMReguliDoc[Stare],"Confirmata")=1,"Confirmata","De confirmat")))</f>
        <v/>
      </c>
      <c r="U375" s="22">
        <f>IF(OR(C375="",T375&lt;&gt;"Confirmata"),0,IF(COUNTIFS(tTQMReguliDoc[Cheie_regula],S375,tTQMReguliDoc[Aviz],"Da")=1,1,0))</f>
        <v>0</v>
      </c>
      <c r="V375" s="22">
        <f>IF(OR(C375="",T375&lt;&gt;"Confirmata"),0,IF(COUNTIFS(tTQMReguliDoc[Cheie_regula],S375,tTQMReguliDoc[Decl_conformitate],"Da")=1,1,0))</f>
        <v>0</v>
      </c>
      <c r="W375" s="22">
        <f>IF(OR(C375="",T375&lt;&gt;"Confirmata"),0,IF(COUNTIFS(tTQMReguliDoc[Cheie_regula],S375,tTQMReguliDoc[Decl_producator],"Da")=1,1,0))</f>
        <v>0</v>
      </c>
      <c r="X375" s="22">
        <f>IF(OR(C375="",T375&lt;&gt;"Confirmata"),0,IF(COUNTIFS(tTQMReguliDoc[Cheie_regula],S375,tTQMReguliDoc[Fise_tehnice],"Da")=1,1,0))</f>
        <v>0</v>
      </c>
      <c r="Y375" s="22" t="str">
        <f t="shared" si="29"/>
        <v/>
      </c>
      <c r="Z375" s="22"/>
      <c r="AA375" s="22"/>
    </row>
    <row r="376" spans="1:27" ht="15" customHeight="1">
      <c r="A376" s="30"/>
      <c r="B376" s="31"/>
      <c r="C376" s="30"/>
      <c r="D376" s="30"/>
      <c r="E376" s="30"/>
      <c r="F376" s="32" t="str">
        <f t="shared" si="25"/>
        <v/>
      </c>
      <c r="G376" s="30"/>
      <c r="H376" s="30"/>
      <c r="I376" s="30"/>
      <c r="J376" s="32" t="str">
        <f t="shared" si="26"/>
        <v/>
      </c>
      <c r="K376" s="30" t="str">
        <f t="shared" si="27"/>
        <v/>
      </c>
      <c r="L376" s="30"/>
      <c r="M376" s="30"/>
      <c r="N376" s="22"/>
      <c r="O376" s="25"/>
      <c r="P376" s="26"/>
      <c r="Q376" s="22"/>
      <c r="R376" s="22"/>
      <c r="S376" s="22" t="str">
        <f t="shared" si="28"/>
        <v/>
      </c>
      <c r="T376" s="22" t="str">
        <f>IF(C376="","",IF(COUNTIF(tTQMReguliDoc[Cheie_regula],S376)&lt;&gt;1,"REGULA NECONFIGURATA",IF(COUNTIFS(tTQMReguliDoc[Cheie_regula],S376,tTQMReguliDoc[Stare],"Confirmata")=1,"Confirmata","De confirmat")))</f>
        <v/>
      </c>
      <c r="U376" s="22">
        <f>IF(OR(C376="",T376&lt;&gt;"Confirmata"),0,IF(COUNTIFS(tTQMReguliDoc[Cheie_regula],S376,tTQMReguliDoc[Aviz],"Da")=1,1,0))</f>
        <v>0</v>
      </c>
      <c r="V376" s="22">
        <f>IF(OR(C376="",T376&lt;&gt;"Confirmata"),0,IF(COUNTIFS(tTQMReguliDoc[Cheie_regula],S376,tTQMReguliDoc[Decl_conformitate],"Da")=1,1,0))</f>
        <v>0</v>
      </c>
      <c r="W376" s="22">
        <f>IF(OR(C376="",T376&lt;&gt;"Confirmata"),0,IF(COUNTIFS(tTQMReguliDoc[Cheie_regula],S376,tTQMReguliDoc[Decl_producator],"Da")=1,1,0))</f>
        <v>0</v>
      </c>
      <c r="X376" s="22">
        <f>IF(OR(C376="",T376&lt;&gt;"Confirmata"),0,IF(COUNTIFS(tTQMReguliDoc[Cheie_regula],S376,tTQMReguliDoc[Fise_tehnice],"Da")=1,1,0))</f>
        <v>0</v>
      </c>
      <c r="Y376" s="22" t="str">
        <f t="shared" si="29"/>
        <v/>
      </c>
      <c r="Z376" s="22"/>
      <c r="AA376" s="22"/>
    </row>
    <row r="377" spans="1:27" ht="15" customHeight="1">
      <c r="A377" s="30"/>
      <c r="B377" s="31"/>
      <c r="C377" s="30"/>
      <c r="D377" s="30"/>
      <c r="E377" s="30"/>
      <c r="F377" s="32" t="str">
        <f t="shared" si="25"/>
        <v/>
      </c>
      <c r="G377" s="30"/>
      <c r="H377" s="30"/>
      <c r="I377" s="30"/>
      <c r="J377" s="32" t="str">
        <f t="shared" si="26"/>
        <v/>
      </c>
      <c r="K377" s="30" t="str">
        <f t="shared" si="27"/>
        <v/>
      </c>
      <c r="L377" s="30"/>
      <c r="M377" s="30"/>
      <c r="N377" s="22"/>
      <c r="O377" s="25"/>
      <c r="P377" s="26"/>
      <c r="Q377" s="22"/>
      <c r="R377" s="22"/>
      <c r="S377" s="22" t="str">
        <f t="shared" si="28"/>
        <v/>
      </c>
      <c r="T377" s="22" t="str">
        <f>IF(C377="","",IF(COUNTIF(tTQMReguliDoc[Cheie_regula],S377)&lt;&gt;1,"REGULA NECONFIGURATA",IF(COUNTIFS(tTQMReguliDoc[Cheie_regula],S377,tTQMReguliDoc[Stare],"Confirmata")=1,"Confirmata","De confirmat")))</f>
        <v/>
      </c>
      <c r="U377" s="22">
        <f>IF(OR(C377="",T377&lt;&gt;"Confirmata"),0,IF(COUNTIFS(tTQMReguliDoc[Cheie_regula],S377,tTQMReguliDoc[Aviz],"Da")=1,1,0))</f>
        <v>0</v>
      </c>
      <c r="V377" s="22">
        <f>IF(OR(C377="",T377&lt;&gt;"Confirmata"),0,IF(COUNTIFS(tTQMReguliDoc[Cheie_regula],S377,tTQMReguliDoc[Decl_conformitate],"Da")=1,1,0))</f>
        <v>0</v>
      </c>
      <c r="W377" s="22">
        <f>IF(OR(C377="",T377&lt;&gt;"Confirmata"),0,IF(COUNTIFS(tTQMReguliDoc[Cheie_regula],S377,tTQMReguliDoc[Decl_producator],"Da")=1,1,0))</f>
        <v>0</v>
      </c>
      <c r="X377" s="22">
        <f>IF(OR(C377="",T377&lt;&gt;"Confirmata"),0,IF(COUNTIFS(tTQMReguliDoc[Cheie_regula],S377,tTQMReguliDoc[Fise_tehnice],"Da")=1,1,0))</f>
        <v>0</v>
      </c>
      <c r="Y377" s="22" t="str">
        <f t="shared" si="29"/>
        <v/>
      </c>
      <c r="Z377" s="22"/>
      <c r="AA377" s="22"/>
    </row>
    <row r="378" spans="1:27" ht="15" customHeight="1">
      <c r="A378" s="30"/>
      <c r="B378" s="31"/>
      <c r="C378" s="30"/>
      <c r="D378" s="30"/>
      <c r="E378" s="30"/>
      <c r="F378" s="32" t="str">
        <f t="shared" si="25"/>
        <v/>
      </c>
      <c r="G378" s="30"/>
      <c r="H378" s="30"/>
      <c r="I378" s="30"/>
      <c r="J378" s="32" t="str">
        <f t="shared" si="26"/>
        <v/>
      </c>
      <c r="K378" s="30" t="str">
        <f t="shared" si="27"/>
        <v/>
      </c>
      <c r="L378" s="30"/>
      <c r="M378" s="30"/>
      <c r="N378" s="22"/>
      <c r="O378" s="25"/>
      <c r="P378" s="26"/>
      <c r="Q378" s="22"/>
      <c r="R378" s="22"/>
      <c r="S378" s="22" t="str">
        <f t="shared" si="28"/>
        <v/>
      </c>
      <c r="T378" s="22" t="str">
        <f>IF(C378="","",IF(COUNTIF(tTQMReguliDoc[Cheie_regula],S378)&lt;&gt;1,"REGULA NECONFIGURATA",IF(COUNTIFS(tTQMReguliDoc[Cheie_regula],S378,tTQMReguliDoc[Stare],"Confirmata")=1,"Confirmata","De confirmat")))</f>
        <v/>
      </c>
      <c r="U378" s="22">
        <f>IF(OR(C378="",T378&lt;&gt;"Confirmata"),0,IF(COUNTIFS(tTQMReguliDoc[Cheie_regula],S378,tTQMReguliDoc[Aviz],"Da")=1,1,0))</f>
        <v>0</v>
      </c>
      <c r="V378" s="22">
        <f>IF(OR(C378="",T378&lt;&gt;"Confirmata"),0,IF(COUNTIFS(tTQMReguliDoc[Cheie_regula],S378,tTQMReguliDoc[Decl_conformitate],"Da")=1,1,0))</f>
        <v>0</v>
      </c>
      <c r="W378" s="22">
        <f>IF(OR(C378="",T378&lt;&gt;"Confirmata"),0,IF(COUNTIFS(tTQMReguliDoc[Cheie_regula],S378,tTQMReguliDoc[Decl_producator],"Da")=1,1,0))</f>
        <v>0</v>
      </c>
      <c r="X378" s="22">
        <f>IF(OR(C378="",T378&lt;&gt;"Confirmata"),0,IF(COUNTIFS(tTQMReguliDoc[Cheie_regula],S378,tTQMReguliDoc[Fise_tehnice],"Da")=1,1,0))</f>
        <v>0</v>
      </c>
      <c r="Y378" s="22" t="str">
        <f t="shared" si="29"/>
        <v/>
      </c>
      <c r="Z378" s="22"/>
      <c r="AA378" s="22"/>
    </row>
    <row r="379" spans="1:27" ht="15" customHeight="1">
      <c r="A379" s="30"/>
      <c r="B379" s="31"/>
      <c r="C379" s="30"/>
      <c r="D379" s="30"/>
      <c r="E379" s="30"/>
      <c r="F379" s="32" t="str">
        <f t="shared" si="25"/>
        <v/>
      </c>
      <c r="G379" s="30"/>
      <c r="H379" s="30"/>
      <c r="I379" s="30"/>
      <c r="J379" s="32" t="str">
        <f t="shared" si="26"/>
        <v/>
      </c>
      <c r="K379" s="30" t="str">
        <f t="shared" si="27"/>
        <v/>
      </c>
      <c r="L379" s="30"/>
      <c r="M379" s="30"/>
      <c r="N379" s="22"/>
      <c r="O379" s="25"/>
      <c r="P379" s="26"/>
      <c r="Q379" s="22"/>
      <c r="R379" s="22"/>
      <c r="S379" s="22" t="str">
        <f t="shared" si="28"/>
        <v/>
      </c>
      <c r="T379" s="22" t="str">
        <f>IF(C379="","",IF(COUNTIF(tTQMReguliDoc[Cheie_regula],S379)&lt;&gt;1,"REGULA NECONFIGURATA",IF(COUNTIFS(tTQMReguliDoc[Cheie_regula],S379,tTQMReguliDoc[Stare],"Confirmata")=1,"Confirmata","De confirmat")))</f>
        <v/>
      </c>
      <c r="U379" s="22">
        <f>IF(OR(C379="",T379&lt;&gt;"Confirmata"),0,IF(COUNTIFS(tTQMReguliDoc[Cheie_regula],S379,tTQMReguliDoc[Aviz],"Da")=1,1,0))</f>
        <v>0</v>
      </c>
      <c r="V379" s="22">
        <f>IF(OR(C379="",T379&lt;&gt;"Confirmata"),0,IF(COUNTIFS(tTQMReguliDoc[Cheie_regula],S379,tTQMReguliDoc[Decl_conformitate],"Da")=1,1,0))</f>
        <v>0</v>
      </c>
      <c r="W379" s="22">
        <f>IF(OR(C379="",T379&lt;&gt;"Confirmata"),0,IF(COUNTIFS(tTQMReguliDoc[Cheie_regula],S379,tTQMReguliDoc[Decl_producator],"Da")=1,1,0))</f>
        <v>0</v>
      </c>
      <c r="X379" s="22">
        <f>IF(OR(C379="",T379&lt;&gt;"Confirmata"),0,IF(COUNTIFS(tTQMReguliDoc[Cheie_regula],S379,tTQMReguliDoc[Fise_tehnice],"Da")=1,1,0))</f>
        <v>0</v>
      </c>
      <c r="Y379" s="22" t="str">
        <f t="shared" si="29"/>
        <v/>
      </c>
      <c r="Z379" s="22"/>
      <c r="AA379" s="22"/>
    </row>
    <row r="380" spans="1:27" ht="15" customHeight="1">
      <c r="A380" s="30"/>
      <c r="B380" s="31"/>
      <c r="C380" s="30"/>
      <c r="D380" s="30"/>
      <c r="E380" s="30"/>
      <c r="F380" s="32" t="str">
        <f t="shared" si="25"/>
        <v/>
      </c>
      <c r="G380" s="30"/>
      <c r="H380" s="30"/>
      <c r="I380" s="30"/>
      <c r="J380" s="32" t="str">
        <f t="shared" si="26"/>
        <v/>
      </c>
      <c r="K380" s="30" t="str">
        <f t="shared" si="27"/>
        <v/>
      </c>
      <c r="L380" s="30"/>
      <c r="M380" s="30"/>
      <c r="N380" s="22"/>
      <c r="O380" s="25"/>
      <c r="P380" s="26"/>
      <c r="Q380" s="22"/>
      <c r="R380" s="22"/>
      <c r="S380" s="22" t="str">
        <f t="shared" si="28"/>
        <v/>
      </c>
      <c r="T380" s="22" t="str">
        <f>IF(C380="","",IF(COUNTIF(tTQMReguliDoc[Cheie_regula],S380)&lt;&gt;1,"REGULA NECONFIGURATA",IF(COUNTIFS(tTQMReguliDoc[Cheie_regula],S380,tTQMReguliDoc[Stare],"Confirmata")=1,"Confirmata","De confirmat")))</f>
        <v/>
      </c>
      <c r="U380" s="22">
        <f>IF(OR(C380="",T380&lt;&gt;"Confirmata"),0,IF(COUNTIFS(tTQMReguliDoc[Cheie_regula],S380,tTQMReguliDoc[Aviz],"Da")=1,1,0))</f>
        <v>0</v>
      </c>
      <c r="V380" s="22">
        <f>IF(OR(C380="",T380&lt;&gt;"Confirmata"),0,IF(COUNTIFS(tTQMReguliDoc[Cheie_regula],S380,tTQMReguliDoc[Decl_conformitate],"Da")=1,1,0))</f>
        <v>0</v>
      </c>
      <c r="W380" s="22">
        <f>IF(OR(C380="",T380&lt;&gt;"Confirmata"),0,IF(COUNTIFS(tTQMReguliDoc[Cheie_regula],S380,tTQMReguliDoc[Decl_producator],"Da")=1,1,0))</f>
        <v>0</v>
      </c>
      <c r="X380" s="22">
        <f>IF(OR(C380="",T380&lt;&gt;"Confirmata"),0,IF(COUNTIFS(tTQMReguliDoc[Cheie_regula],S380,tTQMReguliDoc[Fise_tehnice],"Da")=1,1,0))</f>
        <v>0</v>
      </c>
      <c r="Y380" s="22" t="str">
        <f t="shared" si="29"/>
        <v/>
      </c>
      <c r="Z380" s="22"/>
      <c r="AA380" s="22"/>
    </row>
    <row r="381" spans="1:27" ht="15" customHeight="1">
      <c r="A381" s="30"/>
      <c r="B381" s="31"/>
      <c r="C381" s="30"/>
      <c r="D381" s="30"/>
      <c r="E381" s="30"/>
      <c r="F381" s="32" t="str">
        <f t="shared" si="25"/>
        <v/>
      </c>
      <c r="G381" s="30"/>
      <c r="H381" s="30"/>
      <c r="I381" s="30"/>
      <c r="J381" s="32" t="str">
        <f t="shared" si="26"/>
        <v/>
      </c>
      <c r="K381" s="30" t="str">
        <f t="shared" si="27"/>
        <v/>
      </c>
      <c r="L381" s="30"/>
      <c r="M381" s="30"/>
      <c r="N381" s="22"/>
      <c r="O381" s="25"/>
      <c r="P381" s="26"/>
      <c r="Q381" s="22"/>
      <c r="R381" s="22"/>
      <c r="S381" s="22" t="str">
        <f t="shared" si="28"/>
        <v/>
      </c>
      <c r="T381" s="22" t="str">
        <f>IF(C381="","",IF(COUNTIF(tTQMReguliDoc[Cheie_regula],S381)&lt;&gt;1,"REGULA NECONFIGURATA",IF(COUNTIFS(tTQMReguliDoc[Cheie_regula],S381,tTQMReguliDoc[Stare],"Confirmata")=1,"Confirmata","De confirmat")))</f>
        <v/>
      </c>
      <c r="U381" s="22">
        <f>IF(OR(C381="",T381&lt;&gt;"Confirmata"),0,IF(COUNTIFS(tTQMReguliDoc[Cheie_regula],S381,tTQMReguliDoc[Aviz],"Da")=1,1,0))</f>
        <v>0</v>
      </c>
      <c r="V381" s="22">
        <f>IF(OR(C381="",T381&lt;&gt;"Confirmata"),0,IF(COUNTIFS(tTQMReguliDoc[Cheie_regula],S381,tTQMReguliDoc[Decl_conformitate],"Da")=1,1,0))</f>
        <v>0</v>
      </c>
      <c r="W381" s="22">
        <f>IF(OR(C381="",T381&lt;&gt;"Confirmata"),0,IF(COUNTIFS(tTQMReguliDoc[Cheie_regula],S381,tTQMReguliDoc[Decl_producator],"Da")=1,1,0))</f>
        <v>0</v>
      </c>
      <c r="X381" s="22">
        <f>IF(OR(C381="",T381&lt;&gt;"Confirmata"),0,IF(COUNTIFS(tTQMReguliDoc[Cheie_regula],S381,tTQMReguliDoc[Fise_tehnice],"Da")=1,1,0))</f>
        <v>0</v>
      </c>
      <c r="Y381" s="22" t="str">
        <f t="shared" si="29"/>
        <v/>
      </c>
      <c r="Z381" s="22"/>
      <c r="AA381" s="22"/>
    </row>
    <row r="382" spans="1:27" ht="15" customHeight="1">
      <c r="A382" s="30"/>
      <c r="B382" s="31"/>
      <c r="C382" s="30"/>
      <c r="D382" s="30"/>
      <c r="E382" s="30"/>
      <c r="F382" s="32" t="str">
        <f t="shared" si="25"/>
        <v/>
      </c>
      <c r="G382" s="30"/>
      <c r="H382" s="30"/>
      <c r="I382" s="30"/>
      <c r="J382" s="32" t="str">
        <f t="shared" si="26"/>
        <v/>
      </c>
      <c r="K382" s="30" t="str">
        <f t="shared" si="27"/>
        <v/>
      </c>
      <c r="L382" s="30"/>
      <c r="M382" s="30"/>
      <c r="N382" s="22"/>
      <c r="O382" s="25"/>
      <c r="P382" s="26"/>
      <c r="Q382" s="22"/>
      <c r="R382" s="22"/>
      <c r="S382" s="22" t="str">
        <f t="shared" si="28"/>
        <v/>
      </c>
      <c r="T382" s="22" t="str">
        <f>IF(C382="","",IF(COUNTIF(tTQMReguliDoc[Cheie_regula],S382)&lt;&gt;1,"REGULA NECONFIGURATA",IF(COUNTIFS(tTQMReguliDoc[Cheie_regula],S382,tTQMReguliDoc[Stare],"Confirmata")=1,"Confirmata","De confirmat")))</f>
        <v/>
      </c>
      <c r="U382" s="22">
        <f>IF(OR(C382="",T382&lt;&gt;"Confirmata"),0,IF(COUNTIFS(tTQMReguliDoc[Cheie_regula],S382,tTQMReguliDoc[Aviz],"Da")=1,1,0))</f>
        <v>0</v>
      </c>
      <c r="V382" s="22">
        <f>IF(OR(C382="",T382&lt;&gt;"Confirmata"),0,IF(COUNTIFS(tTQMReguliDoc[Cheie_regula],S382,tTQMReguliDoc[Decl_conformitate],"Da")=1,1,0))</f>
        <v>0</v>
      </c>
      <c r="W382" s="22">
        <f>IF(OR(C382="",T382&lt;&gt;"Confirmata"),0,IF(COUNTIFS(tTQMReguliDoc[Cheie_regula],S382,tTQMReguliDoc[Decl_producator],"Da")=1,1,0))</f>
        <v>0</v>
      </c>
      <c r="X382" s="22">
        <f>IF(OR(C382="",T382&lt;&gt;"Confirmata"),0,IF(COUNTIFS(tTQMReguliDoc[Cheie_regula],S382,tTQMReguliDoc[Fise_tehnice],"Da")=1,1,0))</f>
        <v>0</v>
      </c>
      <c r="Y382" s="22" t="str">
        <f t="shared" si="29"/>
        <v/>
      </c>
      <c r="Z382" s="22"/>
      <c r="AA382" s="22"/>
    </row>
    <row r="383" spans="1:27" ht="15" customHeight="1">
      <c r="A383" s="30"/>
      <c r="B383" s="31"/>
      <c r="C383" s="30"/>
      <c r="D383" s="30"/>
      <c r="E383" s="30"/>
      <c r="F383" s="32" t="str">
        <f t="shared" si="25"/>
        <v/>
      </c>
      <c r="G383" s="30"/>
      <c r="H383" s="30"/>
      <c r="I383" s="30"/>
      <c r="J383" s="32" t="str">
        <f t="shared" si="26"/>
        <v/>
      </c>
      <c r="K383" s="30" t="str">
        <f t="shared" si="27"/>
        <v/>
      </c>
      <c r="L383" s="30"/>
      <c r="M383" s="30"/>
      <c r="N383" s="22"/>
      <c r="O383" s="25"/>
      <c r="P383" s="26"/>
      <c r="Q383" s="22"/>
      <c r="R383" s="22"/>
      <c r="S383" s="22" t="str">
        <f t="shared" si="28"/>
        <v/>
      </c>
      <c r="T383" s="22" t="str">
        <f>IF(C383="","",IF(COUNTIF(tTQMReguliDoc[Cheie_regula],S383)&lt;&gt;1,"REGULA NECONFIGURATA",IF(COUNTIFS(tTQMReguliDoc[Cheie_regula],S383,tTQMReguliDoc[Stare],"Confirmata")=1,"Confirmata","De confirmat")))</f>
        <v/>
      </c>
      <c r="U383" s="22">
        <f>IF(OR(C383="",T383&lt;&gt;"Confirmata"),0,IF(COUNTIFS(tTQMReguliDoc[Cheie_regula],S383,tTQMReguliDoc[Aviz],"Da")=1,1,0))</f>
        <v>0</v>
      </c>
      <c r="V383" s="22">
        <f>IF(OR(C383="",T383&lt;&gt;"Confirmata"),0,IF(COUNTIFS(tTQMReguliDoc[Cheie_regula],S383,tTQMReguliDoc[Decl_conformitate],"Da")=1,1,0))</f>
        <v>0</v>
      </c>
      <c r="W383" s="22">
        <f>IF(OR(C383="",T383&lt;&gt;"Confirmata"),0,IF(COUNTIFS(tTQMReguliDoc[Cheie_regula],S383,tTQMReguliDoc[Decl_producator],"Da")=1,1,0))</f>
        <v>0</v>
      </c>
      <c r="X383" s="22">
        <f>IF(OR(C383="",T383&lt;&gt;"Confirmata"),0,IF(COUNTIFS(tTQMReguliDoc[Cheie_regula],S383,tTQMReguliDoc[Fise_tehnice],"Da")=1,1,0))</f>
        <v>0</v>
      </c>
      <c r="Y383" s="22" t="str">
        <f t="shared" si="29"/>
        <v/>
      </c>
      <c r="Z383" s="22"/>
      <c r="AA383" s="22"/>
    </row>
    <row r="384" spans="1:27" ht="15" customHeight="1">
      <c r="A384" s="30"/>
      <c r="B384" s="31"/>
      <c r="C384" s="30"/>
      <c r="D384" s="30"/>
      <c r="E384" s="30"/>
      <c r="F384" s="32" t="str">
        <f t="shared" si="25"/>
        <v/>
      </c>
      <c r="G384" s="30"/>
      <c r="H384" s="30"/>
      <c r="I384" s="30"/>
      <c r="J384" s="32" t="str">
        <f t="shared" si="26"/>
        <v/>
      </c>
      <c r="K384" s="30" t="str">
        <f t="shared" si="27"/>
        <v/>
      </c>
      <c r="L384" s="30"/>
      <c r="M384" s="30"/>
      <c r="N384" s="22"/>
      <c r="O384" s="25"/>
      <c r="P384" s="26"/>
      <c r="Q384" s="22"/>
      <c r="R384" s="22"/>
      <c r="S384" s="22" t="str">
        <f t="shared" si="28"/>
        <v/>
      </c>
      <c r="T384" s="22" t="str">
        <f>IF(C384="","",IF(COUNTIF(tTQMReguliDoc[Cheie_regula],S384)&lt;&gt;1,"REGULA NECONFIGURATA",IF(COUNTIFS(tTQMReguliDoc[Cheie_regula],S384,tTQMReguliDoc[Stare],"Confirmata")=1,"Confirmata","De confirmat")))</f>
        <v/>
      </c>
      <c r="U384" s="22">
        <f>IF(OR(C384="",T384&lt;&gt;"Confirmata"),0,IF(COUNTIFS(tTQMReguliDoc[Cheie_regula],S384,tTQMReguliDoc[Aviz],"Da")=1,1,0))</f>
        <v>0</v>
      </c>
      <c r="V384" s="22">
        <f>IF(OR(C384="",T384&lt;&gt;"Confirmata"),0,IF(COUNTIFS(tTQMReguliDoc[Cheie_regula],S384,tTQMReguliDoc[Decl_conformitate],"Da")=1,1,0))</f>
        <v>0</v>
      </c>
      <c r="W384" s="22">
        <f>IF(OR(C384="",T384&lt;&gt;"Confirmata"),0,IF(COUNTIFS(tTQMReguliDoc[Cheie_regula],S384,tTQMReguliDoc[Decl_producator],"Da")=1,1,0))</f>
        <v>0</v>
      </c>
      <c r="X384" s="22">
        <f>IF(OR(C384="",T384&lt;&gt;"Confirmata"),0,IF(COUNTIFS(tTQMReguliDoc[Cheie_regula],S384,tTQMReguliDoc[Fise_tehnice],"Da")=1,1,0))</f>
        <v>0</v>
      </c>
      <c r="Y384" s="22" t="str">
        <f t="shared" si="29"/>
        <v/>
      </c>
      <c r="Z384" s="22"/>
      <c r="AA384" s="22"/>
    </row>
    <row r="385" spans="1:27" ht="15" customHeight="1">
      <c r="A385" s="30"/>
      <c r="B385" s="31"/>
      <c r="C385" s="30"/>
      <c r="D385" s="30"/>
      <c r="E385" s="30"/>
      <c r="F385" s="32" t="str">
        <f t="shared" si="25"/>
        <v/>
      </c>
      <c r="G385" s="30"/>
      <c r="H385" s="30"/>
      <c r="I385" s="30"/>
      <c r="J385" s="32" t="str">
        <f t="shared" si="26"/>
        <v/>
      </c>
      <c r="K385" s="30" t="str">
        <f t="shared" si="27"/>
        <v/>
      </c>
      <c r="L385" s="30"/>
      <c r="M385" s="30"/>
      <c r="N385" s="22"/>
      <c r="O385" s="25"/>
      <c r="P385" s="26"/>
      <c r="Q385" s="22"/>
      <c r="R385" s="22"/>
      <c r="S385" s="22" t="str">
        <f t="shared" si="28"/>
        <v/>
      </c>
      <c r="T385" s="22" t="str">
        <f>IF(C385="","",IF(COUNTIF(tTQMReguliDoc[Cheie_regula],S385)&lt;&gt;1,"REGULA NECONFIGURATA",IF(COUNTIFS(tTQMReguliDoc[Cheie_regula],S385,tTQMReguliDoc[Stare],"Confirmata")=1,"Confirmata","De confirmat")))</f>
        <v/>
      </c>
      <c r="U385" s="22">
        <f>IF(OR(C385="",T385&lt;&gt;"Confirmata"),0,IF(COUNTIFS(tTQMReguliDoc[Cheie_regula],S385,tTQMReguliDoc[Aviz],"Da")=1,1,0))</f>
        <v>0</v>
      </c>
      <c r="V385" s="22">
        <f>IF(OR(C385="",T385&lt;&gt;"Confirmata"),0,IF(COUNTIFS(tTQMReguliDoc[Cheie_regula],S385,tTQMReguliDoc[Decl_conformitate],"Da")=1,1,0))</f>
        <v>0</v>
      </c>
      <c r="W385" s="22">
        <f>IF(OR(C385="",T385&lt;&gt;"Confirmata"),0,IF(COUNTIFS(tTQMReguliDoc[Cheie_regula],S385,tTQMReguliDoc[Decl_producator],"Da")=1,1,0))</f>
        <v>0</v>
      </c>
      <c r="X385" s="22">
        <f>IF(OR(C385="",T385&lt;&gt;"Confirmata"),0,IF(COUNTIFS(tTQMReguliDoc[Cheie_regula],S385,tTQMReguliDoc[Fise_tehnice],"Da")=1,1,0))</f>
        <v>0</v>
      </c>
      <c r="Y385" s="22" t="str">
        <f t="shared" si="29"/>
        <v/>
      </c>
      <c r="Z385" s="22"/>
      <c r="AA385" s="22"/>
    </row>
    <row r="386" spans="1:27" ht="15" customHeight="1">
      <c r="A386" s="30"/>
      <c r="B386" s="31"/>
      <c r="C386" s="30"/>
      <c r="D386" s="30"/>
      <c r="E386" s="30"/>
      <c r="F386" s="32" t="str">
        <f t="shared" si="25"/>
        <v/>
      </c>
      <c r="G386" s="30"/>
      <c r="H386" s="30"/>
      <c r="I386" s="30"/>
      <c r="J386" s="32" t="str">
        <f t="shared" si="26"/>
        <v/>
      </c>
      <c r="K386" s="30" t="str">
        <f t="shared" si="27"/>
        <v/>
      </c>
      <c r="L386" s="30"/>
      <c r="M386" s="30"/>
      <c r="N386" s="22"/>
      <c r="O386" s="25"/>
      <c r="P386" s="26"/>
      <c r="Q386" s="22"/>
      <c r="R386" s="22"/>
      <c r="S386" s="22" t="str">
        <f t="shared" si="28"/>
        <v/>
      </c>
      <c r="T386" s="22" t="str">
        <f>IF(C386="","",IF(COUNTIF(tTQMReguliDoc[Cheie_regula],S386)&lt;&gt;1,"REGULA NECONFIGURATA",IF(COUNTIFS(tTQMReguliDoc[Cheie_regula],S386,tTQMReguliDoc[Stare],"Confirmata")=1,"Confirmata","De confirmat")))</f>
        <v/>
      </c>
      <c r="U386" s="22">
        <f>IF(OR(C386="",T386&lt;&gt;"Confirmata"),0,IF(COUNTIFS(tTQMReguliDoc[Cheie_regula],S386,tTQMReguliDoc[Aviz],"Da")=1,1,0))</f>
        <v>0</v>
      </c>
      <c r="V386" s="22">
        <f>IF(OR(C386="",T386&lt;&gt;"Confirmata"),0,IF(COUNTIFS(tTQMReguliDoc[Cheie_regula],S386,tTQMReguliDoc[Decl_conformitate],"Da")=1,1,0))</f>
        <v>0</v>
      </c>
      <c r="W386" s="22">
        <f>IF(OR(C386="",T386&lt;&gt;"Confirmata"),0,IF(COUNTIFS(tTQMReguliDoc[Cheie_regula],S386,tTQMReguliDoc[Decl_producator],"Da")=1,1,0))</f>
        <v>0</v>
      </c>
      <c r="X386" s="22">
        <f>IF(OR(C386="",T386&lt;&gt;"Confirmata"),0,IF(COUNTIFS(tTQMReguliDoc[Cheie_regula],S386,tTQMReguliDoc[Fise_tehnice],"Da")=1,1,0))</f>
        <v>0</v>
      </c>
      <c r="Y386" s="22" t="str">
        <f t="shared" si="29"/>
        <v/>
      </c>
      <c r="Z386" s="22"/>
      <c r="AA386" s="22"/>
    </row>
    <row r="387" spans="1:27" ht="15" customHeight="1">
      <c r="A387" s="30"/>
      <c r="B387" s="31"/>
      <c r="C387" s="30"/>
      <c r="D387" s="30"/>
      <c r="E387" s="30"/>
      <c r="F387" s="32" t="str">
        <f t="shared" si="25"/>
        <v/>
      </c>
      <c r="G387" s="30"/>
      <c r="H387" s="30"/>
      <c r="I387" s="30"/>
      <c r="J387" s="32" t="str">
        <f t="shared" si="26"/>
        <v/>
      </c>
      <c r="K387" s="30" t="str">
        <f t="shared" si="27"/>
        <v/>
      </c>
      <c r="L387" s="30"/>
      <c r="M387" s="30"/>
      <c r="N387" s="22"/>
      <c r="O387" s="25"/>
      <c r="P387" s="26"/>
      <c r="Q387" s="22"/>
      <c r="R387" s="22"/>
      <c r="S387" s="22" t="str">
        <f t="shared" si="28"/>
        <v/>
      </c>
      <c r="T387" s="22" t="str">
        <f>IF(C387="","",IF(COUNTIF(tTQMReguliDoc[Cheie_regula],S387)&lt;&gt;1,"REGULA NECONFIGURATA",IF(COUNTIFS(tTQMReguliDoc[Cheie_regula],S387,tTQMReguliDoc[Stare],"Confirmata")=1,"Confirmata","De confirmat")))</f>
        <v/>
      </c>
      <c r="U387" s="22">
        <f>IF(OR(C387="",T387&lt;&gt;"Confirmata"),0,IF(COUNTIFS(tTQMReguliDoc[Cheie_regula],S387,tTQMReguliDoc[Aviz],"Da")=1,1,0))</f>
        <v>0</v>
      </c>
      <c r="V387" s="22">
        <f>IF(OR(C387="",T387&lt;&gt;"Confirmata"),0,IF(COUNTIFS(tTQMReguliDoc[Cheie_regula],S387,tTQMReguliDoc[Decl_conformitate],"Da")=1,1,0))</f>
        <v>0</v>
      </c>
      <c r="W387" s="22">
        <f>IF(OR(C387="",T387&lt;&gt;"Confirmata"),0,IF(COUNTIFS(tTQMReguliDoc[Cheie_regula],S387,tTQMReguliDoc[Decl_producator],"Da")=1,1,0))</f>
        <v>0</v>
      </c>
      <c r="X387" s="22">
        <f>IF(OR(C387="",T387&lt;&gt;"Confirmata"),0,IF(COUNTIFS(tTQMReguliDoc[Cheie_regula],S387,tTQMReguliDoc[Fise_tehnice],"Da")=1,1,0))</f>
        <v>0</v>
      </c>
      <c r="Y387" s="22" t="str">
        <f t="shared" si="29"/>
        <v/>
      </c>
      <c r="Z387" s="22"/>
      <c r="AA387" s="22"/>
    </row>
    <row r="388" spans="1:27" ht="15" customHeight="1">
      <c r="A388" s="30"/>
      <c r="B388" s="31"/>
      <c r="C388" s="30"/>
      <c r="D388" s="30"/>
      <c r="E388" s="30"/>
      <c r="F388" s="32" t="str">
        <f t="shared" si="25"/>
        <v/>
      </c>
      <c r="G388" s="30"/>
      <c r="H388" s="30"/>
      <c r="I388" s="30"/>
      <c r="J388" s="32" t="str">
        <f t="shared" si="26"/>
        <v/>
      </c>
      <c r="K388" s="30" t="str">
        <f t="shared" si="27"/>
        <v/>
      </c>
      <c r="L388" s="30"/>
      <c r="M388" s="30"/>
      <c r="N388" s="22"/>
      <c r="O388" s="25"/>
      <c r="P388" s="26"/>
      <c r="Q388" s="22"/>
      <c r="R388" s="22"/>
      <c r="S388" s="22" t="str">
        <f t="shared" si="28"/>
        <v/>
      </c>
      <c r="T388" s="22" t="str">
        <f>IF(C388="","",IF(COUNTIF(tTQMReguliDoc[Cheie_regula],S388)&lt;&gt;1,"REGULA NECONFIGURATA",IF(COUNTIFS(tTQMReguliDoc[Cheie_regula],S388,tTQMReguliDoc[Stare],"Confirmata")=1,"Confirmata","De confirmat")))</f>
        <v/>
      </c>
      <c r="U388" s="22">
        <f>IF(OR(C388="",T388&lt;&gt;"Confirmata"),0,IF(COUNTIFS(tTQMReguliDoc[Cheie_regula],S388,tTQMReguliDoc[Aviz],"Da")=1,1,0))</f>
        <v>0</v>
      </c>
      <c r="V388" s="22">
        <f>IF(OR(C388="",T388&lt;&gt;"Confirmata"),0,IF(COUNTIFS(tTQMReguliDoc[Cheie_regula],S388,tTQMReguliDoc[Decl_conformitate],"Da")=1,1,0))</f>
        <v>0</v>
      </c>
      <c r="W388" s="22">
        <f>IF(OR(C388="",T388&lt;&gt;"Confirmata"),0,IF(COUNTIFS(tTQMReguliDoc[Cheie_regula],S388,tTQMReguliDoc[Decl_producator],"Da")=1,1,0))</f>
        <v>0</v>
      </c>
      <c r="X388" s="22">
        <f>IF(OR(C388="",T388&lt;&gt;"Confirmata"),0,IF(COUNTIFS(tTQMReguliDoc[Cheie_regula],S388,tTQMReguliDoc[Fise_tehnice],"Da")=1,1,0))</f>
        <v>0</v>
      </c>
      <c r="Y388" s="22" t="str">
        <f t="shared" si="29"/>
        <v/>
      </c>
      <c r="Z388" s="22"/>
      <c r="AA388" s="22"/>
    </row>
    <row r="389" spans="1:27" ht="15" customHeight="1">
      <c r="A389" s="30"/>
      <c r="B389" s="31"/>
      <c r="C389" s="30"/>
      <c r="D389" s="30"/>
      <c r="E389" s="30"/>
      <c r="F389" s="32" t="str">
        <f t="shared" si="25"/>
        <v/>
      </c>
      <c r="G389" s="30"/>
      <c r="H389" s="30"/>
      <c r="I389" s="30"/>
      <c r="J389" s="32" t="str">
        <f t="shared" si="26"/>
        <v/>
      </c>
      <c r="K389" s="30" t="str">
        <f t="shared" si="27"/>
        <v/>
      </c>
      <c r="L389" s="30"/>
      <c r="M389" s="30"/>
      <c r="N389" s="22"/>
      <c r="O389" s="25"/>
      <c r="P389" s="26"/>
      <c r="Q389" s="22"/>
      <c r="R389" s="22"/>
      <c r="S389" s="22" t="str">
        <f t="shared" si="28"/>
        <v/>
      </c>
      <c r="T389" s="22" t="str">
        <f>IF(C389="","",IF(COUNTIF(tTQMReguliDoc[Cheie_regula],S389)&lt;&gt;1,"REGULA NECONFIGURATA",IF(COUNTIFS(tTQMReguliDoc[Cheie_regula],S389,tTQMReguliDoc[Stare],"Confirmata")=1,"Confirmata","De confirmat")))</f>
        <v/>
      </c>
      <c r="U389" s="22">
        <f>IF(OR(C389="",T389&lt;&gt;"Confirmata"),0,IF(COUNTIFS(tTQMReguliDoc[Cheie_regula],S389,tTQMReguliDoc[Aviz],"Da")=1,1,0))</f>
        <v>0</v>
      </c>
      <c r="V389" s="22">
        <f>IF(OR(C389="",T389&lt;&gt;"Confirmata"),0,IF(COUNTIFS(tTQMReguliDoc[Cheie_regula],S389,tTQMReguliDoc[Decl_conformitate],"Da")=1,1,0))</f>
        <v>0</v>
      </c>
      <c r="W389" s="22">
        <f>IF(OR(C389="",T389&lt;&gt;"Confirmata"),0,IF(COUNTIFS(tTQMReguliDoc[Cheie_regula],S389,tTQMReguliDoc[Decl_producator],"Da")=1,1,0))</f>
        <v>0</v>
      </c>
      <c r="X389" s="22">
        <f>IF(OR(C389="",T389&lt;&gt;"Confirmata"),0,IF(COUNTIFS(tTQMReguliDoc[Cheie_regula],S389,tTQMReguliDoc[Fise_tehnice],"Da")=1,1,0))</f>
        <v>0</v>
      </c>
      <c r="Y389" s="22" t="str">
        <f t="shared" si="29"/>
        <v/>
      </c>
      <c r="Z389" s="22"/>
      <c r="AA389" s="22"/>
    </row>
    <row r="390" spans="1:27" ht="15" customHeight="1">
      <c r="A390" s="30"/>
      <c r="B390" s="31"/>
      <c r="C390" s="30"/>
      <c r="D390" s="30"/>
      <c r="E390" s="30"/>
      <c r="F390" s="32" t="str">
        <f t="shared" si="25"/>
        <v/>
      </c>
      <c r="G390" s="30"/>
      <c r="H390" s="30"/>
      <c r="I390" s="30"/>
      <c r="J390" s="32" t="str">
        <f t="shared" si="26"/>
        <v/>
      </c>
      <c r="K390" s="30" t="str">
        <f t="shared" si="27"/>
        <v/>
      </c>
      <c r="L390" s="30"/>
      <c r="M390" s="30"/>
      <c r="N390" s="22"/>
      <c r="O390" s="25"/>
      <c r="P390" s="26"/>
      <c r="Q390" s="22"/>
      <c r="R390" s="22"/>
      <c r="S390" s="22" t="str">
        <f t="shared" si="28"/>
        <v/>
      </c>
      <c r="T390" s="22" t="str">
        <f>IF(C390="","",IF(COUNTIF(tTQMReguliDoc[Cheie_regula],S390)&lt;&gt;1,"REGULA NECONFIGURATA",IF(COUNTIFS(tTQMReguliDoc[Cheie_regula],S390,tTQMReguliDoc[Stare],"Confirmata")=1,"Confirmata","De confirmat")))</f>
        <v/>
      </c>
      <c r="U390" s="22">
        <f>IF(OR(C390="",T390&lt;&gt;"Confirmata"),0,IF(COUNTIFS(tTQMReguliDoc[Cheie_regula],S390,tTQMReguliDoc[Aviz],"Da")=1,1,0))</f>
        <v>0</v>
      </c>
      <c r="V390" s="22">
        <f>IF(OR(C390="",T390&lt;&gt;"Confirmata"),0,IF(COUNTIFS(tTQMReguliDoc[Cheie_regula],S390,tTQMReguliDoc[Decl_conformitate],"Da")=1,1,0))</f>
        <v>0</v>
      </c>
      <c r="W390" s="22">
        <f>IF(OR(C390="",T390&lt;&gt;"Confirmata"),0,IF(COUNTIFS(tTQMReguliDoc[Cheie_regula],S390,tTQMReguliDoc[Decl_producator],"Da")=1,1,0))</f>
        <v>0</v>
      </c>
      <c r="X390" s="22">
        <f>IF(OR(C390="",T390&lt;&gt;"Confirmata"),0,IF(COUNTIFS(tTQMReguliDoc[Cheie_regula],S390,tTQMReguliDoc[Fise_tehnice],"Da")=1,1,0))</f>
        <v>0</v>
      </c>
      <c r="Y390" s="22" t="str">
        <f t="shared" si="29"/>
        <v/>
      </c>
      <c r="Z390" s="22"/>
      <c r="AA390" s="22"/>
    </row>
    <row r="391" spans="1:27" ht="15" customHeight="1">
      <c r="A391" s="30"/>
      <c r="B391" s="31"/>
      <c r="C391" s="30"/>
      <c r="D391" s="30"/>
      <c r="E391" s="30"/>
      <c r="F391" s="32" t="str">
        <f t="shared" si="25"/>
        <v/>
      </c>
      <c r="G391" s="30"/>
      <c r="H391" s="30"/>
      <c r="I391" s="30"/>
      <c r="J391" s="32" t="str">
        <f t="shared" si="26"/>
        <v/>
      </c>
      <c r="K391" s="30" t="str">
        <f t="shared" si="27"/>
        <v/>
      </c>
      <c r="L391" s="30"/>
      <c r="M391" s="30"/>
      <c r="N391" s="22"/>
      <c r="O391" s="25"/>
      <c r="P391" s="26"/>
      <c r="Q391" s="22"/>
      <c r="R391" s="22"/>
      <c r="S391" s="22" t="str">
        <f t="shared" si="28"/>
        <v/>
      </c>
      <c r="T391" s="22" t="str">
        <f>IF(C391="","",IF(COUNTIF(tTQMReguliDoc[Cheie_regula],S391)&lt;&gt;1,"REGULA NECONFIGURATA",IF(COUNTIFS(tTQMReguliDoc[Cheie_regula],S391,tTQMReguliDoc[Stare],"Confirmata")=1,"Confirmata","De confirmat")))</f>
        <v/>
      </c>
      <c r="U391" s="22">
        <f>IF(OR(C391="",T391&lt;&gt;"Confirmata"),0,IF(COUNTIFS(tTQMReguliDoc[Cheie_regula],S391,tTQMReguliDoc[Aviz],"Da")=1,1,0))</f>
        <v>0</v>
      </c>
      <c r="V391" s="22">
        <f>IF(OR(C391="",T391&lt;&gt;"Confirmata"),0,IF(COUNTIFS(tTQMReguliDoc[Cheie_regula],S391,tTQMReguliDoc[Decl_conformitate],"Da")=1,1,0))</f>
        <v>0</v>
      </c>
      <c r="W391" s="22">
        <f>IF(OR(C391="",T391&lt;&gt;"Confirmata"),0,IF(COUNTIFS(tTQMReguliDoc[Cheie_regula],S391,tTQMReguliDoc[Decl_producator],"Da")=1,1,0))</f>
        <v>0</v>
      </c>
      <c r="X391" s="22">
        <f>IF(OR(C391="",T391&lt;&gt;"Confirmata"),0,IF(COUNTIFS(tTQMReguliDoc[Cheie_regula],S391,tTQMReguliDoc[Fise_tehnice],"Da")=1,1,0))</f>
        <v>0</v>
      </c>
      <c r="Y391" s="22" t="str">
        <f t="shared" si="29"/>
        <v/>
      </c>
      <c r="Z391" s="22"/>
      <c r="AA391" s="22"/>
    </row>
    <row r="392" spans="1:27" ht="15" customHeight="1">
      <c r="A392" s="30"/>
      <c r="B392" s="31"/>
      <c r="C392" s="30"/>
      <c r="D392" s="30"/>
      <c r="E392" s="30"/>
      <c r="F392" s="32" t="str">
        <f t="shared" si="25"/>
        <v/>
      </c>
      <c r="G392" s="30"/>
      <c r="H392" s="30"/>
      <c r="I392" s="30"/>
      <c r="J392" s="32" t="str">
        <f t="shared" si="26"/>
        <v/>
      </c>
      <c r="K392" s="30" t="str">
        <f t="shared" si="27"/>
        <v/>
      </c>
      <c r="L392" s="30"/>
      <c r="M392" s="30"/>
      <c r="N392" s="22"/>
      <c r="O392" s="25"/>
      <c r="P392" s="26"/>
      <c r="Q392" s="22"/>
      <c r="R392" s="22"/>
      <c r="S392" s="22" t="str">
        <f t="shared" si="28"/>
        <v/>
      </c>
      <c r="T392" s="22" t="str">
        <f>IF(C392="","",IF(COUNTIF(tTQMReguliDoc[Cheie_regula],S392)&lt;&gt;1,"REGULA NECONFIGURATA",IF(COUNTIFS(tTQMReguliDoc[Cheie_regula],S392,tTQMReguliDoc[Stare],"Confirmata")=1,"Confirmata","De confirmat")))</f>
        <v/>
      </c>
      <c r="U392" s="22">
        <f>IF(OR(C392="",T392&lt;&gt;"Confirmata"),0,IF(COUNTIFS(tTQMReguliDoc[Cheie_regula],S392,tTQMReguliDoc[Aviz],"Da")=1,1,0))</f>
        <v>0</v>
      </c>
      <c r="V392" s="22">
        <f>IF(OR(C392="",T392&lt;&gt;"Confirmata"),0,IF(COUNTIFS(tTQMReguliDoc[Cheie_regula],S392,tTQMReguliDoc[Decl_conformitate],"Da")=1,1,0))</f>
        <v>0</v>
      </c>
      <c r="W392" s="22">
        <f>IF(OR(C392="",T392&lt;&gt;"Confirmata"),0,IF(COUNTIFS(tTQMReguliDoc[Cheie_regula],S392,tTQMReguliDoc[Decl_producator],"Da")=1,1,0))</f>
        <v>0</v>
      </c>
      <c r="X392" s="22">
        <f>IF(OR(C392="",T392&lt;&gt;"Confirmata"),0,IF(COUNTIFS(tTQMReguliDoc[Cheie_regula],S392,tTQMReguliDoc[Fise_tehnice],"Da")=1,1,0))</f>
        <v>0</v>
      </c>
      <c r="Y392" s="22" t="str">
        <f t="shared" si="29"/>
        <v/>
      </c>
      <c r="Z392" s="22"/>
      <c r="AA392" s="22"/>
    </row>
    <row r="393" spans="1:27" ht="15" customHeight="1">
      <c r="A393" s="30"/>
      <c r="B393" s="31"/>
      <c r="C393" s="30"/>
      <c r="D393" s="30"/>
      <c r="E393" s="30"/>
      <c r="F393" s="32" t="str">
        <f t="shared" si="25"/>
        <v/>
      </c>
      <c r="G393" s="30"/>
      <c r="H393" s="30"/>
      <c r="I393" s="30"/>
      <c r="J393" s="32" t="str">
        <f t="shared" si="26"/>
        <v/>
      </c>
      <c r="K393" s="30" t="str">
        <f t="shared" si="27"/>
        <v/>
      </c>
      <c r="L393" s="30"/>
      <c r="M393" s="30"/>
      <c r="N393" s="22"/>
      <c r="O393" s="25"/>
      <c r="P393" s="26"/>
      <c r="Q393" s="22"/>
      <c r="R393" s="22"/>
      <c r="S393" s="22" t="str">
        <f t="shared" si="28"/>
        <v/>
      </c>
      <c r="T393" s="22" t="str">
        <f>IF(C393="","",IF(COUNTIF(tTQMReguliDoc[Cheie_regula],S393)&lt;&gt;1,"REGULA NECONFIGURATA",IF(COUNTIFS(tTQMReguliDoc[Cheie_regula],S393,tTQMReguliDoc[Stare],"Confirmata")=1,"Confirmata","De confirmat")))</f>
        <v/>
      </c>
      <c r="U393" s="22">
        <f>IF(OR(C393="",T393&lt;&gt;"Confirmata"),0,IF(COUNTIFS(tTQMReguliDoc[Cheie_regula],S393,tTQMReguliDoc[Aviz],"Da")=1,1,0))</f>
        <v>0</v>
      </c>
      <c r="V393" s="22">
        <f>IF(OR(C393="",T393&lt;&gt;"Confirmata"),0,IF(COUNTIFS(tTQMReguliDoc[Cheie_regula],S393,tTQMReguliDoc[Decl_conformitate],"Da")=1,1,0))</f>
        <v>0</v>
      </c>
      <c r="W393" s="22">
        <f>IF(OR(C393="",T393&lt;&gt;"Confirmata"),0,IF(COUNTIFS(tTQMReguliDoc[Cheie_regula],S393,tTQMReguliDoc[Decl_producator],"Da")=1,1,0))</f>
        <v>0</v>
      </c>
      <c r="X393" s="22">
        <f>IF(OR(C393="",T393&lt;&gt;"Confirmata"),0,IF(COUNTIFS(tTQMReguliDoc[Cheie_regula],S393,tTQMReguliDoc[Fise_tehnice],"Da")=1,1,0))</f>
        <v>0</v>
      </c>
      <c r="Y393" s="22" t="str">
        <f t="shared" si="29"/>
        <v/>
      </c>
      <c r="Z393" s="22"/>
      <c r="AA393" s="22"/>
    </row>
    <row r="394" spans="1:27" ht="15" customHeight="1">
      <c r="A394" s="30"/>
      <c r="B394" s="31"/>
      <c r="C394" s="30"/>
      <c r="D394" s="30"/>
      <c r="E394" s="30"/>
      <c r="F394" s="32" t="str">
        <f t="shared" si="25"/>
        <v/>
      </c>
      <c r="G394" s="30"/>
      <c r="H394" s="30"/>
      <c r="I394" s="30"/>
      <c r="J394" s="32" t="str">
        <f t="shared" si="26"/>
        <v/>
      </c>
      <c r="K394" s="30" t="str">
        <f t="shared" si="27"/>
        <v/>
      </c>
      <c r="L394" s="30"/>
      <c r="M394" s="30"/>
      <c r="N394" s="22"/>
      <c r="O394" s="25"/>
      <c r="P394" s="26"/>
      <c r="Q394" s="22"/>
      <c r="R394" s="22"/>
      <c r="S394" s="22" t="str">
        <f t="shared" si="28"/>
        <v/>
      </c>
      <c r="T394" s="22" t="str">
        <f>IF(C394="","",IF(COUNTIF(tTQMReguliDoc[Cheie_regula],S394)&lt;&gt;1,"REGULA NECONFIGURATA",IF(COUNTIFS(tTQMReguliDoc[Cheie_regula],S394,tTQMReguliDoc[Stare],"Confirmata")=1,"Confirmata","De confirmat")))</f>
        <v/>
      </c>
      <c r="U394" s="22">
        <f>IF(OR(C394="",T394&lt;&gt;"Confirmata"),0,IF(COUNTIFS(tTQMReguliDoc[Cheie_regula],S394,tTQMReguliDoc[Aviz],"Da")=1,1,0))</f>
        <v>0</v>
      </c>
      <c r="V394" s="22">
        <f>IF(OR(C394="",T394&lt;&gt;"Confirmata"),0,IF(COUNTIFS(tTQMReguliDoc[Cheie_regula],S394,tTQMReguliDoc[Decl_conformitate],"Da")=1,1,0))</f>
        <v>0</v>
      </c>
      <c r="W394" s="22">
        <f>IF(OR(C394="",T394&lt;&gt;"Confirmata"),0,IF(COUNTIFS(tTQMReguliDoc[Cheie_regula],S394,tTQMReguliDoc[Decl_producator],"Da")=1,1,0))</f>
        <v>0</v>
      </c>
      <c r="X394" s="22">
        <f>IF(OR(C394="",T394&lt;&gt;"Confirmata"),0,IF(COUNTIFS(tTQMReguliDoc[Cheie_regula],S394,tTQMReguliDoc[Fise_tehnice],"Da")=1,1,0))</f>
        <v>0</v>
      </c>
      <c r="Y394" s="22" t="str">
        <f t="shared" si="29"/>
        <v/>
      </c>
      <c r="Z394" s="22"/>
      <c r="AA394" s="22"/>
    </row>
    <row r="395" spans="1:27" ht="15" customHeight="1">
      <c r="A395" s="30"/>
      <c r="B395" s="31"/>
      <c r="C395" s="30"/>
      <c r="D395" s="30"/>
      <c r="E395" s="30"/>
      <c r="F395" s="32" t="str">
        <f t="shared" si="25"/>
        <v/>
      </c>
      <c r="G395" s="30"/>
      <c r="H395" s="30"/>
      <c r="I395" s="30"/>
      <c r="J395" s="32" t="str">
        <f t="shared" si="26"/>
        <v/>
      </c>
      <c r="K395" s="30" t="str">
        <f t="shared" si="27"/>
        <v/>
      </c>
      <c r="L395" s="30"/>
      <c r="M395" s="30"/>
      <c r="N395" s="22"/>
      <c r="O395" s="25"/>
      <c r="P395" s="26"/>
      <c r="Q395" s="22"/>
      <c r="R395" s="22"/>
      <c r="S395" s="22" t="str">
        <f t="shared" si="28"/>
        <v/>
      </c>
      <c r="T395" s="22" t="str">
        <f>IF(C395="","",IF(COUNTIF(tTQMReguliDoc[Cheie_regula],S395)&lt;&gt;1,"REGULA NECONFIGURATA",IF(COUNTIFS(tTQMReguliDoc[Cheie_regula],S395,tTQMReguliDoc[Stare],"Confirmata")=1,"Confirmata","De confirmat")))</f>
        <v/>
      </c>
      <c r="U395" s="22">
        <f>IF(OR(C395="",T395&lt;&gt;"Confirmata"),0,IF(COUNTIFS(tTQMReguliDoc[Cheie_regula],S395,tTQMReguliDoc[Aviz],"Da")=1,1,0))</f>
        <v>0</v>
      </c>
      <c r="V395" s="22">
        <f>IF(OR(C395="",T395&lt;&gt;"Confirmata"),0,IF(COUNTIFS(tTQMReguliDoc[Cheie_regula],S395,tTQMReguliDoc[Decl_conformitate],"Da")=1,1,0))</f>
        <v>0</v>
      </c>
      <c r="W395" s="22">
        <f>IF(OR(C395="",T395&lt;&gt;"Confirmata"),0,IF(COUNTIFS(tTQMReguliDoc[Cheie_regula],S395,tTQMReguliDoc[Decl_producator],"Da")=1,1,0))</f>
        <v>0</v>
      </c>
      <c r="X395" s="22">
        <f>IF(OR(C395="",T395&lt;&gt;"Confirmata"),0,IF(COUNTIFS(tTQMReguliDoc[Cheie_regula],S395,tTQMReguliDoc[Fise_tehnice],"Da")=1,1,0))</f>
        <v>0</v>
      </c>
      <c r="Y395" s="22" t="str">
        <f t="shared" si="29"/>
        <v/>
      </c>
      <c r="Z395" s="22"/>
      <c r="AA395" s="22"/>
    </row>
    <row r="396" spans="1:27" ht="15" customHeight="1">
      <c r="A396" s="30"/>
      <c r="B396" s="31"/>
      <c r="C396" s="30"/>
      <c r="D396" s="30"/>
      <c r="E396" s="30"/>
      <c r="F396" s="32" t="str">
        <f t="shared" si="25"/>
        <v/>
      </c>
      <c r="G396" s="30"/>
      <c r="H396" s="30"/>
      <c r="I396" s="30"/>
      <c r="J396" s="32" t="str">
        <f t="shared" si="26"/>
        <v/>
      </c>
      <c r="K396" s="30" t="str">
        <f t="shared" si="27"/>
        <v/>
      </c>
      <c r="L396" s="30"/>
      <c r="M396" s="30"/>
      <c r="N396" s="22"/>
      <c r="O396" s="25"/>
      <c r="P396" s="26"/>
      <c r="Q396" s="22"/>
      <c r="R396" s="22"/>
      <c r="S396" s="22" t="str">
        <f t="shared" si="28"/>
        <v/>
      </c>
      <c r="T396" s="22" t="str">
        <f>IF(C396="","",IF(COUNTIF(tTQMReguliDoc[Cheie_regula],S396)&lt;&gt;1,"REGULA NECONFIGURATA",IF(COUNTIFS(tTQMReguliDoc[Cheie_regula],S396,tTQMReguliDoc[Stare],"Confirmata")=1,"Confirmata","De confirmat")))</f>
        <v/>
      </c>
      <c r="U396" s="22">
        <f>IF(OR(C396="",T396&lt;&gt;"Confirmata"),0,IF(COUNTIFS(tTQMReguliDoc[Cheie_regula],S396,tTQMReguliDoc[Aviz],"Da")=1,1,0))</f>
        <v>0</v>
      </c>
      <c r="V396" s="22">
        <f>IF(OR(C396="",T396&lt;&gt;"Confirmata"),0,IF(COUNTIFS(tTQMReguliDoc[Cheie_regula],S396,tTQMReguliDoc[Decl_conformitate],"Da")=1,1,0))</f>
        <v>0</v>
      </c>
      <c r="W396" s="22">
        <f>IF(OR(C396="",T396&lt;&gt;"Confirmata"),0,IF(COUNTIFS(tTQMReguliDoc[Cheie_regula],S396,tTQMReguliDoc[Decl_producator],"Da")=1,1,0))</f>
        <v>0</v>
      </c>
      <c r="X396" s="22">
        <f>IF(OR(C396="",T396&lt;&gt;"Confirmata"),0,IF(COUNTIFS(tTQMReguliDoc[Cheie_regula],S396,tTQMReguliDoc[Fise_tehnice],"Da")=1,1,0))</f>
        <v>0</v>
      </c>
      <c r="Y396" s="22" t="str">
        <f t="shared" si="29"/>
        <v/>
      </c>
      <c r="Z396" s="22"/>
      <c r="AA396" s="22"/>
    </row>
    <row r="397" spans="1:27" ht="15" customHeight="1">
      <c r="A397" s="30"/>
      <c r="B397" s="31"/>
      <c r="C397" s="30"/>
      <c r="D397" s="30"/>
      <c r="E397" s="30"/>
      <c r="F397" s="32" t="str">
        <f t="shared" si="25"/>
        <v/>
      </c>
      <c r="G397" s="30"/>
      <c r="H397" s="30"/>
      <c r="I397" s="30"/>
      <c r="J397" s="32" t="str">
        <f t="shared" si="26"/>
        <v/>
      </c>
      <c r="K397" s="30" t="str">
        <f t="shared" si="27"/>
        <v/>
      </c>
      <c r="L397" s="30"/>
      <c r="M397" s="30"/>
      <c r="N397" s="22"/>
      <c r="O397" s="25"/>
      <c r="P397" s="26"/>
      <c r="Q397" s="22"/>
      <c r="R397" s="22"/>
      <c r="S397" s="22" t="str">
        <f t="shared" si="28"/>
        <v/>
      </c>
      <c r="T397" s="22" t="str">
        <f>IF(C397="","",IF(COUNTIF(tTQMReguliDoc[Cheie_regula],S397)&lt;&gt;1,"REGULA NECONFIGURATA",IF(COUNTIFS(tTQMReguliDoc[Cheie_regula],S397,tTQMReguliDoc[Stare],"Confirmata")=1,"Confirmata","De confirmat")))</f>
        <v/>
      </c>
      <c r="U397" s="22">
        <f>IF(OR(C397="",T397&lt;&gt;"Confirmata"),0,IF(COUNTIFS(tTQMReguliDoc[Cheie_regula],S397,tTQMReguliDoc[Aviz],"Da")=1,1,0))</f>
        <v>0</v>
      </c>
      <c r="V397" s="22">
        <f>IF(OR(C397="",T397&lt;&gt;"Confirmata"),0,IF(COUNTIFS(tTQMReguliDoc[Cheie_regula],S397,tTQMReguliDoc[Decl_conformitate],"Da")=1,1,0))</f>
        <v>0</v>
      </c>
      <c r="W397" s="22">
        <f>IF(OR(C397="",T397&lt;&gt;"Confirmata"),0,IF(COUNTIFS(tTQMReguliDoc[Cheie_regula],S397,tTQMReguliDoc[Decl_producator],"Da")=1,1,0))</f>
        <v>0</v>
      </c>
      <c r="X397" s="22">
        <f>IF(OR(C397="",T397&lt;&gt;"Confirmata"),0,IF(COUNTIFS(tTQMReguliDoc[Cheie_regula],S397,tTQMReguliDoc[Fise_tehnice],"Da")=1,1,0))</f>
        <v>0</v>
      </c>
      <c r="Y397" s="22" t="str">
        <f t="shared" si="29"/>
        <v/>
      </c>
      <c r="Z397" s="22"/>
      <c r="AA397" s="22"/>
    </row>
    <row r="398" spans="1:27" ht="15" customHeight="1">
      <c r="A398" s="30"/>
      <c r="B398" s="31"/>
      <c r="C398" s="30"/>
      <c r="D398" s="30"/>
      <c r="E398" s="30"/>
      <c r="F398" s="32" t="str">
        <f t="shared" ref="F398:F461" si="30">IF(C398="","",IF(T398&lt;&gt;"Confirmata","DE CONFIRMAT",IF(U398=1,"OBLIGATORIU AVIZ","NU")))</f>
        <v/>
      </c>
      <c r="G398" s="30"/>
      <c r="H398" s="30"/>
      <c r="I398" s="30"/>
      <c r="J398" s="32" t="str">
        <f t="shared" ref="J398:J461" si="31">IF(C398="","",IF(K398="","DOSAR COMPLET","INCOMPLET - VERIFICARE DOCUMENTE"))</f>
        <v/>
      </c>
      <c r="K398" s="30" t="str">
        <f t="shared" ref="K398:K461" si="32">IF(C398="","",IF(Y398="","",LEFT(Y398,LEN(Y398)-2)))</f>
        <v/>
      </c>
      <c r="L398" s="30"/>
      <c r="M398" s="30"/>
      <c r="N398" s="22"/>
      <c r="O398" s="25"/>
      <c r="P398" s="26"/>
      <c r="Q398" s="22"/>
      <c r="R398" s="22"/>
      <c r="S398" s="22" t="str">
        <f t="shared" ref="S398:S461" si="33">IF(C398="","",IF(LEFT(LOWER(D398),4)="furn","Furnizor",IF(LEFT(LOWER(D398),4)="prod","Producator",IF(LEFT(LOWER(D398),4)="pres","Prestator",IF(LEFT(LOWER(D398),3)="alt","Alt partener",D398))))&amp;"|"&amp;IF(LEFT(LOWER(E398),4)="doar","Doar Aviz",IF(LEFT(LOWER(E398),4)="fact","Factura",E398)))</f>
        <v/>
      </c>
      <c r="T398" s="22" t="str">
        <f>IF(C398="","",IF(COUNTIF(tTQMReguliDoc[Cheie_regula],S398)&lt;&gt;1,"REGULA NECONFIGURATA",IF(COUNTIFS(tTQMReguliDoc[Cheie_regula],S398,tTQMReguliDoc[Stare],"Confirmata")=1,"Confirmata","De confirmat")))</f>
        <v/>
      </c>
      <c r="U398" s="22">
        <f>IF(OR(C398="",T398&lt;&gt;"Confirmata"),0,IF(COUNTIFS(tTQMReguliDoc[Cheie_regula],S398,tTQMReguliDoc[Aviz],"Da")=1,1,0))</f>
        <v>0</v>
      </c>
      <c r="V398" s="22">
        <f>IF(OR(C398="",T398&lt;&gt;"Confirmata"),0,IF(COUNTIFS(tTQMReguliDoc[Cheie_regula],S398,tTQMReguliDoc[Decl_conformitate],"Da")=1,1,0))</f>
        <v>0</v>
      </c>
      <c r="W398" s="22">
        <f>IF(OR(C398="",T398&lt;&gt;"Confirmata"),0,IF(COUNTIFS(tTQMReguliDoc[Cheie_regula],S398,tTQMReguliDoc[Decl_producator],"Da")=1,1,0))</f>
        <v>0</v>
      </c>
      <c r="X398" s="22">
        <f>IF(OR(C398="",T398&lt;&gt;"Confirmata"),0,IF(COUNTIFS(tTQMReguliDoc[Cheie_regula],S398,tTQMReguliDoc[Fise_tehnice],"Da")=1,1,0))</f>
        <v>0</v>
      </c>
      <c r="Y398" s="22" t="str">
        <f t="shared" ref="Y398:Y461" si="34">IF(C398="","",IF(T398&lt;&gt;"Confirmata","Confirmati regulile documentelor; ",IF(AND(U398=1,Z398&lt;&gt;"Primit"),"Aviz; ","")&amp;IF(AND(V398=1,G398&lt;&gt;"Primit"),"Declaratie conformitate; ","")&amp;IF(AND(W398=1,H398&lt;&gt;"Primit"),"Declaratie producator; ","")&amp;IF(AND(X398=1,I398&lt;&gt;"Primit"),"Fise tehnice; ","")))</f>
        <v/>
      </c>
      <c r="Z398" s="22"/>
      <c r="AA398" s="22"/>
    </row>
    <row r="399" spans="1:27" ht="15" customHeight="1">
      <c r="A399" s="30"/>
      <c r="B399" s="31"/>
      <c r="C399" s="30"/>
      <c r="D399" s="30"/>
      <c r="E399" s="30"/>
      <c r="F399" s="32" t="str">
        <f t="shared" si="30"/>
        <v/>
      </c>
      <c r="G399" s="30"/>
      <c r="H399" s="30"/>
      <c r="I399" s="30"/>
      <c r="J399" s="32" t="str">
        <f t="shared" si="31"/>
        <v/>
      </c>
      <c r="K399" s="30" t="str">
        <f t="shared" si="32"/>
        <v/>
      </c>
      <c r="L399" s="30"/>
      <c r="M399" s="30"/>
      <c r="N399" s="22"/>
      <c r="O399" s="25"/>
      <c r="P399" s="26"/>
      <c r="Q399" s="22"/>
      <c r="R399" s="22"/>
      <c r="S399" s="22" t="str">
        <f t="shared" si="33"/>
        <v/>
      </c>
      <c r="T399" s="22" t="str">
        <f>IF(C399="","",IF(COUNTIF(tTQMReguliDoc[Cheie_regula],S399)&lt;&gt;1,"REGULA NECONFIGURATA",IF(COUNTIFS(tTQMReguliDoc[Cheie_regula],S399,tTQMReguliDoc[Stare],"Confirmata")=1,"Confirmata","De confirmat")))</f>
        <v/>
      </c>
      <c r="U399" s="22">
        <f>IF(OR(C399="",T399&lt;&gt;"Confirmata"),0,IF(COUNTIFS(tTQMReguliDoc[Cheie_regula],S399,tTQMReguliDoc[Aviz],"Da")=1,1,0))</f>
        <v>0</v>
      </c>
      <c r="V399" s="22">
        <f>IF(OR(C399="",T399&lt;&gt;"Confirmata"),0,IF(COUNTIFS(tTQMReguliDoc[Cheie_regula],S399,tTQMReguliDoc[Decl_conformitate],"Da")=1,1,0))</f>
        <v>0</v>
      </c>
      <c r="W399" s="22">
        <f>IF(OR(C399="",T399&lt;&gt;"Confirmata"),0,IF(COUNTIFS(tTQMReguliDoc[Cheie_regula],S399,tTQMReguliDoc[Decl_producator],"Da")=1,1,0))</f>
        <v>0</v>
      </c>
      <c r="X399" s="22">
        <f>IF(OR(C399="",T399&lt;&gt;"Confirmata"),0,IF(COUNTIFS(tTQMReguliDoc[Cheie_regula],S399,tTQMReguliDoc[Fise_tehnice],"Da")=1,1,0))</f>
        <v>0</v>
      </c>
      <c r="Y399" s="22" t="str">
        <f t="shared" si="34"/>
        <v/>
      </c>
      <c r="Z399" s="22"/>
      <c r="AA399" s="22"/>
    </row>
    <row r="400" spans="1:27" ht="15" customHeight="1">
      <c r="A400" s="30"/>
      <c r="B400" s="31"/>
      <c r="C400" s="30"/>
      <c r="D400" s="30"/>
      <c r="E400" s="30"/>
      <c r="F400" s="32" t="str">
        <f t="shared" si="30"/>
        <v/>
      </c>
      <c r="G400" s="30"/>
      <c r="H400" s="30"/>
      <c r="I400" s="30"/>
      <c r="J400" s="32" t="str">
        <f t="shared" si="31"/>
        <v/>
      </c>
      <c r="K400" s="30" t="str">
        <f t="shared" si="32"/>
        <v/>
      </c>
      <c r="L400" s="30"/>
      <c r="M400" s="30"/>
      <c r="N400" s="22"/>
      <c r="O400" s="25"/>
      <c r="P400" s="26"/>
      <c r="Q400" s="22"/>
      <c r="R400" s="22"/>
      <c r="S400" s="22" t="str">
        <f t="shared" si="33"/>
        <v/>
      </c>
      <c r="T400" s="22" t="str">
        <f>IF(C400="","",IF(COUNTIF(tTQMReguliDoc[Cheie_regula],S400)&lt;&gt;1,"REGULA NECONFIGURATA",IF(COUNTIFS(tTQMReguliDoc[Cheie_regula],S400,tTQMReguliDoc[Stare],"Confirmata")=1,"Confirmata","De confirmat")))</f>
        <v/>
      </c>
      <c r="U400" s="22">
        <f>IF(OR(C400="",T400&lt;&gt;"Confirmata"),0,IF(COUNTIFS(tTQMReguliDoc[Cheie_regula],S400,tTQMReguliDoc[Aviz],"Da")=1,1,0))</f>
        <v>0</v>
      </c>
      <c r="V400" s="22">
        <f>IF(OR(C400="",T400&lt;&gt;"Confirmata"),0,IF(COUNTIFS(tTQMReguliDoc[Cheie_regula],S400,tTQMReguliDoc[Decl_conformitate],"Da")=1,1,0))</f>
        <v>0</v>
      </c>
      <c r="W400" s="22">
        <f>IF(OR(C400="",T400&lt;&gt;"Confirmata"),0,IF(COUNTIFS(tTQMReguliDoc[Cheie_regula],S400,tTQMReguliDoc[Decl_producator],"Da")=1,1,0))</f>
        <v>0</v>
      </c>
      <c r="X400" s="22">
        <f>IF(OR(C400="",T400&lt;&gt;"Confirmata"),0,IF(COUNTIFS(tTQMReguliDoc[Cheie_regula],S400,tTQMReguliDoc[Fise_tehnice],"Da")=1,1,0))</f>
        <v>0</v>
      </c>
      <c r="Y400" s="22" t="str">
        <f t="shared" si="34"/>
        <v/>
      </c>
      <c r="Z400" s="22"/>
      <c r="AA400" s="22"/>
    </row>
    <row r="401" spans="1:27" ht="15" customHeight="1">
      <c r="A401" s="30"/>
      <c r="B401" s="31"/>
      <c r="C401" s="30"/>
      <c r="D401" s="30"/>
      <c r="E401" s="30"/>
      <c r="F401" s="32" t="str">
        <f t="shared" si="30"/>
        <v/>
      </c>
      <c r="G401" s="30"/>
      <c r="H401" s="30"/>
      <c r="I401" s="30"/>
      <c r="J401" s="32" t="str">
        <f t="shared" si="31"/>
        <v/>
      </c>
      <c r="K401" s="30" t="str">
        <f t="shared" si="32"/>
        <v/>
      </c>
      <c r="L401" s="30"/>
      <c r="M401" s="30"/>
      <c r="N401" s="22"/>
      <c r="O401" s="25"/>
      <c r="P401" s="26"/>
      <c r="Q401" s="22"/>
      <c r="R401" s="22"/>
      <c r="S401" s="22" t="str">
        <f t="shared" si="33"/>
        <v/>
      </c>
      <c r="T401" s="22" t="str">
        <f>IF(C401="","",IF(COUNTIF(tTQMReguliDoc[Cheie_regula],S401)&lt;&gt;1,"REGULA NECONFIGURATA",IF(COUNTIFS(tTQMReguliDoc[Cheie_regula],S401,tTQMReguliDoc[Stare],"Confirmata")=1,"Confirmata","De confirmat")))</f>
        <v/>
      </c>
      <c r="U401" s="22">
        <f>IF(OR(C401="",T401&lt;&gt;"Confirmata"),0,IF(COUNTIFS(tTQMReguliDoc[Cheie_regula],S401,tTQMReguliDoc[Aviz],"Da")=1,1,0))</f>
        <v>0</v>
      </c>
      <c r="V401" s="22">
        <f>IF(OR(C401="",T401&lt;&gt;"Confirmata"),0,IF(COUNTIFS(tTQMReguliDoc[Cheie_regula],S401,tTQMReguliDoc[Decl_conformitate],"Da")=1,1,0))</f>
        <v>0</v>
      </c>
      <c r="W401" s="22">
        <f>IF(OR(C401="",T401&lt;&gt;"Confirmata"),0,IF(COUNTIFS(tTQMReguliDoc[Cheie_regula],S401,tTQMReguliDoc[Decl_producator],"Da")=1,1,0))</f>
        <v>0</v>
      </c>
      <c r="X401" s="22">
        <f>IF(OR(C401="",T401&lt;&gt;"Confirmata"),0,IF(COUNTIFS(tTQMReguliDoc[Cheie_regula],S401,tTQMReguliDoc[Fise_tehnice],"Da")=1,1,0))</f>
        <v>0</v>
      </c>
      <c r="Y401" s="22" t="str">
        <f t="shared" si="34"/>
        <v/>
      </c>
      <c r="Z401" s="22"/>
      <c r="AA401" s="22"/>
    </row>
    <row r="402" spans="1:27" ht="15" customHeight="1">
      <c r="A402" s="30"/>
      <c r="B402" s="31"/>
      <c r="C402" s="30"/>
      <c r="D402" s="30"/>
      <c r="E402" s="30"/>
      <c r="F402" s="32" t="str">
        <f t="shared" si="30"/>
        <v/>
      </c>
      <c r="G402" s="30"/>
      <c r="H402" s="30"/>
      <c r="I402" s="30"/>
      <c r="J402" s="32" t="str">
        <f t="shared" si="31"/>
        <v/>
      </c>
      <c r="K402" s="30" t="str">
        <f t="shared" si="32"/>
        <v/>
      </c>
      <c r="L402" s="30"/>
      <c r="M402" s="30"/>
      <c r="N402" s="22"/>
      <c r="O402" s="25"/>
      <c r="P402" s="26"/>
      <c r="Q402" s="22"/>
      <c r="R402" s="22"/>
      <c r="S402" s="22" t="str">
        <f t="shared" si="33"/>
        <v/>
      </c>
      <c r="T402" s="22" t="str">
        <f>IF(C402="","",IF(COUNTIF(tTQMReguliDoc[Cheie_regula],S402)&lt;&gt;1,"REGULA NECONFIGURATA",IF(COUNTIFS(tTQMReguliDoc[Cheie_regula],S402,tTQMReguliDoc[Stare],"Confirmata")=1,"Confirmata","De confirmat")))</f>
        <v/>
      </c>
      <c r="U402" s="22">
        <f>IF(OR(C402="",T402&lt;&gt;"Confirmata"),0,IF(COUNTIFS(tTQMReguliDoc[Cheie_regula],S402,tTQMReguliDoc[Aviz],"Da")=1,1,0))</f>
        <v>0</v>
      </c>
      <c r="V402" s="22">
        <f>IF(OR(C402="",T402&lt;&gt;"Confirmata"),0,IF(COUNTIFS(tTQMReguliDoc[Cheie_regula],S402,tTQMReguliDoc[Decl_conformitate],"Da")=1,1,0))</f>
        <v>0</v>
      </c>
      <c r="W402" s="22">
        <f>IF(OR(C402="",T402&lt;&gt;"Confirmata"),0,IF(COUNTIFS(tTQMReguliDoc[Cheie_regula],S402,tTQMReguliDoc[Decl_producator],"Da")=1,1,0))</f>
        <v>0</v>
      </c>
      <c r="X402" s="22">
        <f>IF(OR(C402="",T402&lt;&gt;"Confirmata"),0,IF(COUNTIFS(tTQMReguliDoc[Cheie_regula],S402,tTQMReguliDoc[Fise_tehnice],"Da")=1,1,0))</f>
        <v>0</v>
      </c>
      <c r="Y402" s="22" t="str">
        <f t="shared" si="34"/>
        <v/>
      </c>
      <c r="Z402" s="22"/>
      <c r="AA402" s="22"/>
    </row>
    <row r="403" spans="1:27" ht="15" customHeight="1">
      <c r="A403" s="30"/>
      <c r="B403" s="31"/>
      <c r="C403" s="30"/>
      <c r="D403" s="30"/>
      <c r="E403" s="30"/>
      <c r="F403" s="32" t="str">
        <f t="shared" si="30"/>
        <v/>
      </c>
      <c r="G403" s="30"/>
      <c r="H403" s="30"/>
      <c r="I403" s="30"/>
      <c r="J403" s="32" t="str">
        <f t="shared" si="31"/>
        <v/>
      </c>
      <c r="K403" s="30" t="str">
        <f t="shared" si="32"/>
        <v/>
      </c>
      <c r="L403" s="30"/>
      <c r="M403" s="30"/>
      <c r="N403" s="22"/>
      <c r="O403" s="25"/>
      <c r="P403" s="26"/>
      <c r="Q403" s="22"/>
      <c r="R403" s="22"/>
      <c r="S403" s="22" t="str">
        <f t="shared" si="33"/>
        <v/>
      </c>
      <c r="T403" s="22" t="str">
        <f>IF(C403="","",IF(COUNTIF(tTQMReguliDoc[Cheie_regula],S403)&lt;&gt;1,"REGULA NECONFIGURATA",IF(COUNTIFS(tTQMReguliDoc[Cheie_regula],S403,tTQMReguliDoc[Stare],"Confirmata")=1,"Confirmata","De confirmat")))</f>
        <v/>
      </c>
      <c r="U403" s="22">
        <f>IF(OR(C403="",T403&lt;&gt;"Confirmata"),0,IF(COUNTIFS(tTQMReguliDoc[Cheie_regula],S403,tTQMReguliDoc[Aviz],"Da")=1,1,0))</f>
        <v>0</v>
      </c>
      <c r="V403" s="22">
        <f>IF(OR(C403="",T403&lt;&gt;"Confirmata"),0,IF(COUNTIFS(tTQMReguliDoc[Cheie_regula],S403,tTQMReguliDoc[Decl_conformitate],"Da")=1,1,0))</f>
        <v>0</v>
      </c>
      <c r="W403" s="22">
        <f>IF(OR(C403="",T403&lt;&gt;"Confirmata"),0,IF(COUNTIFS(tTQMReguliDoc[Cheie_regula],S403,tTQMReguliDoc[Decl_producator],"Da")=1,1,0))</f>
        <v>0</v>
      </c>
      <c r="X403" s="22">
        <f>IF(OR(C403="",T403&lt;&gt;"Confirmata"),0,IF(COUNTIFS(tTQMReguliDoc[Cheie_regula],S403,tTQMReguliDoc[Fise_tehnice],"Da")=1,1,0))</f>
        <v>0</v>
      </c>
      <c r="Y403" s="22" t="str">
        <f t="shared" si="34"/>
        <v/>
      </c>
      <c r="Z403" s="22"/>
      <c r="AA403" s="22"/>
    </row>
    <row r="404" spans="1:27" ht="15" customHeight="1">
      <c r="A404" s="30"/>
      <c r="B404" s="31"/>
      <c r="C404" s="30"/>
      <c r="D404" s="30"/>
      <c r="E404" s="30"/>
      <c r="F404" s="32" t="str">
        <f t="shared" si="30"/>
        <v/>
      </c>
      <c r="G404" s="30"/>
      <c r="H404" s="30"/>
      <c r="I404" s="30"/>
      <c r="J404" s="32" t="str">
        <f t="shared" si="31"/>
        <v/>
      </c>
      <c r="K404" s="30" t="str">
        <f t="shared" si="32"/>
        <v/>
      </c>
      <c r="L404" s="30"/>
      <c r="M404" s="30"/>
      <c r="N404" s="22"/>
      <c r="O404" s="25"/>
      <c r="P404" s="26"/>
      <c r="Q404" s="22"/>
      <c r="R404" s="22"/>
      <c r="S404" s="22" t="str">
        <f t="shared" si="33"/>
        <v/>
      </c>
      <c r="T404" s="22" t="str">
        <f>IF(C404="","",IF(COUNTIF(tTQMReguliDoc[Cheie_regula],S404)&lt;&gt;1,"REGULA NECONFIGURATA",IF(COUNTIFS(tTQMReguliDoc[Cheie_regula],S404,tTQMReguliDoc[Stare],"Confirmata")=1,"Confirmata","De confirmat")))</f>
        <v/>
      </c>
      <c r="U404" s="22">
        <f>IF(OR(C404="",T404&lt;&gt;"Confirmata"),0,IF(COUNTIFS(tTQMReguliDoc[Cheie_regula],S404,tTQMReguliDoc[Aviz],"Da")=1,1,0))</f>
        <v>0</v>
      </c>
      <c r="V404" s="22">
        <f>IF(OR(C404="",T404&lt;&gt;"Confirmata"),0,IF(COUNTIFS(tTQMReguliDoc[Cheie_regula],S404,tTQMReguliDoc[Decl_conformitate],"Da")=1,1,0))</f>
        <v>0</v>
      </c>
      <c r="W404" s="22">
        <f>IF(OR(C404="",T404&lt;&gt;"Confirmata"),0,IF(COUNTIFS(tTQMReguliDoc[Cheie_regula],S404,tTQMReguliDoc[Decl_producator],"Da")=1,1,0))</f>
        <v>0</v>
      </c>
      <c r="X404" s="22">
        <f>IF(OR(C404="",T404&lt;&gt;"Confirmata"),0,IF(COUNTIFS(tTQMReguliDoc[Cheie_regula],S404,tTQMReguliDoc[Fise_tehnice],"Da")=1,1,0))</f>
        <v>0</v>
      </c>
      <c r="Y404" s="22" t="str">
        <f t="shared" si="34"/>
        <v/>
      </c>
      <c r="Z404" s="22"/>
      <c r="AA404" s="22"/>
    </row>
    <row r="405" spans="1:27" ht="15" customHeight="1">
      <c r="A405" s="30"/>
      <c r="B405" s="31"/>
      <c r="C405" s="30"/>
      <c r="D405" s="30"/>
      <c r="E405" s="30"/>
      <c r="F405" s="32" t="str">
        <f t="shared" si="30"/>
        <v/>
      </c>
      <c r="G405" s="30"/>
      <c r="H405" s="30"/>
      <c r="I405" s="30"/>
      <c r="J405" s="32" t="str">
        <f t="shared" si="31"/>
        <v/>
      </c>
      <c r="K405" s="30" t="str">
        <f t="shared" si="32"/>
        <v/>
      </c>
      <c r="L405" s="30"/>
      <c r="M405" s="30"/>
      <c r="N405" s="22"/>
      <c r="O405" s="25"/>
      <c r="P405" s="26"/>
      <c r="Q405" s="22"/>
      <c r="R405" s="22"/>
      <c r="S405" s="22" t="str">
        <f t="shared" si="33"/>
        <v/>
      </c>
      <c r="T405" s="22" t="str">
        <f>IF(C405="","",IF(COUNTIF(tTQMReguliDoc[Cheie_regula],S405)&lt;&gt;1,"REGULA NECONFIGURATA",IF(COUNTIFS(tTQMReguliDoc[Cheie_regula],S405,tTQMReguliDoc[Stare],"Confirmata")=1,"Confirmata","De confirmat")))</f>
        <v/>
      </c>
      <c r="U405" s="22">
        <f>IF(OR(C405="",T405&lt;&gt;"Confirmata"),0,IF(COUNTIFS(tTQMReguliDoc[Cheie_regula],S405,tTQMReguliDoc[Aviz],"Da")=1,1,0))</f>
        <v>0</v>
      </c>
      <c r="V405" s="22">
        <f>IF(OR(C405="",T405&lt;&gt;"Confirmata"),0,IF(COUNTIFS(tTQMReguliDoc[Cheie_regula],S405,tTQMReguliDoc[Decl_conformitate],"Da")=1,1,0))</f>
        <v>0</v>
      </c>
      <c r="W405" s="22">
        <f>IF(OR(C405="",T405&lt;&gt;"Confirmata"),0,IF(COUNTIFS(tTQMReguliDoc[Cheie_regula],S405,tTQMReguliDoc[Decl_producator],"Da")=1,1,0))</f>
        <v>0</v>
      </c>
      <c r="X405" s="22">
        <f>IF(OR(C405="",T405&lt;&gt;"Confirmata"),0,IF(COUNTIFS(tTQMReguliDoc[Cheie_regula],S405,tTQMReguliDoc[Fise_tehnice],"Da")=1,1,0))</f>
        <v>0</v>
      </c>
      <c r="Y405" s="22" t="str">
        <f t="shared" si="34"/>
        <v/>
      </c>
      <c r="Z405" s="22"/>
      <c r="AA405" s="22"/>
    </row>
    <row r="406" spans="1:27" ht="15" customHeight="1">
      <c r="A406" s="30"/>
      <c r="B406" s="31"/>
      <c r="C406" s="30"/>
      <c r="D406" s="30"/>
      <c r="E406" s="30"/>
      <c r="F406" s="32" t="str">
        <f t="shared" si="30"/>
        <v/>
      </c>
      <c r="G406" s="30"/>
      <c r="H406" s="30"/>
      <c r="I406" s="30"/>
      <c r="J406" s="32" t="str">
        <f t="shared" si="31"/>
        <v/>
      </c>
      <c r="K406" s="30" t="str">
        <f t="shared" si="32"/>
        <v/>
      </c>
      <c r="L406" s="30"/>
      <c r="M406" s="30"/>
      <c r="N406" s="22"/>
      <c r="O406" s="25"/>
      <c r="P406" s="26"/>
      <c r="Q406" s="22"/>
      <c r="R406" s="22"/>
      <c r="S406" s="22" t="str">
        <f t="shared" si="33"/>
        <v/>
      </c>
      <c r="T406" s="22" t="str">
        <f>IF(C406="","",IF(COUNTIF(tTQMReguliDoc[Cheie_regula],S406)&lt;&gt;1,"REGULA NECONFIGURATA",IF(COUNTIFS(tTQMReguliDoc[Cheie_regula],S406,tTQMReguliDoc[Stare],"Confirmata")=1,"Confirmata","De confirmat")))</f>
        <v/>
      </c>
      <c r="U406" s="22">
        <f>IF(OR(C406="",T406&lt;&gt;"Confirmata"),0,IF(COUNTIFS(tTQMReguliDoc[Cheie_regula],S406,tTQMReguliDoc[Aviz],"Da")=1,1,0))</f>
        <v>0</v>
      </c>
      <c r="V406" s="22">
        <f>IF(OR(C406="",T406&lt;&gt;"Confirmata"),0,IF(COUNTIFS(tTQMReguliDoc[Cheie_regula],S406,tTQMReguliDoc[Decl_conformitate],"Da")=1,1,0))</f>
        <v>0</v>
      </c>
      <c r="W406" s="22">
        <f>IF(OR(C406="",T406&lt;&gt;"Confirmata"),0,IF(COUNTIFS(tTQMReguliDoc[Cheie_regula],S406,tTQMReguliDoc[Decl_producator],"Da")=1,1,0))</f>
        <v>0</v>
      </c>
      <c r="X406" s="22">
        <f>IF(OR(C406="",T406&lt;&gt;"Confirmata"),0,IF(COUNTIFS(tTQMReguliDoc[Cheie_regula],S406,tTQMReguliDoc[Fise_tehnice],"Da")=1,1,0))</f>
        <v>0</v>
      </c>
      <c r="Y406" s="22" t="str">
        <f t="shared" si="34"/>
        <v/>
      </c>
      <c r="Z406" s="22"/>
      <c r="AA406" s="22"/>
    </row>
    <row r="407" spans="1:27" ht="15" customHeight="1">
      <c r="A407" s="30"/>
      <c r="B407" s="31"/>
      <c r="C407" s="30"/>
      <c r="D407" s="30"/>
      <c r="E407" s="30"/>
      <c r="F407" s="32" t="str">
        <f t="shared" si="30"/>
        <v/>
      </c>
      <c r="G407" s="30"/>
      <c r="H407" s="30"/>
      <c r="I407" s="30"/>
      <c r="J407" s="32" t="str">
        <f t="shared" si="31"/>
        <v/>
      </c>
      <c r="K407" s="30" t="str">
        <f t="shared" si="32"/>
        <v/>
      </c>
      <c r="L407" s="30"/>
      <c r="M407" s="30"/>
      <c r="N407" s="22"/>
      <c r="O407" s="25"/>
      <c r="P407" s="26"/>
      <c r="Q407" s="22"/>
      <c r="R407" s="22"/>
      <c r="S407" s="22" t="str">
        <f t="shared" si="33"/>
        <v/>
      </c>
      <c r="T407" s="22" t="str">
        <f>IF(C407="","",IF(COUNTIF(tTQMReguliDoc[Cheie_regula],S407)&lt;&gt;1,"REGULA NECONFIGURATA",IF(COUNTIFS(tTQMReguliDoc[Cheie_regula],S407,tTQMReguliDoc[Stare],"Confirmata")=1,"Confirmata","De confirmat")))</f>
        <v/>
      </c>
      <c r="U407" s="22">
        <f>IF(OR(C407="",T407&lt;&gt;"Confirmata"),0,IF(COUNTIFS(tTQMReguliDoc[Cheie_regula],S407,tTQMReguliDoc[Aviz],"Da")=1,1,0))</f>
        <v>0</v>
      </c>
      <c r="V407" s="22">
        <f>IF(OR(C407="",T407&lt;&gt;"Confirmata"),0,IF(COUNTIFS(tTQMReguliDoc[Cheie_regula],S407,tTQMReguliDoc[Decl_conformitate],"Da")=1,1,0))</f>
        <v>0</v>
      </c>
      <c r="W407" s="22">
        <f>IF(OR(C407="",T407&lt;&gt;"Confirmata"),0,IF(COUNTIFS(tTQMReguliDoc[Cheie_regula],S407,tTQMReguliDoc[Decl_producator],"Da")=1,1,0))</f>
        <v>0</v>
      </c>
      <c r="X407" s="22">
        <f>IF(OR(C407="",T407&lt;&gt;"Confirmata"),0,IF(COUNTIFS(tTQMReguliDoc[Cheie_regula],S407,tTQMReguliDoc[Fise_tehnice],"Da")=1,1,0))</f>
        <v>0</v>
      </c>
      <c r="Y407" s="22" t="str">
        <f t="shared" si="34"/>
        <v/>
      </c>
      <c r="Z407" s="22"/>
      <c r="AA407" s="22"/>
    </row>
    <row r="408" spans="1:27" ht="15" customHeight="1">
      <c r="A408" s="30"/>
      <c r="B408" s="31"/>
      <c r="C408" s="30"/>
      <c r="D408" s="30"/>
      <c r="E408" s="30"/>
      <c r="F408" s="32" t="str">
        <f t="shared" si="30"/>
        <v/>
      </c>
      <c r="G408" s="30"/>
      <c r="H408" s="30"/>
      <c r="I408" s="30"/>
      <c r="J408" s="32" t="str">
        <f t="shared" si="31"/>
        <v/>
      </c>
      <c r="K408" s="30" t="str">
        <f t="shared" si="32"/>
        <v/>
      </c>
      <c r="L408" s="30"/>
      <c r="M408" s="30"/>
      <c r="N408" s="22"/>
      <c r="O408" s="25"/>
      <c r="P408" s="26"/>
      <c r="Q408" s="22"/>
      <c r="R408" s="22"/>
      <c r="S408" s="22" t="str">
        <f t="shared" si="33"/>
        <v/>
      </c>
      <c r="T408" s="22" t="str">
        <f>IF(C408="","",IF(COUNTIF(tTQMReguliDoc[Cheie_regula],S408)&lt;&gt;1,"REGULA NECONFIGURATA",IF(COUNTIFS(tTQMReguliDoc[Cheie_regula],S408,tTQMReguliDoc[Stare],"Confirmata")=1,"Confirmata","De confirmat")))</f>
        <v/>
      </c>
      <c r="U408" s="22">
        <f>IF(OR(C408="",T408&lt;&gt;"Confirmata"),0,IF(COUNTIFS(tTQMReguliDoc[Cheie_regula],S408,tTQMReguliDoc[Aviz],"Da")=1,1,0))</f>
        <v>0</v>
      </c>
      <c r="V408" s="22">
        <f>IF(OR(C408="",T408&lt;&gt;"Confirmata"),0,IF(COUNTIFS(tTQMReguliDoc[Cheie_regula],S408,tTQMReguliDoc[Decl_conformitate],"Da")=1,1,0))</f>
        <v>0</v>
      </c>
      <c r="W408" s="22">
        <f>IF(OR(C408="",T408&lt;&gt;"Confirmata"),0,IF(COUNTIFS(tTQMReguliDoc[Cheie_regula],S408,tTQMReguliDoc[Decl_producator],"Da")=1,1,0))</f>
        <v>0</v>
      </c>
      <c r="X408" s="22">
        <f>IF(OR(C408="",T408&lt;&gt;"Confirmata"),0,IF(COUNTIFS(tTQMReguliDoc[Cheie_regula],S408,tTQMReguliDoc[Fise_tehnice],"Da")=1,1,0))</f>
        <v>0</v>
      </c>
      <c r="Y408" s="22" t="str">
        <f t="shared" si="34"/>
        <v/>
      </c>
      <c r="Z408" s="22"/>
      <c r="AA408" s="22"/>
    </row>
    <row r="409" spans="1:27" ht="15" customHeight="1">
      <c r="A409" s="30"/>
      <c r="B409" s="31"/>
      <c r="C409" s="30"/>
      <c r="D409" s="30"/>
      <c r="E409" s="30"/>
      <c r="F409" s="32" t="str">
        <f t="shared" si="30"/>
        <v/>
      </c>
      <c r="G409" s="30"/>
      <c r="H409" s="30"/>
      <c r="I409" s="30"/>
      <c r="J409" s="32" t="str">
        <f t="shared" si="31"/>
        <v/>
      </c>
      <c r="K409" s="30" t="str">
        <f t="shared" si="32"/>
        <v/>
      </c>
      <c r="L409" s="30"/>
      <c r="M409" s="30"/>
      <c r="N409" s="22"/>
      <c r="O409" s="25"/>
      <c r="P409" s="26"/>
      <c r="Q409" s="22"/>
      <c r="R409" s="22"/>
      <c r="S409" s="22" t="str">
        <f t="shared" si="33"/>
        <v/>
      </c>
      <c r="T409" s="22" t="str">
        <f>IF(C409="","",IF(COUNTIF(tTQMReguliDoc[Cheie_regula],S409)&lt;&gt;1,"REGULA NECONFIGURATA",IF(COUNTIFS(tTQMReguliDoc[Cheie_regula],S409,tTQMReguliDoc[Stare],"Confirmata")=1,"Confirmata","De confirmat")))</f>
        <v/>
      </c>
      <c r="U409" s="22">
        <f>IF(OR(C409="",T409&lt;&gt;"Confirmata"),0,IF(COUNTIFS(tTQMReguliDoc[Cheie_regula],S409,tTQMReguliDoc[Aviz],"Da")=1,1,0))</f>
        <v>0</v>
      </c>
      <c r="V409" s="22">
        <f>IF(OR(C409="",T409&lt;&gt;"Confirmata"),0,IF(COUNTIFS(tTQMReguliDoc[Cheie_regula],S409,tTQMReguliDoc[Decl_conformitate],"Da")=1,1,0))</f>
        <v>0</v>
      </c>
      <c r="W409" s="22">
        <f>IF(OR(C409="",T409&lt;&gt;"Confirmata"),0,IF(COUNTIFS(tTQMReguliDoc[Cheie_regula],S409,tTQMReguliDoc[Decl_producator],"Da")=1,1,0))</f>
        <v>0</v>
      </c>
      <c r="X409" s="22">
        <f>IF(OR(C409="",T409&lt;&gt;"Confirmata"),0,IF(COUNTIFS(tTQMReguliDoc[Cheie_regula],S409,tTQMReguliDoc[Fise_tehnice],"Da")=1,1,0))</f>
        <v>0</v>
      </c>
      <c r="Y409" s="22" t="str">
        <f t="shared" si="34"/>
        <v/>
      </c>
      <c r="Z409" s="22"/>
      <c r="AA409" s="22"/>
    </row>
    <row r="410" spans="1:27" ht="15" customHeight="1">
      <c r="A410" s="30"/>
      <c r="B410" s="31"/>
      <c r="C410" s="30"/>
      <c r="D410" s="30"/>
      <c r="E410" s="30"/>
      <c r="F410" s="32" t="str">
        <f t="shared" si="30"/>
        <v/>
      </c>
      <c r="G410" s="30"/>
      <c r="H410" s="30"/>
      <c r="I410" s="30"/>
      <c r="J410" s="32" t="str">
        <f t="shared" si="31"/>
        <v/>
      </c>
      <c r="K410" s="30" t="str">
        <f t="shared" si="32"/>
        <v/>
      </c>
      <c r="L410" s="30"/>
      <c r="M410" s="30"/>
      <c r="N410" s="22"/>
      <c r="O410" s="25"/>
      <c r="P410" s="26"/>
      <c r="Q410" s="22"/>
      <c r="R410" s="22"/>
      <c r="S410" s="22" t="str">
        <f t="shared" si="33"/>
        <v/>
      </c>
      <c r="T410" s="22" t="str">
        <f>IF(C410="","",IF(COUNTIF(tTQMReguliDoc[Cheie_regula],S410)&lt;&gt;1,"REGULA NECONFIGURATA",IF(COUNTIFS(tTQMReguliDoc[Cheie_regula],S410,tTQMReguliDoc[Stare],"Confirmata")=1,"Confirmata","De confirmat")))</f>
        <v/>
      </c>
      <c r="U410" s="22">
        <f>IF(OR(C410="",T410&lt;&gt;"Confirmata"),0,IF(COUNTIFS(tTQMReguliDoc[Cheie_regula],S410,tTQMReguliDoc[Aviz],"Da")=1,1,0))</f>
        <v>0</v>
      </c>
      <c r="V410" s="22">
        <f>IF(OR(C410="",T410&lt;&gt;"Confirmata"),0,IF(COUNTIFS(tTQMReguliDoc[Cheie_regula],S410,tTQMReguliDoc[Decl_conformitate],"Da")=1,1,0))</f>
        <v>0</v>
      </c>
      <c r="W410" s="22">
        <f>IF(OR(C410="",T410&lt;&gt;"Confirmata"),0,IF(COUNTIFS(tTQMReguliDoc[Cheie_regula],S410,tTQMReguliDoc[Decl_producator],"Da")=1,1,0))</f>
        <v>0</v>
      </c>
      <c r="X410" s="22">
        <f>IF(OR(C410="",T410&lt;&gt;"Confirmata"),0,IF(COUNTIFS(tTQMReguliDoc[Cheie_regula],S410,tTQMReguliDoc[Fise_tehnice],"Da")=1,1,0))</f>
        <v>0</v>
      </c>
      <c r="Y410" s="22" t="str">
        <f t="shared" si="34"/>
        <v/>
      </c>
      <c r="Z410" s="22"/>
      <c r="AA410" s="22"/>
    </row>
    <row r="411" spans="1:27" ht="15" customHeight="1">
      <c r="A411" s="30"/>
      <c r="B411" s="31"/>
      <c r="C411" s="30"/>
      <c r="D411" s="30"/>
      <c r="E411" s="30"/>
      <c r="F411" s="32" t="str">
        <f t="shared" si="30"/>
        <v/>
      </c>
      <c r="G411" s="30"/>
      <c r="H411" s="30"/>
      <c r="I411" s="30"/>
      <c r="J411" s="32" t="str">
        <f t="shared" si="31"/>
        <v/>
      </c>
      <c r="K411" s="30" t="str">
        <f t="shared" si="32"/>
        <v/>
      </c>
      <c r="L411" s="30"/>
      <c r="M411" s="30"/>
      <c r="N411" s="22"/>
      <c r="O411" s="25"/>
      <c r="P411" s="26"/>
      <c r="Q411" s="22"/>
      <c r="R411" s="22"/>
      <c r="S411" s="22" t="str">
        <f t="shared" si="33"/>
        <v/>
      </c>
      <c r="T411" s="22" t="str">
        <f>IF(C411="","",IF(COUNTIF(tTQMReguliDoc[Cheie_regula],S411)&lt;&gt;1,"REGULA NECONFIGURATA",IF(COUNTIFS(tTQMReguliDoc[Cheie_regula],S411,tTQMReguliDoc[Stare],"Confirmata")=1,"Confirmata","De confirmat")))</f>
        <v/>
      </c>
      <c r="U411" s="22">
        <f>IF(OR(C411="",T411&lt;&gt;"Confirmata"),0,IF(COUNTIFS(tTQMReguliDoc[Cheie_regula],S411,tTQMReguliDoc[Aviz],"Da")=1,1,0))</f>
        <v>0</v>
      </c>
      <c r="V411" s="22">
        <f>IF(OR(C411="",T411&lt;&gt;"Confirmata"),0,IF(COUNTIFS(tTQMReguliDoc[Cheie_regula],S411,tTQMReguliDoc[Decl_conformitate],"Da")=1,1,0))</f>
        <v>0</v>
      </c>
      <c r="W411" s="22">
        <f>IF(OR(C411="",T411&lt;&gt;"Confirmata"),0,IF(COUNTIFS(tTQMReguliDoc[Cheie_regula],S411,tTQMReguliDoc[Decl_producator],"Da")=1,1,0))</f>
        <v>0</v>
      </c>
      <c r="X411" s="22">
        <f>IF(OR(C411="",T411&lt;&gt;"Confirmata"),0,IF(COUNTIFS(tTQMReguliDoc[Cheie_regula],S411,tTQMReguliDoc[Fise_tehnice],"Da")=1,1,0))</f>
        <v>0</v>
      </c>
      <c r="Y411" s="22" t="str">
        <f t="shared" si="34"/>
        <v/>
      </c>
      <c r="Z411" s="22"/>
      <c r="AA411" s="22"/>
    </row>
    <row r="412" spans="1:27" ht="15" customHeight="1">
      <c r="A412" s="30"/>
      <c r="B412" s="31"/>
      <c r="C412" s="30"/>
      <c r="D412" s="30"/>
      <c r="E412" s="30"/>
      <c r="F412" s="32" t="str">
        <f t="shared" si="30"/>
        <v/>
      </c>
      <c r="G412" s="30"/>
      <c r="H412" s="30"/>
      <c r="I412" s="30"/>
      <c r="J412" s="32" t="str">
        <f t="shared" si="31"/>
        <v/>
      </c>
      <c r="K412" s="30" t="str">
        <f t="shared" si="32"/>
        <v/>
      </c>
      <c r="L412" s="30"/>
      <c r="M412" s="30"/>
      <c r="N412" s="22"/>
      <c r="O412" s="25"/>
      <c r="P412" s="26"/>
      <c r="Q412" s="22"/>
      <c r="R412" s="22"/>
      <c r="S412" s="22" t="str">
        <f t="shared" si="33"/>
        <v/>
      </c>
      <c r="T412" s="22" t="str">
        <f>IF(C412="","",IF(COUNTIF(tTQMReguliDoc[Cheie_regula],S412)&lt;&gt;1,"REGULA NECONFIGURATA",IF(COUNTIFS(tTQMReguliDoc[Cheie_regula],S412,tTQMReguliDoc[Stare],"Confirmata")=1,"Confirmata","De confirmat")))</f>
        <v/>
      </c>
      <c r="U412" s="22">
        <f>IF(OR(C412="",T412&lt;&gt;"Confirmata"),0,IF(COUNTIFS(tTQMReguliDoc[Cheie_regula],S412,tTQMReguliDoc[Aviz],"Da")=1,1,0))</f>
        <v>0</v>
      </c>
      <c r="V412" s="22">
        <f>IF(OR(C412="",T412&lt;&gt;"Confirmata"),0,IF(COUNTIFS(tTQMReguliDoc[Cheie_regula],S412,tTQMReguliDoc[Decl_conformitate],"Da")=1,1,0))</f>
        <v>0</v>
      </c>
      <c r="W412" s="22">
        <f>IF(OR(C412="",T412&lt;&gt;"Confirmata"),0,IF(COUNTIFS(tTQMReguliDoc[Cheie_regula],S412,tTQMReguliDoc[Decl_producator],"Da")=1,1,0))</f>
        <v>0</v>
      </c>
      <c r="X412" s="22">
        <f>IF(OR(C412="",T412&lt;&gt;"Confirmata"),0,IF(COUNTIFS(tTQMReguliDoc[Cheie_regula],S412,tTQMReguliDoc[Fise_tehnice],"Da")=1,1,0))</f>
        <v>0</v>
      </c>
      <c r="Y412" s="22" t="str">
        <f t="shared" si="34"/>
        <v/>
      </c>
      <c r="Z412" s="22"/>
      <c r="AA412" s="22"/>
    </row>
    <row r="413" spans="1:27" ht="15" customHeight="1">
      <c r="A413" s="30"/>
      <c r="B413" s="31"/>
      <c r="C413" s="30"/>
      <c r="D413" s="30"/>
      <c r="E413" s="30"/>
      <c r="F413" s="32" t="str">
        <f t="shared" si="30"/>
        <v/>
      </c>
      <c r="G413" s="30"/>
      <c r="H413" s="30"/>
      <c r="I413" s="30"/>
      <c r="J413" s="32" t="str">
        <f t="shared" si="31"/>
        <v/>
      </c>
      <c r="K413" s="30" t="str">
        <f t="shared" si="32"/>
        <v/>
      </c>
      <c r="L413" s="30"/>
      <c r="M413" s="30"/>
      <c r="N413" s="22"/>
      <c r="O413" s="25"/>
      <c r="P413" s="26"/>
      <c r="Q413" s="22"/>
      <c r="R413" s="22"/>
      <c r="S413" s="22" t="str">
        <f t="shared" si="33"/>
        <v/>
      </c>
      <c r="T413" s="22" t="str">
        <f>IF(C413="","",IF(COUNTIF(tTQMReguliDoc[Cheie_regula],S413)&lt;&gt;1,"REGULA NECONFIGURATA",IF(COUNTIFS(tTQMReguliDoc[Cheie_regula],S413,tTQMReguliDoc[Stare],"Confirmata")=1,"Confirmata","De confirmat")))</f>
        <v/>
      </c>
      <c r="U413" s="22">
        <f>IF(OR(C413="",T413&lt;&gt;"Confirmata"),0,IF(COUNTIFS(tTQMReguliDoc[Cheie_regula],S413,tTQMReguliDoc[Aviz],"Da")=1,1,0))</f>
        <v>0</v>
      </c>
      <c r="V413" s="22">
        <f>IF(OR(C413="",T413&lt;&gt;"Confirmata"),0,IF(COUNTIFS(tTQMReguliDoc[Cheie_regula],S413,tTQMReguliDoc[Decl_conformitate],"Da")=1,1,0))</f>
        <v>0</v>
      </c>
      <c r="W413" s="22">
        <f>IF(OR(C413="",T413&lt;&gt;"Confirmata"),0,IF(COUNTIFS(tTQMReguliDoc[Cheie_regula],S413,tTQMReguliDoc[Decl_producator],"Da")=1,1,0))</f>
        <v>0</v>
      </c>
      <c r="X413" s="22">
        <f>IF(OR(C413="",T413&lt;&gt;"Confirmata"),0,IF(COUNTIFS(tTQMReguliDoc[Cheie_regula],S413,tTQMReguliDoc[Fise_tehnice],"Da")=1,1,0))</f>
        <v>0</v>
      </c>
      <c r="Y413" s="22" t="str">
        <f t="shared" si="34"/>
        <v/>
      </c>
      <c r="Z413" s="22"/>
      <c r="AA413" s="22"/>
    </row>
    <row r="414" spans="1:27" ht="15" customHeight="1">
      <c r="A414" s="30"/>
      <c r="B414" s="31"/>
      <c r="C414" s="30"/>
      <c r="D414" s="30"/>
      <c r="E414" s="30"/>
      <c r="F414" s="32" t="str">
        <f t="shared" si="30"/>
        <v/>
      </c>
      <c r="G414" s="30"/>
      <c r="H414" s="30"/>
      <c r="I414" s="30"/>
      <c r="J414" s="32" t="str">
        <f t="shared" si="31"/>
        <v/>
      </c>
      <c r="K414" s="30" t="str">
        <f t="shared" si="32"/>
        <v/>
      </c>
      <c r="L414" s="30"/>
      <c r="M414" s="30"/>
      <c r="N414" s="22"/>
      <c r="O414" s="25"/>
      <c r="P414" s="26"/>
      <c r="Q414" s="22"/>
      <c r="R414" s="22"/>
      <c r="S414" s="22" t="str">
        <f t="shared" si="33"/>
        <v/>
      </c>
      <c r="T414" s="22" t="str">
        <f>IF(C414="","",IF(COUNTIF(tTQMReguliDoc[Cheie_regula],S414)&lt;&gt;1,"REGULA NECONFIGURATA",IF(COUNTIFS(tTQMReguliDoc[Cheie_regula],S414,tTQMReguliDoc[Stare],"Confirmata")=1,"Confirmata","De confirmat")))</f>
        <v/>
      </c>
      <c r="U414" s="22">
        <f>IF(OR(C414="",T414&lt;&gt;"Confirmata"),0,IF(COUNTIFS(tTQMReguliDoc[Cheie_regula],S414,tTQMReguliDoc[Aviz],"Da")=1,1,0))</f>
        <v>0</v>
      </c>
      <c r="V414" s="22">
        <f>IF(OR(C414="",T414&lt;&gt;"Confirmata"),0,IF(COUNTIFS(tTQMReguliDoc[Cheie_regula],S414,tTQMReguliDoc[Decl_conformitate],"Da")=1,1,0))</f>
        <v>0</v>
      </c>
      <c r="W414" s="22">
        <f>IF(OR(C414="",T414&lt;&gt;"Confirmata"),0,IF(COUNTIFS(tTQMReguliDoc[Cheie_regula],S414,tTQMReguliDoc[Decl_producator],"Da")=1,1,0))</f>
        <v>0</v>
      </c>
      <c r="X414" s="22">
        <f>IF(OR(C414="",T414&lt;&gt;"Confirmata"),0,IF(COUNTIFS(tTQMReguliDoc[Cheie_regula],S414,tTQMReguliDoc[Fise_tehnice],"Da")=1,1,0))</f>
        <v>0</v>
      </c>
      <c r="Y414" s="22" t="str">
        <f t="shared" si="34"/>
        <v/>
      </c>
      <c r="Z414" s="22"/>
      <c r="AA414" s="22"/>
    </row>
    <row r="415" spans="1:27" ht="15" customHeight="1">
      <c r="A415" s="30"/>
      <c r="B415" s="31"/>
      <c r="C415" s="30"/>
      <c r="D415" s="30"/>
      <c r="E415" s="30"/>
      <c r="F415" s="32" t="str">
        <f t="shared" si="30"/>
        <v/>
      </c>
      <c r="G415" s="30"/>
      <c r="H415" s="30"/>
      <c r="I415" s="30"/>
      <c r="J415" s="32" t="str">
        <f t="shared" si="31"/>
        <v/>
      </c>
      <c r="K415" s="30" t="str">
        <f t="shared" si="32"/>
        <v/>
      </c>
      <c r="L415" s="30"/>
      <c r="M415" s="30"/>
      <c r="N415" s="22"/>
      <c r="O415" s="25"/>
      <c r="P415" s="26"/>
      <c r="Q415" s="22"/>
      <c r="R415" s="22"/>
      <c r="S415" s="22" t="str">
        <f t="shared" si="33"/>
        <v/>
      </c>
      <c r="T415" s="22" t="str">
        <f>IF(C415="","",IF(COUNTIF(tTQMReguliDoc[Cheie_regula],S415)&lt;&gt;1,"REGULA NECONFIGURATA",IF(COUNTIFS(tTQMReguliDoc[Cheie_regula],S415,tTQMReguliDoc[Stare],"Confirmata")=1,"Confirmata","De confirmat")))</f>
        <v/>
      </c>
      <c r="U415" s="22">
        <f>IF(OR(C415="",T415&lt;&gt;"Confirmata"),0,IF(COUNTIFS(tTQMReguliDoc[Cheie_regula],S415,tTQMReguliDoc[Aviz],"Da")=1,1,0))</f>
        <v>0</v>
      </c>
      <c r="V415" s="22">
        <f>IF(OR(C415="",T415&lt;&gt;"Confirmata"),0,IF(COUNTIFS(tTQMReguliDoc[Cheie_regula],S415,tTQMReguliDoc[Decl_conformitate],"Da")=1,1,0))</f>
        <v>0</v>
      </c>
      <c r="W415" s="22">
        <f>IF(OR(C415="",T415&lt;&gt;"Confirmata"),0,IF(COUNTIFS(tTQMReguliDoc[Cheie_regula],S415,tTQMReguliDoc[Decl_producator],"Da")=1,1,0))</f>
        <v>0</v>
      </c>
      <c r="X415" s="22">
        <f>IF(OR(C415="",T415&lt;&gt;"Confirmata"),0,IF(COUNTIFS(tTQMReguliDoc[Cheie_regula],S415,tTQMReguliDoc[Fise_tehnice],"Da")=1,1,0))</f>
        <v>0</v>
      </c>
      <c r="Y415" s="22" t="str">
        <f t="shared" si="34"/>
        <v/>
      </c>
      <c r="Z415" s="22"/>
      <c r="AA415" s="22"/>
    </row>
    <row r="416" spans="1:27" ht="15" customHeight="1">
      <c r="A416" s="30"/>
      <c r="B416" s="31"/>
      <c r="C416" s="30"/>
      <c r="D416" s="30"/>
      <c r="E416" s="30"/>
      <c r="F416" s="32" t="str">
        <f t="shared" si="30"/>
        <v/>
      </c>
      <c r="G416" s="30"/>
      <c r="H416" s="30"/>
      <c r="I416" s="30"/>
      <c r="J416" s="32" t="str">
        <f t="shared" si="31"/>
        <v/>
      </c>
      <c r="K416" s="30" t="str">
        <f t="shared" si="32"/>
        <v/>
      </c>
      <c r="L416" s="30"/>
      <c r="M416" s="30"/>
      <c r="N416" s="22"/>
      <c r="O416" s="25"/>
      <c r="P416" s="26"/>
      <c r="Q416" s="22"/>
      <c r="R416" s="22"/>
      <c r="S416" s="22" t="str">
        <f t="shared" si="33"/>
        <v/>
      </c>
      <c r="T416" s="22" t="str">
        <f>IF(C416="","",IF(COUNTIF(tTQMReguliDoc[Cheie_regula],S416)&lt;&gt;1,"REGULA NECONFIGURATA",IF(COUNTIFS(tTQMReguliDoc[Cheie_regula],S416,tTQMReguliDoc[Stare],"Confirmata")=1,"Confirmata","De confirmat")))</f>
        <v/>
      </c>
      <c r="U416" s="22">
        <f>IF(OR(C416="",T416&lt;&gt;"Confirmata"),0,IF(COUNTIFS(tTQMReguliDoc[Cheie_regula],S416,tTQMReguliDoc[Aviz],"Da")=1,1,0))</f>
        <v>0</v>
      </c>
      <c r="V416" s="22">
        <f>IF(OR(C416="",T416&lt;&gt;"Confirmata"),0,IF(COUNTIFS(tTQMReguliDoc[Cheie_regula],S416,tTQMReguliDoc[Decl_conformitate],"Da")=1,1,0))</f>
        <v>0</v>
      </c>
      <c r="W416" s="22">
        <f>IF(OR(C416="",T416&lt;&gt;"Confirmata"),0,IF(COUNTIFS(tTQMReguliDoc[Cheie_regula],S416,tTQMReguliDoc[Decl_producator],"Da")=1,1,0))</f>
        <v>0</v>
      </c>
      <c r="X416" s="22">
        <f>IF(OR(C416="",T416&lt;&gt;"Confirmata"),0,IF(COUNTIFS(tTQMReguliDoc[Cheie_regula],S416,tTQMReguliDoc[Fise_tehnice],"Da")=1,1,0))</f>
        <v>0</v>
      </c>
      <c r="Y416" s="22" t="str">
        <f t="shared" si="34"/>
        <v/>
      </c>
      <c r="Z416" s="22"/>
      <c r="AA416" s="22"/>
    </row>
    <row r="417" spans="1:27" ht="15" customHeight="1">
      <c r="A417" s="30"/>
      <c r="B417" s="31"/>
      <c r="C417" s="30"/>
      <c r="D417" s="30"/>
      <c r="E417" s="30"/>
      <c r="F417" s="32" t="str">
        <f t="shared" si="30"/>
        <v/>
      </c>
      <c r="G417" s="30"/>
      <c r="H417" s="30"/>
      <c r="I417" s="30"/>
      <c r="J417" s="32" t="str">
        <f t="shared" si="31"/>
        <v/>
      </c>
      <c r="K417" s="30" t="str">
        <f t="shared" si="32"/>
        <v/>
      </c>
      <c r="L417" s="30"/>
      <c r="M417" s="30"/>
      <c r="N417" s="22"/>
      <c r="O417" s="25"/>
      <c r="P417" s="26"/>
      <c r="Q417" s="22"/>
      <c r="R417" s="22"/>
      <c r="S417" s="22" t="str">
        <f t="shared" si="33"/>
        <v/>
      </c>
      <c r="T417" s="22" t="str">
        <f>IF(C417="","",IF(COUNTIF(tTQMReguliDoc[Cheie_regula],S417)&lt;&gt;1,"REGULA NECONFIGURATA",IF(COUNTIFS(tTQMReguliDoc[Cheie_regula],S417,tTQMReguliDoc[Stare],"Confirmata")=1,"Confirmata","De confirmat")))</f>
        <v/>
      </c>
      <c r="U417" s="22">
        <f>IF(OR(C417="",T417&lt;&gt;"Confirmata"),0,IF(COUNTIFS(tTQMReguliDoc[Cheie_regula],S417,tTQMReguliDoc[Aviz],"Da")=1,1,0))</f>
        <v>0</v>
      </c>
      <c r="V417" s="22">
        <f>IF(OR(C417="",T417&lt;&gt;"Confirmata"),0,IF(COUNTIFS(tTQMReguliDoc[Cheie_regula],S417,tTQMReguliDoc[Decl_conformitate],"Da")=1,1,0))</f>
        <v>0</v>
      </c>
      <c r="W417" s="22">
        <f>IF(OR(C417="",T417&lt;&gt;"Confirmata"),0,IF(COUNTIFS(tTQMReguliDoc[Cheie_regula],S417,tTQMReguliDoc[Decl_producator],"Da")=1,1,0))</f>
        <v>0</v>
      </c>
      <c r="X417" s="22">
        <f>IF(OR(C417="",T417&lt;&gt;"Confirmata"),0,IF(COUNTIFS(tTQMReguliDoc[Cheie_regula],S417,tTQMReguliDoc[Fise_tehnice],"Da")=1,1,0))</f>
        <v>0</v>
      </c>
      <c r="Y417" s="22" t="str">
        <f t="shared" si="34"/>
        <v/>
      </c>
      <c r="Z417" s="22"/>
      <c r="AA417" s="22"/>
    </row>
    <row r="418" spans="1:27" ht="15" customHeight="1">
      <c r="A418" s="30"/>
      <c r="B418" s="31"/>
      <c r="C418" s="30"/>
      <c r="D418" s="30"/>
      <c r="E418" s="30"/>
      <c r="F418" s="32" t="str">
        <f t="shared" si="30"/>
        <v/>
      </c>
      <c r="G418" s="30"/>
      <c r="H418" s="30"/>
      <c r="I418" s="30"/>
      <c r="J418" s="32" t="str">
        <f t="shared" si="31"/>
        <v/>
      </c>
      <c r="K418" s="30" t="str">
        <f t="shared" si="32"/>
        <v/>
      </c>
      <c r="L418" s="30"/>
      <c r="M418" s="30"/>
      <c r="N418" s="22"/>
      <c r="O418" s="25"/>
      <c r="P418" s="26"/>
      <c r="Q418" s="22"/>
      <c r="R418" s="22"/>
      <c r="S418" s="22" t="str">
        <f t="shared" si="33"/>
        <v/>
      </c>
      <c r="T418" s="22" t="str">
        <f>IF(C418="","",IF(COUNTIF(tTQMReguliDoc[Cheie_regula],S418)&lt;&gt;1,"REGULA NECONFIGURATA",IF(COUNTIFS(tTQMReguliDoc[Cheie_regula],S418,tTQMReguliDoc[Stare],"Confirmata")=1,"Confirmata","De confirmat")))</f>
        <v/>
      </c>
      <c r="U418" s="22">
        <f>IF(OR(C418="",T418&lt;&gt;"Confirmata"),0,IF(COUNTIFS(tTQMReguliDoc[Cheie_regula],S418,tTQMReguliDoc[Aviz],"Da")=1,1,0))</f>
        <v>0</v>
      </c>
      <c r="V418" s="22">
        <f>IF(OR(C418="",T418&lt;&gt;"Confirmata"),0,IF(COUNTIFS(tTQMReguliDoc[Cheie_regula],S418,tTQMReguliDoc[Decl_conformitate],"Da")=1,1,0))</f>
        <v>0</v>
      </c>
      <c r="W418" s="22">
        <f>IF(OR(C418="",T418&lt;&gt;"Confirmata"),0,IF(COUNTIFS(tTQMReguliDoc[Cheie_regula],S418,tTQMReguliDoc[Decl_producator],"Da")=1,1,0))</f>
        <v>0</v>
      </c>
      <c r="X418" s="22">
        <f>IF(OR(C418="",T418&lt;&gt;"Confirmata"),0,IF(COUNTIFS(tTQMReguliDoc[Cheie_regula],S418,tTQMReguliDoc[Fise_tehnice],"Da")=1,1,0))</f>
        <v>0</v>
      </c>
      <c r="Y418" s="22" t="str">
        <f t="shared" si="34"/>
        <v/>
      </c>
      <c r="Z418" s="22"/>
      <c r="AA418" s="22"/>
    </row>
    <row r="419" spans="1:27" ht="15" customHeight="1">
      <c r="A419" s="30"/>
      <c r="B419" s="31"/>
      <c r="C419" s="30"/>
      <c r="D419" s="30"/>
      <c r="E419" s="30"/>
      <c r="F419" s="32" t="str">
        <f t="shared" si="30"/>
        <v/>
      </c>
      <c r="G419" s="30"/>
      <c r="H419" s="30"/>
      <c r="I419" s="30"/>
      <c r="J419" s="32" t="str">
        <f t="shared" si="31"/>
        <v/>
      </c>
      <c r="K419" s="30" t="str">
        <f t="shared" si="32"/>
        <v/>
      </c>
      <c r="L419" s="30"/>
      <c r="M419" s="30"/>
      <c r="N419" s="22"/>
      <c r="O419" s="25"/>
      <c r="P419" s="26"/>
      <c r="Q419" s="22"/>
      <c r="R419" s="22"/>
      <c r="S419" s="22" t="str">
        <f t="shared" si="33"/>
        <v/>
      </c>
      <c r="T419" s="22" t="str">
        <f>IF(C419="","",IF(COUNTIF(tTQMReguliDoc[Cheie_regula],S419)&lt;&gt;1,"REGULA NECONFIGURATA",IF(COUNTIFS(tTQMReguliDoc[Cheie_regula],S419,tTQMReguliDoc[Stare],"Confirmata")=1,"Confirmata","De confirmat")))</f>
        <v/>
      </c>
      <c r="U419" s="22">
        <f>IF(OR(C419="",T419&lt;&gt;"Confirmata"),0,IF(COUNTIFS(tTQMReguliDoc[Cheie_regula],S419,tTQMReguliDoc[Aviz],"Da")=1,1,0))</f>
        <v>0</v>
      </c>
      <c r="V419" s="22">
        <f>IF(OR(C419="",T419&lt;&gt;"Confirmata"),0,IF(COUNTIFS(tTQMReguliDoc[Cheie_regula],S419,tTQMReguliDoc[Decl_conformitate],"Da")=1,1,0))</f>
        <v>0</v>
      </c>
      <c r="W419" s="22">
        <f>IF(OR(C419="",T419&lt;&gt;"Confirmata"),0,IF(COUNTIFS(tTQMReguliDoc[Cheie_regula],S419,tTQMReguliDoc[Decl_producator],"Da")=1,1,0))</f>
        <v>0</v>
      </c>
      <c r="X419" s="22">
        <f>IF(OR(C419="",T419&lt;&gt;"Confirmata"),0,IF(COUNTIFS(tTQMReguliDoc[Cheie_regula],S419,tTQMReguliDoc[Fise_tehnice],"Da")=1,1,0))</f>
        <v>0</v>
      </c>
      <c r="Y419" s="22" t="str">
        <f t="shared" si="34"/>
        <v/>
      </c>
      <c r="Z419" s="22"/>
      <c r="AA419" s="22"/>
    </row>
    <row r="420" spans="1:27" ht="15" customHeight="1">
      <c r="A420" s="30"/>
      <c r="B420" s="31"/>
      <c r="C420" s="30"/>
      <c r="D420" s="30"/>
      <c r="E420" s="30"/>
      <c r="F420" s="32" t="str">
        <f t="shared" si="30"/>
        <v/>
      </c>
      <c r="G420" s="30"/>
      <c r="H420" s="30"/>
      <c r="I420" s="30"/>
      <c r="J420" s="32" t="str">
        <f t="shared" si="31"/>
        <v/>
      </c>
      <c r="K420" s="30" t="str">
        <f t="shared" si="32"/>
        <v/>
      </c>
      <c r="L420" s="30"/>
      <c r="M420" s="30"/>
      <c r="N420" s="22"/>
      <c r="O420" s="25"/>
      <c r="P420" s="26"/>
      <c r="Q420" s="22"/>
      <c r="R420" s="22"/>
      <c r="S420" s="22" t="str">
        <f t="shared" si="33"/>
        <v/>
      </c>
      <c r="T420" s="22" t="str">
        <f>IF(C420="","",IF(COUNTIF(tTQMReguliDoc[Cheie_regula],S420)&lt;&gt;1,"REGULA NECONFIGURATA",IF(COUNTIFS(tTQMReguliDoc[Cheie_regula],S420,tTQMReguliDoc[Stare],"Confirmata")=1,"Confirmata","De confirmat")))</f>
        <v/>
      </c>
      <c r="U420" s="22">
        <f>IF(OR(C420="",T420&lt;&gt;"Confirmata"),0,IF(COUNTIFS(tTQMReguliDoc[Cheie_regula],S420,tTQMReguliDoc[Aviz],"Da")=1,1,0))</f>
        <v>0</v>
      </c>
      <c r="V420" s="22">
        <f>IF(OR(C420="",T420&lt;&gt;"Confirmata"),0,IF(COUNTIFS(tTQMReguliDoc[Cheie_regula],S420,tTQMReguliDoc[Decl_conformitate],"Da")=1,1,0))</f>
        <v>0</v>
      </c>
      <c r="W420" s="22">
        <f>IF(OR(C420="",T420&lt;&gt;"Confirmata"),0,IF(COUNTIFS(tTQMReguliDoc[Cheie_regula],S420,tTQMReguliDoc[Decl_producator],"Da")=1,1,0))</f>
        <v>0</v>
      </c>
      <c r="X420" s="22">
        <f>IF(OR(C420="",T420&lt;&gt;"Confirmata"),0,IF(COUNTIFS(tTQMReguliDoc[Cheie_regula],S420,tTQMReguliDoc[Fise_tehnice],"Da")=1,1,0))</f>
        <v>0</v>
      </c>
      <c r="Y420" s="22" t="str">
        <f t="shared" si="34"/>
        <v/>
      </c>
      <c r="Z420" s="22"/>
      <c r="AA420" s="22"/>
    </row>
    <row r="421" spans="1:27" ht="15" customHeight="1">
      <c r="A421" s="30"/>
      <c r="B421" s="31"/>
      <c r="C421" s="30"/>
      <c r="D421" s="30"/>
      <c r="E421" s="30"/>
      <c r="F421" s="32" t="str">
        <f t="shared" si="30"/>
        <v/>
      </c>
      <c r="G421" s="30"/>
      <c r="H421" s="30"/>
      <c r="I421" s="30"/>
      <c r="J421" s="32" t="str">
        <f t="shared" si="31"/>
        <v/>
      </c>
      <c r="K421" s="30" t="str">
        <f t="shared" si="32"/>
        <v/>
      </c>
      <c r="L421" s="30"/>
      <c r="M421" s="30"/>
      <c r="N421" s="22"/>
      <c r="O421" s="25"/>
      <c r="P421" s="26"/>
      <c r="Q421" s="22"/>
      <c r="R421" s="22"/>
      <c r="S421" s="22" t="str">
        <f t="shared" si="33"/>
        <v/>
      </c>
      <c r="T421" s="22" t="str">
        <f>IF(C421="","",IF(COUNTIF(tTQMReguliDoc[Cheie_regula],S421)&lt;&gt;1,"REGULA NECONFIGURATA",IF(COUNTIFS(tTQMReguliDoc[Cheie_regula],S421,tTQMReguliDoc[Stare],"Confirmata")=1,"Confirmata","De confirmat")))</f>
        <v/>
      </c>
      <c r="U421" s="22">
        <f>IF(OR(C421="",T421&lt;&gt;"Confirmata"),0,IF(COUNTIFS(tTQMReguliDoc[Cheie_regula],S421,tTQMReguliDoc[Aviz],"Da")=1,1,0))</f>
        <v>0</v>
      </c>
      <c r="V421" s="22">
        <f>IF(OR(C421="",T421&lt;&gt;"Confirmata"),0,IF(COUNTIFS(tTQMReguliDoc[Cheie_regula],S421,tTQMReguliDoc[Decl_conformitate],"Da")=1,1,0))</f>
        <v>0</v>
      </c>
      <c r="W421" s="22">
        <f>IF(OR(C421="",T421&lt;&gt;"Confirmata"),0,IF(COUNTIFS(tTQMReguliDoc[Cheie_regula],S421,tTQMReguliDoc[Decl_producator],"Da")=1,1,0))</f>
        <v>0</v>
      </c>
      <c r="X421" s="22">
        <f>IF(OR(C421="",T421&lt;&gt;"Confirmata"),0,IF(COUNTIFS(tTQMReguliDoc[Cheie_regula],S421,tTQMReguliDoc[Fise_tehnice],"Da")=1,1,0))</f>
        <v>0</v>
      </c>
      <c r="Y421" s="22" t="str">
        <f t="shared" si="34"/>
        <v/>
      </c>
      <c r="Z421" s="22"/>
      <c r="AA421" s="22"/>
    </row>
    <row r="422" spans="1:27" ht="15" customHeight="1">
      <c r="A422" s="30"/>
      <c r="B422" s="31"/>
      <c r="C422" s="30"/>
      <c r="D422" s="30"/>
      <c r="E422" s="30"/>
      <c r="F422" s="32" t="str">
        <f t="shared" si="30"/>
        <v/>
      </c>
      <c r="G422" s="30"/>
      <c r="H422" s="30"/>
      <c r="I422" s="30"/>
      <c r="J422" s="32" t="str">
        <f t="shared" si="31"/>
        <v/>
      </c>
      <c r="K422" s="30" t="str">
        <f t="shared" si="32"/>
        <v/>
      </c>
      <c r="L422" s="30"/>
      <c r="M422" s="30"/>
      <c r="N422" s="22"/>
      <c r="O422" s="25"/>
      <c r="P422" s="26"/>
      <c r="Q422" s="22"/>
      <c r="R422" s="22"/>
      <c r="S422" s="22" t="str">
        <f t="shared" si="33"/>
        <v/>
      </c>
      <c r="T422" s="22" t="str">
        <f>IF(C422="","",IF(COUNTIF(tTQMReguliDoc[Cheie_regula],S422)&lt;&gt;1,"REGULA NECONFIGURATA",IF(COUNTIFS(tTQMReguliDoc[Cheie_regula],S422,tTQMReguliDoc[Stare],"Confirmata")=1,"Confirmata","De confirmat")))</f>
        <v/>
      </c>
      <c r="U422" s="22">
        <f>IF(OR(C422="",T422&lt;&gt;"Confirmata"),0,IF(COUNTIFS(tTQMReguliDoc[Cheie_regula],S422,tTQMReguliDoc[Aviz],"Da")=1,1,0))</f>
        <v>0</v>
      </c>
      <c r="V422" s="22">
        <f>IF(OR(C422="",T422&lt;&gt;"Confirmata"),0,IF(COUNTIFS(tTQMReguliDoc[Cheie_regula],S422,tTQMReguliDoc[Decl_conformitate],"Da")=1,1,0))</f>
        <v>0</v>
      </c>
      <c r="W422" s="22">
        <f>IF(OR(C422="",T422&lt;&gt;"Confirmata"),0,IF(COUNTIFS(tTQMReguliDoc[Cheie_regula],S422,tTQMReguliDoc[Decl_producator],"Da")=1,1,0))</f>
        <v>0</v>
      </c>
      <c r="X422" s="22">
        <f>IF(OR(C422="",T422&lt;&gt;"Confirmata"),0,IF(COUNTIFS(tTQMReguliDoc[Cheie_regula],S422,tTQMReguliDoc[Fise_tehnice],"Da")=1,1,0))</f>
        <v>0</v>
      </c>
      <c r="Y422" s="22" t="str">
        <f t="shared" si="34"/>
        <v/>
      </c>
      <c r="Z422" s="22"/>
      <c r="AA422" s="22"/>
    </row>
    <row r="423" spans="1:27" ht="15" customHeight="1">
      <c r="A423" s="30"/>
      <c r="B423" s="31"/>
      <c r="C423" s="30"/>
      <c r="D423" s="30"/>
      <c r="E423" s="30"/>
      <c r="F423" s="32" t="str">
        <f t="shared" si="30"/>
        <v/>
      </c>
      <c r="G423" s="30"/>
      <c r="H423" s="30"/>
      <c r="I423" s="30"/>
      <c r="J423" s="32" t="str">
        <f t="shared" si="31"/>
        <v/>
      </c>
      <c r="K423" s="30" t="str">
        <f t="shared" si="32"/>
        <v/>
      </c>
      <c r="L423" s="30"/>
      <c r="M423" s="30"/>
      <c r="N423" s="22"/>
      <c r="O423" s="25"/>
      <c r="P423" s="26"/>
      <c r="Q423" s="22"/>
      <c r="R423" s="22"/>
      <c r="S423" s="22" t="str">
        <f t="shared" si="33"/>
        <v/>
      </c>
      <c r="T423" s="22" t="str">
        <f>IF(C423="","",IF(COUNTIF(tTQMReguliDoc[Cheie_regula],S423)&lt;&gt;1,"REGULA NECONFIGURATA",IF(COUNTIFS(tTQMReguliDoc[Cheie_regula],S423,tTQMReguliDoc[Stare],"Confirmata")=1,"Confirmata","De confirmat")))</f>
        <v/>
      </c>
      <c r="U423" s="22">
        <f>IF(OR(C423="",T423&lt;&gt;"Confirmata"),0,IF(COUNTIFS(tTQMReguliDoc[Cheie_regula],S423,tTQMReguliDoc[Aviz],"Da")=1,1,0))</f>
        <v>0</v>
      </c>
      <c r="V423" s="22">
        <f>IF(OR(C423="",T423&lt;&gt;"Confirmata"),0,IF(COUNTIFS(tTQMReguliDoc[Cheie_regula],S423,tTQMReguliDoc[Decl_conformitate],"Da")=1,1,0))</f>
        <v>0</v>
      </c>
      <c r="W423" s="22">
        <f>IF(OR(C423="",T423&lt;&gt;"Confirmata"),0,IF(COUNTIFS(tTQMReguliDoc[Cheie_regula],S423,tTQMReguliDoc[Decl_producator],"Da")=1,1,0))</f>
        <v>0</v>
      </c>
      <c r="X423" s="22">
        <f>IF(OR(C423="",T423&lt;&gt;"Confirmata"),0,IF(COUNTIFS(tTQMReguliDoc[Cheie_regula],S423,tTQMReguliDoc[Fise_tehnice],"Da")=1,1,0))</f>
        <v>0</v>
      </c>
      <c r="Y423" s="22" t="str">
        <f t="shared" si="34"/>
        <v/>
      </c>
      <c r="Z423" s="22"/>
      <c r="AA423" s="22"/>
    </row>
    <row r="424" spans="1:27" ht="15" customHeight="1">
      <c r="A424" s="30"/>
      <c r="B424" s="31"/>
      <c r="C424" s="30"/>
      <c r="D424" s="30"/>
      <c r="E424" s="30"/>
      <c r="F424" s="32" t="str">
        <f t="shared" si="30"/>
        <v/>
      </c>
      <c r="G424" s="30"/>
      <c r="H424" s="30"/>
      <c r="I424" s="30"/>
      <c r="J424" s="32" t="str">
        <f t="shared" si="31"/>
        <v/>
      </c>
      <c r="K424" s="30" t="str">
        <f t="shared" si="32"/>
        <v/>
      </c>
      <c r="L424" s="30"/>
      <c r="M424" s="30"/>
      <c r="N424" s="22"/>
      <c r="O424" s="25"/>
      <c r="P424" s="26"/>
      <c r="Q424" s="22"/>
      <c r="R424" s="22"/>
      <c r="S424" s="22" t="str">
        <f t="shared" si="33"/>
        <v/>
      </c>
      <c r="T424" s="22" t="str">
        <f>IF(C424="","",IF(COUNTIF(tTQMReguliDoc[Cheie_regula],S424)&lt;&gt;1,"REGULA NECONFIGURATA",IF(COUNTIFS(tTQMReguliDoc[Cheie_regula],S424,tTQMReguliDoc[Stare],"Confirmata")=1,"Confirmata","De confirmat")))</f>
        <v/>
      </c>
      <c r="U424" s="22">
        <f>IF(OR(C424="",T424&lt;&gt;"Confirmata"),0,IF(COUNTIFS(tTQMReguliDoc[Cheie_regula],S424,tTQMReguliDoc[Aviz],"Da")=1,1,0))</f>
        <v>0</v>
      </c>
      <c r="V424" s="22">
        <f>IF(OR(C424="",T424&lt;&gt;"Confirmata"),0,IF(COUNTIFS(tTQMReguliDoc[Cheie_regula],S424,tTQMReguliDoc[Decl_conformitate],"Da")=1,1,0))</f>
        <v>0</v>
      </c>
      <c r="W424" s="22">
        <f>IF(OR(C424="",T424&lt;&gt;"Confirmata"),0,IF(COUNTIFS(tTQMReguliDoc[Cheie_regula],S424,tTQMReguliDoc[Decl_producator],"Da")=1,1,0))</f>
        <v>0</v>
      </c>
      <c r="X424" s="22">
        <f>IF(OR(C424="",T424&lt;&gt;"Confirmata"),0,IF(COUNTIFS(tTQMReguliDoc[Cheie_regula],S424,tTQMReguliDoc[Fise_tehnice],"Da")=1,1,0))</f>
        <v>0</v>
      </c>
      <c r="Y424" s="22" t="str">
        <f t="shared" si="34"/>
        <v/>
      </c>
      <c r="Z424" s="22"/>
      <c r="AA424" s="22"/>
    </row>
    <row r="425" spans="1:27" ht="15" customHeight="1">
      <c r="A425" s="30"/>
      <c r="B425" s="31"/>
      <c r="C425" s="30"/>
      <c r="D425" s="30"/>
      <c r="E425" s="30"/>
      <c r="F425" s="32" t="str">
        <f t="shared" si="30"/>
        <v/>
      </c>
      <c r="G425" s="30"/>
      <c r="H425" s="30"/>
      <c r="I425" s="30"/>
      <c r="J425" s="32" t="str">
        <f t="shared" si="31"/>
        <v/>
      </c>
      <c r="K425" s="30" t="str">
        <f t="shared" si="32"/>
        <v/>
      </c>
      <c r="L425" s="30"/>
      <c r="M425" s="30"/>
      <c r="N425" s="22"/>
      <c r="O425" s="25"/>
      <c r="P425" s="26"/>
      <c r="Q425" s="22"/>
      <c r="R425" s="22"/>
      <c r="S425" s="22" t="str">
        <f t="shared" si="33"/>
        <v/>
      </c>
      <c r="T425" s="22" t="str">
        <f>IF(C425="","",IF(COUNTIF(tTQMReguliDoc[Cheie_regula],S425)&lt;&gt;1,"REGULA NECONFIGURATA",IF(COUNTIFS(tTQMReguliDoc[Cheie_regula],S425,tTQMReguliDoc[Stare],"Confirmata")=1,"Confirmata","De confirmat")))</f>
        <v/>
      </c>
      <c r="U425" s="22">
        <f>IF(OR(C425="",T425&lt;&gt;"Confirmata"),0,IF(COUNTIFS(tTQMReguliDoc[Cheie_regula],S425,tTQMReguliDoc[Aviz],"Da")=1,1,0))</f>
        <v>0</v>
      </c>
      <c r="V425" s="22">
        <f>IF(OR(C425="",T425&lt;&gt;"Confirmata"),0,IF(COUNTIFS(tTQMReguliDoc[Cheie_regula],S425,tTQMReguliDoc[Decl_conformitate],"Da")=1,1,0))</f>
        <v>0</v>
      </c>
      <c r="W425" s="22">
        <f>IF(OR(C425="",T425&lt;&gt;"Confirmata"),0,IF(COUNTIFS(tTQMReguliDoc[Cheie_regula],S425,tTQMReguliDoc[Decl_producator],"Da")=1,1,0))</f>
        <v>0</v>
      </c>
      <c r="X425" s="22">
        <f>IF(OR(C425="",T425&lt;&gt;"Confirmata"),0,IF(COUNTIFS(tTQMReguliDoc[Cheie_regula],S425,tTQMReguliDoc[Fise_tehnice],"Da")=1,1,0))</f>
        <v>0</v>
      </c>
      <c r="Y425" s="22" t="str">
        <f t="shared" si="34"/>
        <v/>
      </c>
      <c r="Z425" s="22"/>
      <c r="AA425" s="22"/>
    </row>
    <row r="426" spans="1:27" ht="15" customHeight="1">
      <c r="A426" s="30"/>
      <c r="B426" s="31"/>
      <c r="C426" s="30"/>
      <c r="D426" s="30"/>
      <c r="E426" s="30"/>
      <c r="F426" s="32" t="str">
        <f t="shared" si="30"/>
        <v/>
      </c>
      <c r="G426" s="30"/>
      <c r="H426" s="30"/>
      <c r="I426" s="30"/>
      <c r="J426" s="32" t="str">
        <f t="shared" si="31"/>
        <v/>
      </c>
      <c r="K426" s="30" t="str">
        <f t="shared" si="32"/>
        <v/>
      </c>
      <c r="L426" s="30"/>
      <c r="M426" s="30"/>
      <c r="N426" s="22"/>
      <c r="O426" s="25"/>
      <c r="P426" s="26"/>
      <c r="Q426" s="22"/>
      <c r="R426" s="22"/>
      <c r="S426" s="22" t="str">
        <f t="shared" si="33"/>
        <v/>
      </c>
      <c r="T426" s="22" t="str">
        <f>IF(C426="","",IF(COUNTIF(tTQMReguliDoc[Cheie_regula],S426)&lt;&gt;1,"REGULA NECONFIGURATA",IF(COUNTIFS(tTQMReguliDoc[Cheie_regula],S426,tTQMReguliDoc[Stare],"Confirmata")=1,"Confirmata","De confirmat")))</f>
        <v/>
      </c>
      <c r="U426" s="22">
        <f>IF(OR(C426="",T426&lt;&gt;"Confirmata"),0,IF(COUNTIFS(tTQMReguliDoc[Cheie_regula],S426,tTQMReguliDoc[Aviz],"Da")=1,1,0))</f>
        <v>0</v>
      </c>
      <c r="V426" s="22">
        <f>IF(OR(C426="",T426&lt;&gt;"Confirmata"),0,IF(COUNTIFS(tTQMReguliDoc[Cheie_regula],S426,tTQMReguliDoc[Decl_conformitate],"Da")=1,1,0))</f>
        <v>0</v>
      </c>
      <c r="W426" s="22">
        <f>IF(OR(C426="",T426&lt;&gt;"Confirmata"),0,IF(COUNTIFS(tTQMReguliDoc[Cheie_regula],S426,tTQMReguliDoc[Decl_producator],"Da")=1,1,0))</f>
        <v>0</v>
      </c>
      <c r="X426" s="22">
        <f>IF(OR(C426="",T426&lt;&gt;"Confirmata"),0,IF(COUNTIFS(tTQMReguliDoc[Cheie_regula],S426,tTQMReguliDoc[Fise_tehnice],"Da")=1,1,0))</f>
        <v>0</v>
      </c>
      <c r="Y426" s="22" t="str">
        <f t="shared" si="34"/>
        <v/>
      </c>
      <c r="Z426" s="22"/>
      <c r="AA426" s="22"/>
    </row>
    <row r="427" spans="1:27" ht="15" customHeight="1">
      <c r="A427" s="30"/>
      <c r="B427" s="31"/>
      <c r="C427" s="30"/>
      <c r="D427" s="30"/>
      <c r="E427" s="30"/>
      <c r="F427" s="32" t="str">
        <f t="shared" si="30"/>
        <v/>
      </c>
      <c r="G427" s="30"/>
      <c r="H427" s="30"/>
      <c r="I427" s="30"/>
      <c r="J427" s="32" t="str">
        <f t="shared" si="31"/>
        <v/>
      </c>
      <c r="K427" s="30" t="str">
        <f t="shared" si="32"/>
        <v/>
      </c>
      <c r="L427" s="30"/>
      <c r="M427" s="30"/>
      <c r="N427" s="22"/>
      <c r="O427" s="25"/>
      <c r="P427" s="26"/>
      <c r="Q427" s="22"/>
      <c r="R427" s="22"/>
      <c r="S427" s="22" t="str">
        <f t="shared" si="33"/>
        <v/>
      </c>
      <c r="T427" s="22" t="str">
        <f>IF(C427="","",IF(COUNTIF(tTQMReguliDoc[Cheie_regula],S427)&lt;&gt;1,"REGULA NECONFIGURATA",IF(COUNTIFS(tTQMReguliDoc[Cheie_regula],S427,tTQMReguliDoc[Stare],"Confirmata")=1,"Confirmata","De confirmat")))</f>
        <v/>
      </c>
      <c r="U427" s="22">
        <f>IF(OR(C427="",T427&lt;&gt;"Confirmata"),0,IF(COUNTIFS(tTQMReguliDoc[Cheie_regula],S427,tTQMReguliDoc[Aviz],"Da")=1,1,0))</f>
        <v>0</v>
      </c>
      <c r="V427" s="22">
        <f>IF(OR(C427="",T427&lt;&gt;"Confirmata"),0,IF(COUNTIFS(tTQMReguliDoc[Cheie_regula],S427,tTQMReguliDoc[Decl_conformitate],"Da")=1,1,0))</f>
        <v>0</v>
      </c>
      <c r="W427" s="22">
        <f>IF(OR(C427="",T427&lt;&gt;"Confirmata"),0,IF(COUNTIFS(tTQMReguliDoc[Cheie_regula],S427,tTQMReguliDoc[Decl_producator],"Da")=1,1,0))</f>
        <v>0</v>
      </c>
      <c r="X427" s="22">
        <f>IF(OR(C427="",T427&lt;&gt;"Confirmata"),0,IF(COUNTIFS(tTQMReguliDoc[Cheie_regula],S427,tTQMReguliDoc[Fise_tehnice],"Da")=1,1,0))</f>
        <v>0</v>
      </c>
      <c r="Y427" s="22" t="str">
        <f t="shared" si="34"/>
        <v/>
      </c>
      <c r="Z427" s="22"/>
      <c r="AA427" s="22"/>
    </row>
    <row r="428" spans="1:27" ht="15" customHeight="1">
      <c r="A428" s="30"/>
      <c r="B428" s="31"/>
      <c r="C428" s="30"/>
      <c r="D428" s="30"/>
      <c r="E428" s="30"/>
      <c r="F428" s="32" t="str">
        <f t="shared" si="30"/>
        <v/>
      </c>
      <c r="G428" s="30"/>
      <c r="H428" s="30"/>
      <c r="I428" s="30"/>
      <c r="J428" s="32" t="str">
        <f t="shared" si="31"/>
        <v/>
      </c>
      <c r="K428" s="30" t="str">
        <f t="shared" si="32"/>
        <v/>
      </c>
      <c r="L428" s="30"/>
      <c r="M428" s="30"/>
      <c r="N428" s="22"/>
      <c r="O428" s="25"/>
      <c r="P428" s="26"/>
      <c r="Q428" s="22"/>
      <c r="R428" s="22"/>
      <c r="S428" s="22" t="str">
        <f t="shared" si="33"/>
        <v/>
      </c>
      <c r="T428" s="22" t="str">
        <f>IF(C428="","",IF(COUNTIF(tTQMReguliDoc[Cheie_regula],S428)&lt;&gt;1,"REGULA NECONFIGURATA",IF(COUNTIFS(tTQMReguliDoc[Cheie_regula],S428,tTQMReguliDoc[Stare],"Confirmata")=1,"Confirmata","De confirmat")))</f>
        <v/>
      </c>
      <c r="U428" s="22">
        <f>IF(OR(C428="",T428&lt;&gt;"Confirmata"),0,IF(COUNTIFS(tTQMReguliDoc[Cheie_regula],S428,tTQMReguliDoc[Aviz],"Da")=1,1,0))</f>
        <v>0</v>
      </c>
      <c r="V428" s="22">
        <f>IF(OR(C428="",T428&lt;&gt;"Confirmata"),0,IF(COUNTIFS(tTQMReguliDoc[Cheie_regula],S428,tTQMReguliDoc[Decl_conformitate],"Da")=1,1,0))</f>
        <v>0</v>
      </c>
      <c r="W428" s="22">
        <f>IF(OR(C428="",T428&lt;&gt;"Confirmata"),0,IF(COUNTIFS(tTQMReguliDoc[Cheie_regula],S428,tTQMReguliDoc[Decl_producator],"Da")=1,1,0))</f>
        <v>0</v>
      </c>
      <c r="X428" s="22">
        <f>IF(OR(C428="",T428&lt;&gt;"Confirmata"),0,IF(COUNTIFS(tTQMReguliDoc[Cheie_regula],S428,tTQMReguliDoc[Fise_tehnice],"Da")=1,1,0))</f>
        <v>0</v>
      </c>
      <c r="Y428" s="22" t="str">
        <f t="shared" si="34"/>
        <v/>
      </c>
      <c r="Z428" s="22"/>
      <c r="AA428" s="22"/>
    </row>
    <row r="429" spans="1:27" ht="15" customHeight="1">
      <c r="A429" s="30"/>
      <c r="B429" s="31"/>
      <c r="C429" s="30"/>
      <c r="D429" s="30"/>
      <c r="E429" s="30"/>
      <c r="F429" s="32" t="str">
        <f t="shared" si="30"/>
        <v/>
      </c>
      <c r="G429" s="30"/>
      <c r="H429" s="30"/>
      <c r="I429" s="30"/>
      <c r="J429" s="32" t="str">
        <f t="shared" si="31"/>
        <v/>
      </c>
      <c r="K429" s="30" t="str">
        <f t="shared" si="32"/>
        <v/>
      </c>
      <c r="L429" s="30"/>
      <c r="M429" s="30"/>
      <c r="N429" s="22"/>
      <c r="O429" s="25"/>
      <c r="P429" s="26"/>
      <c r="Q429" s="22"/>
      <c r="R429" s="22"/>
      <c r="S429" s="22" t="str">
        <f t="shared" si="33"/>
        <v/>
      </c>
      <c r="T429" s="22" t="str">
        <f>IF(C429="","",IF(COUNTIF(tTQMReguliDoc[Cheie_regula],S429)&lt;&gt;1,"REGULA NECONFIGURATA",IF(COUNTIFS(tTQMReguliDoc[Cheie_regula],S429,tTQMReguliDoc[Stare],"Confirmata")=1,"Confirmata","De confirmat")))</f>
        <v/>
      </c>
      <c r="U429" s="22">
        <f>IF(OR(C429="",T429&lt;&gt;"Confirmata"),0,IF(COUNTIFS(tTQMReguliDoc[Cheie_regula],S429,tTQMReguliDoc[Aviz],"Da")=1,1,0))</f>
        <v>0</v>
      </c>
      <c r="V429" s="22">
        <f>IF(OR(C429="",T429&lt;&gt;"Confirmata"),0,IF(COUNTIFS(tTQMReguliDoc[Cheie_regula],S429,tTQMReguliDoc[Decl_conformitate],"Da")=1,1,0))</f>
        <v>0</v>
      </c>
      <c r="W429" s="22">
        <f>IF(OR(C429="",T429&lt;&gt;"Confirmata"),0,IF(COUNTIFS(tTQMReguliDoc[Cheie_regula],S429,tTQMReguliDoc[Decl_producator],"Da")=1,1,0))</f>
        <v>0</v>
      </c>
      <c r="X429" s="22">
        <f>IF(OR(C429="",T429&lt;&gt;"Confirmata"),0,IF(COUNTIFS(tTQMReguliDoc[Cheie_regula],S429,tTQMReguliDoc[Fise_tehnice],"Da")=1,1,0))</f>
        <v>0</v>
      </c>
      <c r="Y429" s="22" t="str">
        <f t="shared" si="34"/>
        <v/>
      </c>
      <c r="Z429" s="22"/>
      <c r="AA429" s="22"/>
    </row>
    <row r="430" spans="1:27" ht="15" customHeight="1">
      <c r="A430" s="30"/>
      <c r="B430" s="31"/>
      <c r="C430" s="30"/>
      <c r="D430" s="30"/>
      <c r="E430" s="30"/>
      <c r="F430" s="32" t="str">
        <f t="shared" si="30"/>
        <v/>
      </c>
      <c r="G430" s="30"/>
      <c r="H430" s="30"/>
      <c r="I430" s="30"/>
      <c r="J430" s="32" t="str">
        <f t="shared" si="31"/>
        <v/>
      </c>
      <c r="K430" s="30" t="str">
        <f t="shared" si="32"/>
        <v/>
      </c>
      <c r="L430" s="30"/>
      <c r="M430" s="30"/>
      <c r="N430" s="22"/>
      <c r="O430" s="25"/>
      <c r="P430" s="26"/>
      <c r="Q430" s="22"/>
      <c r="R430" s="22"/>
      <c r="S430" s="22" t="str">
        <f t="shared" si="33"/>
        <v/>
      </c>
      <c r="T430" s="22" t="str">
        <f>IF(C430="","",IF(COUNTIF(tTQMReguliDoc[Cheie_regula],S430)&lt;&gt;1,"REGULA NECONFIGURATA",IF(COUNTIFS(tTQMReguliDoc[Cheie_regula],S430,tTQMReguliDoc[Stare],"Confirmata")=1,"Confirmata","De confirmat")))</f>
        <v/>
      </c>
      <c r="U430" s="22">
        <f>IF(OR(C430="",T430&lt;&gt;"Confirmata"),0,IF(COUNTIFS(tTQMReguliDoc[Cheie_regula],S430,tTQMReguliDoc[Aviz],"Da")=1,1,0))</f>
        <v>0</v>
      </c>
      <c r="V430" s="22">
        <f>IF(OR(C430="",T430&lt;&gt;"Confirmata"),0,IF(COUNTIFS(tTQMReguliDoc[Cheie_regula],S430,tTQMReguliDoc[Decl_conformitate],"Da")=1,1,0))</f>
        <v>0</v>
      </c>
      <c r="W430" s="22">
        <f>IF(OR(C430="",T430&lt;&gt;"Confirmata"),0,IF(COUNTIFS(tTQMReguliDoc[Cheie_regula],S430,tTQMReguliDoc[Decl_producator],"Da")=1,1,0))</f>
        <v>0</v>
      </c>
      <c r="X430" s="22">
        <f>IF(OR(C430="",T430&lt;&gt;"Confirmata"),0,IF(COUNTIFS(tTQMReguliDoc[Cheie_regula],S430,tTQMReguliDoc[Fise_tehnice],"Da")=1,1,0))</f>
        <v>0</v>
      </c>
      <c r="Y430" s="22" t="str">
        <f t="shared" si="34"/>
        <v/>
      </c>
      <c r="Z430" s="22"/>
      <c r="AA430" s="22"/>
    </row>
    <row r="431" spans="1:27" ht="15" customHeight="1">
      <c r="A431" s="30"/>
      <c r="B431" s="31"/>
      <c r="C431" s="30"/>
      <c r="D431" s="30"/>
      <c r="E431" s="30"/>
      <c r="F431" s="32" t="str">
        <f t="shared" si="30"/>
        <v/>
      </c>
      <c r="G431" s="30"/>
      <c r="H431" s="30"/>
      <c r="I431" s="30"/>
      <c r="J431" s="32" t="str">
        <f t="shared" si="31"/>
        <v/>
      </c>
      <c r="K431" s="30" t="str">
        <f t="shared" si="32"/>
        <v/>
      </c>
      <c r="L431" s="30"/>
      <c r="M431" s="30"/>
      <c r="N431" s="22"/>
      <c r="O431" s="25"/>
      <c r="P431" s="26"/>
      <c r="Q431" s="22"/>
      <c r="R431" s="22"/>
      <c r="S431" s="22" t="str">
        <f t="shared" si="33"/>
        <v/>
      </c>
      <c r="T431" s="22" t="str">
        <f>IF(C431="","",IF(COUNTIF(tTQMReguliDoc[Cheie_regula],S431)&lt;&gt;1,"REGULA NECONFIGURATA",IF(COUNTIFS(tTQMReguliDoc[Cheie_regula],S431,tTQMReguliDoc[Stare],"Confirmata")=1,"Confirmata","De confirmat")))</f>
        <v/>
      </c>
      <c r="U431" s="22">
        <f>IF(OR(C431="",T431&lt;&gt;"Confirmata"),0,IF(COUNTIFS(tTQMReguliDoc[Cheie_regula],S431,tTQMReguliDoc[Aviz],"Da")=1,1,0))</f>
        <v>0</v>
      </c>
      <c r="V431" s="22">
        <f>IF(OR(C431="",T431&lt;&gt;"Confirmata"),0,IF(COUNTIFS(tTQMReguliDoc[Cheie_regula],S431,tTQMReguliDoc[Decl_conformitate],"Da")=1,1,0))</f>
        <v>0</v>
      </c>
      <c r="W431" s="22">
        <f>IF(OR(C431="",T431&lt;&gt;"Confirmata"),0,IF(COUNTIFS(tTQMReguliDoc[Cheie_regula],S431,tTQMReguliDoc[Decl_producator],"Da")=1,1,0))</f>
        <v>0</v>
      </c>
      <c r="X431" s="22">
        <f>IF(OR(C431="",T431&lt;&gt;"Confirmata"),0,IF(COUNTIFS(tTQMReguliDoc[Cheie_regula],S431,tTQMReguliDoc[Fise_tehnice],"Da")=1,1,0))</f>
        <v>0</v>
      </c>
      <c r="Y431" s="22" t="str">
        <f t="shared" si="34"/>
        <v/>
      </c>
      <c r="Z431" s="22"/>
      <c r="AA431" s="22"/>
    </row>
    <row r="432" spans="1:27" ht="15" customHeight="1">
      <c r="A432" s="30"/>
      <c r="B432" s="31"/>
      <c r="C432" s="30"/>
      <c r="D432" s="30"/>
      <c r="E432" s="30"/>
      <c r="F432" s="32" t="str">
        <f t="shared" si="30"/>
        <v/>
      </c>
      <c r="G432" s="30"/>
      <c r="H432" s="30"/>
      <c r="I432" s="30"/>
      <c r="J432" s="32" t="str">
        <f t="shared" si="31"/>
        <v/>
      </c>
      <c r="K432" s="30" t="str">
        <f t="shared" si="32"/>
        <v/>
      </c>
      <c r="L432" s="30"/>
      <c r="M432" s="30"/>
      <c r="N432" s="22"/>
      <c r="O432" s="25"/>
      <c r="P432" s="26"/>
      <c r="Q432" s="22"/>
      <c r="R432" s="22"/>
      <c r="S432" s="22" t="str">
        <f t="shared" si="33"/>
        <v/>
      </c>
      <c r="T432" s="22" t="str">
        <f>IF(C432="","",IF(COUNTIF(tTQMReguliDoc[Cheie_regula],S432)&lt;&gt;1,"REGULA NECONFIGURATA",IF(COUNTIFS(tTQMReguliDoc[Cheie_regula],S432,tTQMReguliDoc[Stare],"Confirmata")=1,"Confirmata","De confirmat")))</f>
        <v/>
      </c>
      <c r="U432" s="22">
        <f>IF(OR(C432="",T432&lt;&gt;"Confirmata"),0,IF(COUNTIFS(tTQMReguliDoc[Cheie_regula],S432,tTQMReguliDoc[Aviz],"Da")=1,1,0))</f>
        <v>0</v>
      </c>
      <c r="V432" s="22">
        <f>IF(OR(C432="",T432&lt;&gt;"Confirmata"),0,IF(COUNTIFS(tTQMReguliDoc[Cheie_regula],S432,tTQMReguliDoc[Decl_conformitate],"Da")=1,1,0))</f>
        <v>0</v>
      </c>
      <c r="W432" s="22">
        <f>IF(OR(C432="",T432&lt;&gt;"Confirmata"),0,IF(COUNTIFS(tTQMReguliDoc[Cheie_regula],S432,tTQMReguliDoc[Decl_producator],"Da")=1,1,0))</f>
        <v>0</v>
      </c>
      <c r="X432" s="22">
        <f>IF(OR(C432="",T432&lt;&gt;"Confirmata"),0,IF(COUNTIFS(tTQMReguliDoc[Cheie_regula],S432,tTQMReguliDoc[Fise_tehnice],"Da")=1,1,0))</f>
        <v>0</v>
      </c>
      <c r="Y432" s="22" t="str">
        <f t="shared" si="34"/>
        <v/>
      </c>
      <c r="Z432" s="22"/>
      <c r="AA432" s="22"/>
    </row>
    <row r="433" spans="1:27" ht="15" customHeight="1">
      <c r="A433" s="30"/>
      <c r="B433" s="31"/>
      <c r="C433" s="30"/>
      <c r="D433" s="30"/>
      <c r="E433" s="30"/>
      <c r="F433" s="32" t="str">
        <f t="shared" si="30"/>
        <v/>
      </c>
      <c r="G433" s="30"/>
      <c r="H433" s="30"/>
      <c r="I433" s="30"/>
      <c r="J433" s="32" t="str">
        <f t="shared" si="31"/>
        <v/>
      </c>
      <c r="K433" s="30" t="str">
        <f t="shared" si="32"/>
        <v/>
      </c>
      <c r="L433" s="30"/>
      <c r="M433" s="30"/>
      <c r="N433" s="22"/>
      <c r="O433" s="25"/>
      <c r="P433" s="26"/>
      <c r="Q433" s="22"/>
      <c r="R433" s="22"/>
      <c r="S433" s="22" t="str">
        <f t="shared" si="33"/>
        <v/>
      </c>
      <c r="T433" s="22" t="str">
        <f>IF(C433="","",IF(COUNTIF(tTQMReguliDoc[Cheie_regula],S433)&lt;&gt;1,"REGULA NECONFIGURATA",IF(COUNTIFS(tTQMReguliDoc[Cheie_regula],S433,tTQMReguliDoc[Stare],"Confirmata")=1,"Confirmata","De confirmat")))</f>
        <v/>
      </c>
      <c r="U433" s="22">
        <f>IF(OR(C433="",T433&lt;&gt;"Confirmata"),0,IF(COUNTIFS(tTQMReguliDoc[Cheie_regula],S433,tTQMReguliDoc[Aviz],"Da")=1,1,0))</f>
        <v>0</v>
      </c>
      <c r="V433" s="22">
        <f>IF(OR(C433="",T433&lt;&gt;"Confirmata"),0,IF(COUNTIFS(tTQMReguliDoc[Cheie_regula],S433,tTQMReguliDoc[Decl_conformitate],"Da")=1,1,0))</f>
        <v>0</v>
      </c>
      <c r="W433" s="22">
        <f>IF(OR(C433="",T433&lt;&gt;"Confirmata"),0,IF(COUNTIFS(tTQMReguliDoc[Cheie_regula],S433,tTQMReguliDoc[Decl_producator],"Da")=1,1,0))</f>
        <v>0</v>
      </c>
      <c r="X433" s="22">
        <f>IF(OR(C433="",T433&lt;&gt;"Confirmata"),0,IF(COUNTIFS(tTQMReguliDoc[Cheie_regula],S433,tTQMReguliDoc[Fise_tehnice],"Da")=1,1,0))</f>
        <v>0</v>
      </c>
      <c r="Y433" s="22" t="str">
        <f t="shared" si="34"/>
        <v/>
      </c>
      <c r="Z433" s="22"/>
      <c r="AA433" s="22"/>
    </row>
    <row r="434" spans="1:27" ht="15" customHeight="1">
      <c r="A434" s="30"/>
      <c r="B434" s="31"/>
      <c r="C434" s="30"/>
      <c r="D434" s="30"/>
      <c r="E434" s="30"/>
      <c r="F434" s="32" t="str">
        <f t="shared" si="30"/>
        <v/>
      </c>
      <c r="G434" s="30"/>
      <c r="H434" s="30"/>
      <c r="I434" s="30"/>
      <c r="J434" s="32" t="str">
        <f t="shared" si="31"/>
        <v/>
      </c>
      <c r="K434" s="30" t="str">
        <f t="shared" si="32"/>
        <v/>
      </c>
      <c r="L434" s="30"/>
      <c r="M434" s="30"/>
      <c r="N434" s="22"/>
      <c r="O434" s="25"/>
      <c r="P434" s="26"/>
      <c r="Q434" s="22"/>
      <c r="R434" s="22"/>
      <c r="S434" s="22" t="str">
        <f t="shared" si="33"/>
        <v/>
      </c>
      <c r="T434" s="22" t="str">
        <f>IF(C434="","",IF(COUNTIF(tTQMReguliDoc[Cheie_regula],S434)&lt;&gt;1,"REGULA NECONFIGURATA",IF(COUNTIFS(tTQMReguliDoc[Cheie_regula],S434,tTQMReguliDoc[Stare],"Confirmata")=1,"Confirmata","De confirmat")))</f>
        <v/>
      </c>
      <c r="U434" s="22">
        <f>IF(OR(C434="",T434&lt;&gt;"Confirmata"),0,IF(COUNTIFS(tTQMReguliDoc[Cheie_regula],S434,tTQMReguliDoc[Aviz],"Da")=1,1,0))</f>
        <v>0</v>
      </c>
      <c r="V434" s="22">
        <f>IF(OR(C434="",T434&lt;&gt;"Confirmata"),0,IF(COUNTIFS(tTQMReguliDoc[Cheie_regula],S434,tTQMReguliDoc[Decl_conformitate],"Da")=1,1,0))</f>
        <v>0</v>
      </c>
      <c r="W434" s="22">
        <f>IF(OR(C434="",T434&lt;&gt;"Confirmata"),0,IF(COUNTIFS(tTQMReguliDoc[Cheie_regula],S434,tTQMReguliDoc[Decl_producator],"Da")=1,1,0))</f>
        <v>0</v>
      </c>
      <c r="X434" s="22">
        <f>IF(OR(C434="",T434&lt;&gt;"Confirmata"),0,IF(COUNTIFS(tTQMReguliDoc[Cheie_regula],S434,tTQMReguliDoc[Fise_tehnice],"Da")=1,1,0))</f>
        <v>0</v>
      </c>
      <c r="Y434" s="22" t="str">
        <f t="shared" si="34"/>
        <v/>
      </c>
      <c r="Z434" s="22"/>
      <c r="AA434" s="22"/>
    </row>
    <row r="435" spans="1:27" ht="15" customHeight="1">
      <c r="A435" s="30"/>
      <c r="B435" s="31"/>
      <c r="C435" s="30"/>
      <c r="D435" s="30"/>
      <c r="E435" s="30"/>
      <c r="F435" s="32" t="str">
        <f t="shared" si="30"/>
        <v/>
      </c>
      <c r="G435" s="30"/>
      <c r="H435" s="30"/>
      <c r="I435" s="30"/>
      <c r="J435" s="32" t="str">
        <f t="shared" si="31"/>
        <v/>
      </c>
      <c r="K435" s="30" t="str">
        <f t="shared" si="32"/>
        <v/>
      </c>
      <c r="L435" s="30"/>
      <c r="M435" s="30"/>
      <c r="N435" s="22"/>
      <c r="O435" s="25"/>
      <c r="P435" s="26"/>
      <c r="Q435" s="22"/>
      <c r="R435" s="22"/>
      <c r="S435" s="22" t="str">
        <f t="shared" si="33"/>
        <v/>
      </c>
      <c r="T435" s="22" t="str">
        <f>IF(C435="","",IF(COUNTIF(tTQMReguliDoc[Cheie_regula],S435)&lt;&gt;1,"REGULA NECONFIGURATA",IF(COUNTIFS(tTQMReguliDoc[Cheie_regula],S435,tTQMReguliDoc[Stare],"Confirmata")=1,"Confirmata","De confirmat")))</f>
        <v/>
      </c>
      <c r="U435" s="22">
        <f>IF(OR(C435="",T435&lt;&gt;"Confirmata"),0,IF(COUNTIFS(tTQMReguliDoc[Cheie_regula],S435,tTQMReguliDoc[Aviz],"Da")=1,1,0))</f>
        <v>0</v>
      </c>
      <c r="V435" s="22">
        <f>IF(OR(C435="",T435&lt;&gt;"Confirmata"),0,IF(COUNTIFS(tTQMReguliDoc[Cheie_regula],S435,tTQMReguliDoc[Decl_conformitate],"Da")=1,1,0))</f>
        <v>0</v>
      </c>
      <c r="W435" s="22">
        <f>IF(OR(C435="",T435&lt;&gt;"Confirmata"),0,IF(COUNTIFS(tTQMReguliDoc[Cheie_regula],S435,tTQMReguliDoc[Decl_producator],"Da")=1,1,0))</f>
        <v>0</v>
      </c>
      <c r="X435" s="22">
        <f>IF(OR(C435="",T435&lt;&gt;"Confirmata"),0,IF(COUNTIFS(tTQMReguliDoc[Cheie_regula],S435,tTQMReguliDoc[Fise_tehnice],"Da")=1,1,0))</f>
        <v>0</v>
      </c>
      <c r="Y435" s="22" t="str">
        <f t="shared" si="34"/>
        <v/>
      </c>
      <c r="Z435" s="22"/>
      <c r="AA435" s="22"/>
    </row>
    <row r="436" spans="1:27" ht="15" customHeight="1">
      <c r="A436" s="30"/>
      <c r="B436" s="31"/>
      <c r="C436" s="30"/>
      <c r="D436" s="30"/>
      <c r="E436" s="30"/>
      <c r="F436" s="32" t="str">
        <f t="shared" si="30"/>
        <v/>
      </c>
      <c r="G436" s="30"/>
      <c r="H436" s="30"/>
      <c r="I436" s="30"/>
      <c r="J436" s="32" t="str">
        <f t="shared" si="31"/>
        <v/>
      </c>
      <c r="K436" s="30" t="str">
        <f t="shared" si="32"/>
        <v/>
      </c>
      <c r="L436" s="30"/>
      <c r="M436" s="30"/>
      <c r="N436" s="22"/>
      <c r="O436" s="25"/>
      <c r="P436" s="26"/>
      <c r="Q436" s="22"/>
      <c r="R436" s="22"/>
      <c r="S436" s="22" t="str">
        <f t="shared" si="33"/>
        <v/>
      </c>
      <c r="T436" s="22" t="str">
        <f>IF(C436="","",IF(COUNTIF(tTQMReguliDoc[Cheie_regula],S436)&lt;&gt;1,"REGULA NECONFIGURATA",IF(COUNTIFS(tTQMReguliDoc[Cheie_regula],S436,tTQMReguliDoc[Stare],"Confirmata")=1,"Confirmata","De confirmat")))</f>
        <v/>
      </c>
      <c r="U436" s="22">
        <f>IF(OR(C436="",T436&lt;&gt;"Confirmata"),0,IF(COUNTIFS(tTQMReguliDoc[Cheie_regula],S436,tTQMReguliDoc[Aviz],"Da")=1,1,0))</f>
        <v>0</v>
      </c>
      <c r="V436" s="22">
        <f>IF(OR(C436="",T436&lt;&gt;"Confirmata"),0,IF(COUNTIFS(tTQMReguliDoc[Cheie_regula],S436,tTQMReguliDoc[Decl_conformitate],"Da")=1,1,0))</f>
        <v>0</v>
      </c>
      <c r="W436" s="22">
        <f>IF(OR(C436="",T436&lt;&gt;"Confirmata"),0,IF(COUNTIFS(tTQMReguliDoc[Cheie_regula],S436,tTQMReguliDoc[Decl_producator],"Da")=1,1,0))</f>
        <v>0</v>
      </c>
      <c r="X436" s="22">
        <f>IF(OR(C436="",T436&lt;&gt;"Confirmata"),0,IF(COUNTIFS(tTQMReguliDoc[Cheie_regula],S436,tTQMReguliDoc[Fise_tehnice],"Da")=1,1,0))</f>
        <v>0</v>
      </c>
      <c r="Y436" s="22" t="str">
        <f t="shared" si="34"/>
        <v/>
      </c>
      <c r="Z436" s="22"/>
      <c r="AA436" s="22"/>
    </row>
    <row r="437" spans="1:27" ht="15" customHeight="1">
      <c r="A437" s="30"/>
      <c r="B437" s="31"/>
      <c r="C437" s="30"/>
      <c r="D437" s="30"/>
      <c r="E437" s="30"/>
      <c r="F437" s="32" t="str">
        <f t="shared" si="30"/>
        <v/>
      </c>
      <c r="G437" s="30"/>
      <c r="H437" s="30"/>
      <c r="I437" s="30"/>
      <c r="J437" s="32" t="str">
        <f t="shared" si="31"/>
        <v/>
      </c>
      <c r="K437" s="30" t="str">
        <f t="shared" si="32"/>
        <v/>
      </c>
      <c r="L437" s="30"/>
      <c r="M437" s="30"/>
      <c r="N437" s="22"/>
      <c r="O437" s="25"/>
      <c r="P437" s="26"/>
      <c r="Q437" s="22"/>
      <c r="R437" s="22"/>
      <c r="S437" s="22" t="str">
        <f t="shared" si="33"/>
        <v/>
      </c>
      <c r="T437" s="22" t="str">
        <f>IF(C437="","",IF(COUNTIF(tTQMReguliDoc[Cheie_regula],S437)&lt;&gt;1,"REGULA NECONFIGURATA",IF(COUNTIFS(tTQMReguliDoc[Cheie_regula],S437,tTQMReguliDoc[Stare],"Confirmata")=1,"Confirmata","De confirmat")))</f>
        <v/>
      </c>
      <c r="U437" s="22">
        <f>IF(OR(C437="",T437&lt;&gt;"Confirmata"),0,IF(COUNTIFS(tTQMReguliDoc[Cheie_regula],S437,tTQMReguliDoc[Aviz],"Da")=1,1,0))</f>
        <v>0</v>
      </c>
      <c r="V437" s="22">
        <f>IF(OR(C437="",T437&lt;&gt;"Confirmata"),0,IF(COUNTIFS(tTQMReguliDoc[Cheie_regula],S437,tTQMReguliDoc[Decl_conformitate],"Da")=1,1,0))</f>
        <v>0</v>
      </c>
      <c r="W437" s="22">
        <f>IF(OR(C437="",T437&lt;&gt;"Confirmata"),0,IF(COUNTIFS(tTQMReguliDoc[Cheie_regula],S437,tTQMReguliDoc[Decl_producator],"Da")=1,1,0))</f>
        <v>0</v>
      </c>
      <c r="X437" s="22">
        <f>IF(OR(C437="",T437&lt;&gt;"Confirmata"),0,IF(COUNTIFS(tTQMReguliDoc[Cheie_regula],S437,tTQMReguliDoc[Fise_tehnice],"Da")=1,1,0))</f>
        <v>0</v>
      </c>
      <c r="Y437" s="22" t="str">
        <f t="shared" si="34"/>
        <v/>
      </c>
      <c r="Z437" s="22"/>
      <c r="AA437" s="22"/>
    </row>
    <row r="438" spans="1:27" ht="15" customHeight="1">
      <c r="A438" s="30"/>
      <c r="B438" s="31"/>
      <c r="C438" s="30"/>
      <c r="D438" s="30"/>
      <c r="E438" s="30"/>
      <c r="F438" s="32" t="str">
        <f t="shared" si="30"/>
        <v/>
      </c>
      <c r="G438" s="30"/>
      <c r="H438" s="30"/>
      <c r="I438" s="30"/>
      <c r="J438" s="32" t="str">
        <f t="shared" si="31"/>
        <v/>
      </c>
      <c r="K438" s="30" t="str">
        <f t="shared" si="32"/>
        <v/>
      </c>
      <c r="L438" s="30"/>
      <c r="M438" s="30"/>
      <c r="N438" s="22"/>
      <c r="O438" s="25"/>
      <c r="P438" s="26"/>
      <c r="Q438" s="22"/>
      <c r="R438" s="22"/>
      <c r="S438" s="22" t="str">
        <f t="shared" si="33"/>
        <v/>
      </c>
      <c r="T438" s="22" t="str">
        <f>IF(C438="","",IF(COUNTIF(tTQMReguliDoc[Cheie_regula],S438)&lt;&gt;1,"REGULA NECONFIGURATA",IF(COUNTIFS(tTQMReguliDoc[Cheie_regula],S438,tTQMReguliDoc[Stare],"Confirmata")=1,"Confirmata","De confirmat")))</f>
        <v/>
      </c>
      <c r="U438" s="22">
        <f>IF(OR(C438="",T438&lt;&gt;"Confirmata"),0,IF(COUNTIFS(tTQMReguliDoc[Cheie_regula],S438,tTQMReguliDoc[Aviz],"Da")=1,1,0))</f>
        <v>0</v>
      </c>
      <c r="V438" s="22">
        <f>IF(OR(C438="",T438&lt;&gt;"Confirmata"),0,IF(COUNTIFS(tTQMReguliDoc[Cheie_regula],S438,tTQMReguliDoc[Decl_conformitate],"Da")=1,1,0))</f>
        <v>0</v>
      </c>
      <c r="W438" s="22">
        <f>IF(OR(C438="",T438&lt;&gt;"Confirmata"),0,IF(COUNTIFS(tTQMReguliDoc[Cheie_regula],S438,tTQMReguliDoc[Decl_producator],"Da")=1,1,0))</f>
        <v>0</v>
      </c>
      <c r="X438" s="22">
        <f>IF(OR(C438="",T438&lt;&gt;"Confirmata"),0,IF(COUNTIFS(tTQMReguliDoc[Cheie_regula],S438,tTQMReguliDoc[Fise_tehnice],"Da")=1,1,0))</f>
        <v>0</v>
      </c>
      <c r="Y438" s="22" t="str">
        <f t="shared" si="34"/>
        <v/>
      </c>
      <c r="Z438" s="22"/>
      <c r="AA438" s="22"/>
    </row>
    <row r="439" spans="1:27" ht="15" customHeight="1">
      <c r="A439" s="30"/>
      <c r="B439" s="31"/>
      <c r="C439" s="30"/>
      <c r="D439" s="30"/>
      <c r="E439" s="30"/>
      <c r="F439" s="32" t="str">
        <f t="shared" si="30"/>
        <v/>
      </c>
      <c r="G439" s="30"/>
      <c r="H439" s="30"/>
      <c r="I439" s="30"/>
      <c r="J439" s="32" t="str">
        <f t="shared" si="31"/>
        <v/>
      </c>
      <c r="K439" s="30" t="str">
        <f t="shared" si="32"/>
        <v/>
      </c>
      <c r="L439" s="30"/>
      <c r="M439" s="30"/>
      <c r="N439" s="22"/>
      <c r="O439" s="25"/>
      <c r="P439" s="26"/>
      <c r="Q439" s="22"/>
      <c r="R439" s="22"/>
      <c r="S439" s="22" t="str">
        <f t="shared" si="33"/>
        <v/>
      </c>
      <c r="T439" s="22" t="str">
        <f>IF(C439="","",IF(COUNTIF(tTQMReguliDoc[Cheie_regula],S439)&lt;&gt;1,"REGULA NECONFIGURATA",IF(COUNTIFS(tTQMReguliDoc[Cheie_regula],S439,tTQMReguliDoc[Stare],"Confirmata")=1,"Confirmata","De confirmat")))</f>
        <v/>
      </c>
      <c r="U439" s="22">
        <f>IF(OR(C439="",T439&lt;&gt;"Confirmata"),0,IF(COUNTIFS(tTQMReguliDoc[Cheie_regula],S439,tTQMReguliDoc[Aviz],"Da")=1,1,0))</f>
        <v>0</v>
      </c>
      <c r="V439" s="22">
        <f>IF(OR(C439="",T439&lt;&gt;"Confirmata"),0,IF(COUNTIFS(tTQMReguliDoc[Cheie_regula],S439,tTQMReguliDoc[Decl_conformitate],"Da")=1,1,0))</f>
        <v>0</v>
      </c>
      <c r="W439" s="22">
        <f>IF(OR(C439="",T439&lt;&gt;"Confirmata"),0,IF(COUNTIFS(tTQMReguliDoc[Cheie_regula],S439,tTQMReguliDoc[Decl_producator],"Da")=1,1,0))</f>
        <v>0</v>
      </c>
      <c r="X439" s="22">
        <f>IF(OR(C439="",T439&lt;&gt;"Confirmata"),0,IF(COUNTIFS(tTQMReguliDoc[Cheie_regula],S439,tTQMReguliDoc[Fise_tehnice],"Da")=1,1,0))</f>
        <v>0</v>
      </c>
      <c r="Y439" s="22" t="str">
        <f t="shared" si="34"/>
        <v/>
      </c>
      <c r="Z439" s="22"/>
      <c r="AA439" s="22"/>
    </row>
    <row r="440" spans="1:27" ht="15" customHeight="1">
      <c r="A440" s="30"/>
      <c r="B440" s="31"/>
      <c r="C440" s="30"/>
      <c r="D440" s="30"/>
      <c r="E440" s="30"/>
      <c r="F440" s="32" t="str">
        <f t="shared" si="30"/>
        <v/>
      </c>
      <c r="G440" s="30"/>
      <c r="H440" s="30"/>
      <c r="I440" s="30"/>
      <c r="J440" s="32" t="str">
        <f t="shared" si="31"/>
        <v/>
      </c>
      <c r="K440" s="30" t="str">
        <f t="shared" si="32"/>
        <v/>
      </c>
      <c r="L440" s="30"/>
      <c r="M440" s="30"/>
      <c r="N440" s="22"/>
      <c r="O440" s="25"/>
      <c r="P440" s="26"/>
      <c r="Q440" s="22"/>
      <c r="R440" s="22"/>
      <c r="S440" s="22" t="str">
        <f t="shared" si="33"/>
        <v/>
      </c>
      <c r="T440" s="22" t="str">
        <f>IF(C440="","",IF(COUNTIF(tTQMReguliDoc[Cheie_regula],S440)&lt;&gt;1,"REGULA NECONFIGURATA",IF(COUNTIFS(tTQMReguliDoc[Cheie_regula],S440,tTQMReguliDoc[Stare],"Confirmata")=1,"Confirmata","De confirmat")))</f>
        <v/>
      </c>
      <c r="U440" s="22">
        <f>IF(OR(C440="",T440&lt;&gt;"Confirmata"),0,IF(COUNTIFS(tTQMReguliDoc[Cheie_regula],S440,tTQMReguliDoc[Aviz],"Da")=1,1,0))</f>
        <v>0</v>
      </c>
      <c r="V440" s="22">
        <f>IF(OR(C440="",T440&lt;&gt;"Confirmata"),0,IF(COUNTIFS(tTQMReguliDoc[Cheie_regula],S440,tTQMReguliDoc[Decl_conformitate],"Da")=1,1,0))</f>
        <v>0</v>
      </c>
      <c r="W440" s="22">
        <f>IF(OR(C440="",T440&lt;&gt;"Confirmata"),0,IF(COUNTIFS(tTQMReguliDoc[Cheie_regula],S440,tTQMReguliDoc[Decl_producator],"Da")=1,1,0))</f>
        <v>0</v>
      </c>
      <c r="X440" s="22">
        <f>IF(OR(C440="",T440&lt;&gt;"Confirmata"),0,IF(COUNTIFS(tTQMReguliDoc[Cheie_regula],S440,tTQMReguliDoc[Fise_tehnice],"Da")=1,1,0))</f>
        <v>0</v>
      </c>
      <c r="Y440" s="22" t="str">
        <f t="shared" si="34"/>
        <v/>
      </c>
      <c r="Z440" s="22"/>
      <c r="AA440" s="22"/>
    </row>
    <row r="441" spans="1:27" ht="15" customHeight="1">
      <c r="A441" s="30"/>
      <c r="B441" s="31"/>
      <c r="C441" s="30"/>
      <c r="D441" s="30"/>
      <c r="E441" s="30"/>
      <c r="F441" s="32" t="str">
        <f t="shared" si="30"/>
        <v/>
      </c>
      <c r="G441" s="30"/>
      <c r="H441" s="30"/>
      <c r="I441" s="30"/>
      <c r="J441" s="32" t="str">
        <f t="shared" si="31"/>
        <v/>
      </c>
      <c r="K441" s="30" t="str">
        <f t="shared" si="32"/>
        <v/>
      </c>
      <c r="L441" s="30"/>
      <c r="M441" s="30"/>
      <c r="N441" s="22"/>
      <c r="O441" s="25"/>
      <c r="P441" s="26"/>
      <c r="Q441" s="22"/>
      <c r="R441" s="22"/>
      <c r="S441" s="22" t="str">
        <f t="shared" si="33"/>
        <v/>
      </c>
      <c r="T441" s="22" t="str">
        <f>IF(C441="","",IF(COUNTIF(tTQMReguliDoc[Cheie_regula],S441)&lt;&gt;1,"REGULA NECONFIGURATA",IF(COUNTIFS(tTQMReguliDoc[Cheie_regula],S441,tTQMReguliDoc[Stare],"Confirmata")=1,"Confirmata","De confirmat")))</f>
        <v/>
      </c>
      <c r="U441" s="22">
        <f>IF(OR(C441="",T441&lt;&gt;"Confirmata"),0,IF(COUNTIFS(tTQMReguliDoc[Cheie_regula],S441,tTQMReguliDoc[Aviz],"Da")=1,1,0))</f>
        <v>0</v>
      </c>
      <c r="V441" s="22">
        <f>IF(OR(C441="",T441&lt;&gt;"Confirmata"),0,IF(COUNTIFS(tTQMReguliDoc[Cheie_regula],S441,tTQMReguliDoc[Decl_conformitate],"Da")=1,1,0))</f>
        <v>0</v>
      </c>
      <c r="W441" s="22">
        <f>IF(OR(C441="",T441&lt;&gt;"Confirmata"),0,IF(COUNTIFS(tTQMReguliDoc[Cheie_regula],S441,tTQMReguliDoc[Decl_producator],"Da")=1,1,0))</f>
        <v>0</v>
      </c>
      <c r="X441" s="22">
        <f>IF(OR(C441="",T441&lt;&gt;"Confirmata"),0,IF(COUNTIFS(tTQMReguliDoc[Cheie_regula],S441,tTQMReguliDoc[Fise_tehnice],"Da")=1,1,0))</f>
        <v>0</v>
      </c>
      <c r="Y441" s="22" t="str">
        <f t="shared" si="34"/>
        <v/>
      </c>
      <c r="Z441" s="22"/>
      <c r="AA441" s="22"/>
    </row>
    <row r="442" spans="1:27" ht="15" customHeight="1">
      <c r="A442" s="30"/>
      <c r="B442" s="31"/>
      <c r="C442" s="30"/>
      <c r="D442" s="30"/>
      <c r="E442" s="30"/>
      <c r="F442" s="32" t="str">
        <f t="shared" si="30"/>
        <v/>
      </c>
      <c r="G442" s="30"/>
      <c r="H442" s="30"/>
      <c r="I442" s="30"/>
      <c r="J442" s="32" t="str">
        <f t="shared" si="31"/>
        <v/>
      </c>
      <c r="K442" s="30" t="str">
        <f t="shared" si="32"/>
        <v/>
      </c>
      <c r="L442" s="30"/>
      <c r="M442" s="30"/>
      <c r="N442" s="22"/>
      <c r="O442" s="25"/>
      <c r="P442" s="26"/>
      <c r="Q442" s="22"/>
      <c r="R442" s="22"/>
      <c r="S442" s="22" t="str">
        <f t="shared" si="33"/>
        <v/>
      </c>
      <c r="T442" s="22" t="str">
        <f>IF(C442="","",IF(COUNTIF(tTQMReguliDoc[Cheie_regula],S442)&lt;&gt;1,"REGULA NECONFIGURATA",IF(COUNTIFS(tTQMReguliDoc[Cheie_regula],S442,tTQMReguliDoc[Stare],"Confirmata")=1,"Confirmata","De confirmat")))</f>
        <v/>
      </c>
      <c r="U442" s="22">
        <f>IF(OR(C442="",T442&lt;&gt;"Confirmata"),0,IF(COUNTIFS(tTQMReguliDoc[Cheie_regula],S442,tTQMReguliDoc[Aviz],"Da")=1,1,0))</f>
        <v>0</v>
      </c>
      <c r="V442" s="22">
        <f>IF(OR(C442="",T442&lt;&gt;"Confirmata"),0,IF(COUNTIFS(tTQMReguliDoc[Cheie_regula],S442,tTQMReguliDoc[Decl_conformitate],"Da")=1,1,0))</f>
        <v>0</v>
      </c>
      <c r="W442" s="22">
        <f>IF(OR(C442="",T442&lt;&gt;"Confirmata"),0,IF(COUNTIFS(tTQMReguliDoc[Cheie_regula],S442,tTQMReguliDoc[Decl_producator],"Da")=1,1,0))</f>
        <v>0</v>
      </c>
      <c r="X442" s="22">
        <f>IF(OR(C442="",T442&lt;&gt;"Confirmata"),0,IF(COUNTIFS(tTQMReguliDoc[Cheie_regula],S442,tTQMReguliDoc[Fise_tehnice],"Da")=1,1,0))</f>
        <v>0</v>
      </c>
      <c r="Y442" s="22" t="str">
        <f t="shared" si="34"/>
        <v/>
      </c>
      <c r="Z442" s="22"/>
      <c r="AA442" s="22"/>
    </row>
    <row r="443" spans="1:27" ht="15" customHeight="1">
      <c r="A443" s="30"/>
      <c r="B443" s="31"/>
      <c r="C443" s="30"/>
      <c r="D443" s="30"/>
      <c r="E443" s="30"/>
      <c r="F443" s="32" t="str">
        <f t="shared" si="30"/>
        <v/>
      </c>
      <c r="G443" s="30"/>
      <c r="H443" s="30"/>
      <c r="I443" s="30"/>
      <c r="J443" s="32" t="str">
        <f t="shared" si="31"/>
        <v/>
      </c>
      <c r="K443" s="30" t="str">
        <f t="shared" si="32"/>
        <v/>
      </c>
      <c r="L443" s="30"/>
      <c r="M443" s="30"/>
      <c r="N443" s="22"/>
      <c r="O443" s="25"/>
      <c r="P443" s="26"/>
      <c r="Q443" s="22"/>
      <c r="R443" s="22"/>
      <c r="S443" s="22" t="str">
        <f t="shared" si="33"/>
        <v/>
      </c>
      <c r="T443" s="22" t="str">
        <f>IF(C443="","",IF(COUNTIF(tTQMReguliDoc[Cheie_regula],S443)&lt;&gt;1,"REGULA NECONFIGURATA",IF(COUNTIFS(tTQMReguliDoc[Cheie_regula],S443,tTQMReguliDoc[Stare],"Confirmata")=1,"Confirmata","De confirmat")))</f>
        <v/>
      </c>
      <c r="U443" s="22">
        <f>IF(OR(C443="",T443&lt;&gt;"Confirmata"),0,IF(COUNTIFS(tTQMReguliDoc[Cheie_regula],S443,tTQMReguliDoc[Aviz],"Da")=1,1,0))</f>
        <v>0</v>
      </c>
      <c r="V443" s="22">
        <f>IF(OR(C443="",T443&lt;&gt;"Confirmata"),0,IF(COUNTIFS(tTQMReguliDoc[Cheie_regula],S443,tTQMReguliDoc[Decl_conformitate],"Da")=1,1,0))</f>
        <v>0</v>
      </c>
      <c r="W443" s="22">
        <f>IF(OR(C443="",T443&lt;&gt;"Confirmata"),0,IF(COUNTIFS(tTQMReguliDoc[Cheie_regula],S443,tTQMReguliDoc[Decl_producator],"Da")=1,1,0))</f>
        <v>0</v>
      </c>
      <c r="X443" s="22">
        <f>IF(OR(C443="",T443&lt;&gt;"Confirmata"),0,IF(COUNTIFS(tTQMReguliDoc[Cheie_regula],S443,tTQMReguliDoc[Fise_tehnice],"Da")=1,1,0))</f>
        <v>0</v>
      </c>
      <c r="Y443" s="22" t="str">
        <f t="shared" si="34"/>
        <v/>
      </c>
      <c r="Z443" s="22"/>
      <c r="AA443" s="22"/>
    </row>
    <row r="444" spans="1:27" ht="15" customHeight="1">
      <c r="A444" s="30"/>
      <c r="B444" s="31"/>
      <c r="C444" s="30"/>
      <c r="D444" s="30"/>
      <c r="E444" s="30"/>
      <c r="F444" s="32" t="str">
        <f t="shared" si="30"/>
        <v/>
      </c>
      <c r="G444" s="30"/>
      <c r="H444" s="30"/>
      <c r="I444" s="30"/>
      <c r="J444" s="32" t="str">
        <f t="shared" si="31"/>
        <v/>
      </c>
      <c r="K444" s="30" t="str">
        <f t="shared" si="32"/>
        <v/>
      </c>
      <c r="L444" s="30"/>
      <c r="M444" s="30"/>
      <c r="N444" s="22"/>
      <c r="O444" s="25"/>
      <c r="P444" s="26"/>
      <c r="Q444" s="22"/>
      <c r="R444" s="22"/>
      <c r="S444" s="22" t="str">
        <f t="shared" si="33"/>
        <v/>
      </c>
      <c r="T444" s="22" t="str">
        <f>IF(C444="","",IF(COUNTIF(tTQMReguliDoc[Cheie_regula],S444)&lt;&gt;1,"REGULA NECONFIGURATA",IF(COUNTIFS(tTQMReguliDoc[Cheie_regula],S444,tTQMReguliDoc[Stare],"Confirmata")=1,"Confirmata","De confirmat")))</f>
        <v/>
      </c>
      <c r="U444" s="22">
        <f>IF(OR(C444="",T444&lt;&gt;"Confirmata"),0,IF(COUNTIFS(tTQMReguliDoc[Cheie_regula],S444,tTQMReguliDoc[Aviz],"Da")=1,1,0))</f>
        <v>0</v>
      </c>
      <c r="V444" s="22">
        <f>IF(OR(C444="",T444&lt;&gt;"Confirmata"),0,IF(COUNTIFS(tTQMReguliDoc[Cheie_regula],S444,tTQMReguliDoc[Decl_conformitate],"Da")=1,1,0))</f>
        <v>0</v>
      </c>
      <c r="W444" s="22">
        <f>IF(OR(C444="",T444&lt;&gt;"Confirmata"),0,IF(COUNTIFS(tTQMReguliDoc[Cheie_regula],S444,tTQMReguliDoc[Decl_producator],"Da")=1,1,0))</f>
        <v>0</v>
      </c>
      <c r="X444" s="22">
        <f>IF(OR(C444="",T444&lt;&gt;"Confirmata"),0,IF(COUNTIFS(tTQMReguliDoc[Cheie_regula],S444,tTQMReguliDoc[Fise_tehnice],"Da")=1,1,0))</f>
        <v>0</v>
      </c>
      <c r="Y444" s="22" t="str">
        <f t="shared" si="34"/>
        <v/>
      </c>
      <c r="Z444" s="22"/>
      <c r="AA444" s="22"/>
    </row>
    <row r="445" spans="1:27" ht="15" customHeight="1">
      <c r="A445" s="30"/>
      <c r="B445" s="31"/>
      <c r="C445" s="30"/>
      <c r="D445" s="30"/>
      <c r="E445" s="30"/>
      <c r="F445" s="32" t="str">
        <f t="shared" si="30"/>
        <v/>
      </c>
      <c r="G445" s="30"/>
      <c r="H445" s="30"/>
      <c r="I445" s="30"/>
      <c r="J445" s="32" t="str">
        <f t="shared" si="31"/>
        <v/>
      </c>
      <c r="K445" s="30" t="str">
        <f t="shared" si="32"/>
        <v/>
      </c>
      <c r="L445" s="30"/>
      <c r="M445" s="30"/>
      <c r="N445" s="22"/>
      <c r="O445" s="25"/>
      <c r="P445" s="26"/>
      <c r="Q445" s="22"/>
      <c r="R445" s="22"/>
      <c r="S445" s="22" t="str">
        <f t="shared" si="33"/>
        <v/>
      </c>
      <c r="T445" s="22" t="str">
        <f>IF(C445="","",IF(COUNTIF(tTQMReguliDoc[Cheie_regula],S445)&lt;&gt;1,"REGULA NECONFIGURATA",IF(COUNTIFS(tTQMReguliDoc[Cheie_regula],S445,tTQMReguliDoc[Stare],"Confirmata")=1,"Confirmata","De confirmat")))</f>
        <v/>
      </c>
      <c r="U445" s="22">
        <f>IF(OR(C445="",T445&lt;&gt;"Confirmata"),0,IF(COUNTIFS(tTQMReguliDoc[Cheie_regula],S445,tTQMReguliDoc[Aviz],"Da")=1,1,0))</f>
        <v>0</v>
      </c>
      <c r="V445" s="22">
        <f>IF(OR(C445="",T445&lt;&gt;"Confirmata"),0,IF(COUNTIFS(tTQMReguliDoc[Cheie_regula],S445,tTQMReguliDoc[Decl_conformitate],"Da")=1,1,0))</f>
        <v>0</v>
      </c>
      <c r="W445" s="22">
        <f>IF(OR(C445="",T445&lt;&gt;"Confirmata"),0,IF(COUNTIFS(tTQMReguliDoc[Cheie_regula],S445,tTQMReguliDoc[Decl_producator],"Da")=1,1,0))</f>
        <v>0</v>
      </c>
      <c r="X445" s="22">
        <f>IF(OR(C445="",T445&lt;&gt;"Confirmata"),0,IF(COUNTIFS(tTQMReguliDoc[Cheie_regula],S445,tTQMReguliDoc[Fise_tehnice],"Da")=1,1,0))</f>
        <v>0</v>
      </c>
      <c r="Y445" s="22" t="str">
        <f t="shared" si="34"/>
        <v/>
      </c>
      <c r="Z445" s="22"/>
      <c r="AA445" s="22"/>
    </row>
    <row r="446" spans="1:27" ht="15" customHeight="1">
      <c r="A446" s="30"/>
      <c r="B446" s="31"/>
      <c r="C446" s="30"/>
      <c r="D446" s="30"/>
      <c r="E446" s="30"/>
      <c r="F446" s="32" t="str">
        <f t="shared" si="30"/>
        <v/>
      </c>
      <c r="G446" s="30"/>
      <c r="H446" s="30"/>
      <c r="I446" s="30"/>
      <c r="J446" s="32" t="str">
        <f t="shared" si="31"/>
        <v/>
      </c>
      <c r="K446" s="30" t="str">
        <f t="shared" si="32"/>
        <v/>
      </c>
      <c r="L446" s="30"/>
      <c r="M446" s="30"/>
      <c r="N446" s="22"/>
      <c r="O446" s="25"/>
      <c r="P446" s="26"/>
      <c r="Q446" s="22"/>
      <c r="R446" s="22"/>
      <c r="S446" s="22" t="str">
        <f t="shared" si="33"/>
        <v/>
      </c>
      <c r="T446" s="22" t="str">
        <f>IF(C446="","",IF(COUNTIF(tTQMReguliDoc[Cheie_regula],S446)&lt;&gt;1,"REGULA NECONFIGURATA",IF(COUNTIFS(tTQMReguliDoc[Cheie_regula],S446,tTQMReguliDoc[Stare],"Confirmata")=1,"Confirmata","De confirmat")))</f>
        <v/>
      </c>
      <c r="U446" s="22">
        <f>IF(OR(C446="",T446&lt;&gt;"Confirmata"),0,IF(COUNTIFS(tTQMReguliDoc[Cheie_regula],S446,tTQMReguliDoc[Aviz],"Da")=1,1,0))</f>
        <v>0</v>
      </c>
      <c r="V446" s="22">
        <f>IF(OR(C446="",T446&lt;&gt;"Confirmata"),0,IF(COUNTIFS(tTQMReguliDoc[Cheie_regula],S446,tTQMReguliDoc[Decl_conformitate],"Da")=1,1,0))</f>
        <v>0</v>
      </c>
      <c r="W446" s="22">
        <f>IF(OR(C446="",T446&lt;&gt;"Confirmata"),0,IF(COUNTIFS(tTQMReguliDoc[Cheie_regula],S446,tTQMReguliDoc[Decl_producator],"Da")=1,1,0))</f>
        <v>0</v>
      </c>
      <c r="X446" s="22">
        <f>IF(OR(C446="",T446&lt;&gt;"Confirmata"),0,IF(COUNTIFS(tTQMReguliDoc[Cheie_regula],S446,tTQMReguliDoc[Fise_tehnice],"Da")=1,1,0))</f>
        <v>0</v>
      </c>
      <c r="Y446" s="22" t="str">
        <f t="shared" si="34"/>
        <v/>
      </c>
      <c r="Z446" s="22"/>
      <c r="AA446" s="22"/>
    </row>
    <row r="447" spans="1:27" ht="15" customHeight="1">
      <c r="A447" s="30"/>
      <c r="B447" s="31"/>
      <c r="C447" s="30"/>
      <c r="D447" s="30"/>
      <c r="E447" s="30"/>
      <c r="F447" s="32" t="str">
        <f t="shared" si="30"/>
        <v/>
      </c>
      <c r="G447" s="30"/>
      <c r="H447" s="30"/>
      <c r="I447" s="30"/>
      <c r="J447" s="32" t="str">
        <f t="shared" si="31"/>
        <v/>
      </c>
      <c r="K447" s="30" t="str">
        <f t="shared" si="32"/>
        <v/>
      </c>
      <c r="L447" s="30"/>
      <c r="M447" s="30"/>
      <c r="N447" s="22"/>
      <c r="O447" s="25"/>
      <c r="P447" s="26"/>
      <c r="Q447" s="22"/>
      <c r="R447" s="22"/>
      <c r="S447" s="22" t="str">
        <f t="shared" si="33"/>
        <v/>
      </c>
      <c r="T447" s="22" t="str">
        <f>IF(C447="","",IF(COUNTIF(tTQMReguliDoc[Cheie_regula],S447)&lt;&gt;1,"REGULA NECONFIGURATA",IF(COUNTIFS(tTQMReguliDoc[Cheie_regula],S447,tTQMReguliDoc[Stare],"Confirmata")=1,"Confirmata","De confirmat")))</f>
        <v/>
      </c>
      <c r="U447" s="22">
        <f>IF(OR(C447="",T447&lt;&gt;"Confirmata"),0,IF(COUNTIFS(tTQMReguliDoc[Cheie_regula],S447,tTQMReguliDoc[Aviz],"Da")=1,1,0))</f>
        <v>0</v>
      </c>
      <c r="V447" s="22">
        <f>IF(OR(C447="",T447&lt;&gt;"Confirmata"),0,IF(COUNTIFS(tTQMReguliDoc[Cheie_regula],S447,tTQMReguliDoc[Decl_conformitate],"Da")=1,1,0))</f>
        <v>0</v>
      </c>
      <c r="W447" s="22">
        <f>IF(OR(C447="",T447&lt;&gt;"Confirmata"),0,IF(COUNTIFS(tTQMReguliDoc[Cheie_regula],S447,tTQMReguliDoc[Decl_producator],"Da")=1,1,0))</f>
        <v>0</v>
      </c>
      <c r="X447" s="22">
        <f>IF(OR(C447="",T447&lt;&gt;"Confirmata"),0,IF(COUNTIFS(tTQMReguliDoc[Cheie_regula],S447,tTQMReguliDoc[Fise_tehnice],"Da")=1,1,0))</f>
        <v>0</v>
      </c>
      <c r="Y447" s="22" t="str">
        <f t="shared" si="34"/>
        <v/>
      </c>
      <c r="Z447" s="22"/>
      <c r="AA447" s="22"/>
    </row>
    <row r="448" spans="1:27" ht="15" customHeight="1">
      <c r="A448" s="30"/>
      <c r="B448" s="31"/>
      <c r="C448" s="30"/>
      <c r="D448" s="30"/>
      <c r="E448" s="30"/>
      <c r="F448" s="32" t="str">
        <f t="shared" si="30"/>
        <v/>
      </c>
      <c r="G448" s="30"/>
      <c r="H448" s="30"/>
      <c r="I448" s="30"/>
      <c r="J448" s="32" t="str">
        <f t="shared" si="31"/>
        <v/>
      </c>
      <c r="K448" s="30" t="str">
        <f t="shared" si="32"/>
        <v/>
      </c>
      <c r="L448" s="30"/>
      <c r="M448" s="30"/>
      <c r="N448" s="22"/>
      <c r="O448" s="25"/>
      <c r="P448" s="26"/>
      <c r="Q448" s="22"/>
      <c r="R448" s="22"/>
      <c r="S448" s="22" t="str">
        <f t="shared" si="33"/>
        <v/>
      </c>
      <c r="T448" s="22" t="str">
        <f>IF(C448="","",IF(COUNTIF(tTQMReguliDoc[Cheie_regula],S448)&lt;&gt;1,"REGULA NECONFIGURATA",IF(COUNTIFS(tTQMReguliDoc[Cheie_regula],S448,tTQMReguliDoc[Stare],"Confirmata")=1,"Confirmata","De confirmat")))</f>
        <v/>
      </c>
      <c r="U448" s="22">
        <f>IF(OR(C448="",T448&lt;&gt;"Confirmata"),0,IF(COUNTIFS(tTQMReguliDoc[Cheie_regula],S448,tTQMReguliDoc[Aviz],"Da")=1,1,0))</f>
        <v>0</v>
      </c>
      <c r="V448" s="22">
        <f>IF(OR(C448="",T448&lt;&gt;"Confirmata"),0,IF(COUNTIFS(tTQMReguliDoc[Cheie_regula],S448,tTQMReguliDoc[Decl_conformitate],"Da")=1,1,0))</f>
        <v>0</v>
      </c>
      <c r="W448" s="22">
        <f>IF(OR(C448="",T448&lt;&gt;"Confirmata"),0,IF(COUNTIFS(tTQMReguliDoc[Cheie_regula],S448,tTQMReguliDoc[Decl_producator],"Da")=1,1,0))</f>
        <v>0</v>
      </c>
      <c r="X448" s="22">
        <f>IF(OR(C448="",T448&lt;&gt;"Confirmata"),0,IF(COUNTIFS(tTQMReguliDoc[Cheie_regula],S448,tTQMReguliDoc[Fise_tehnice],"Da")=1,1,0))</f>
        <v>0</v>
      </c>
      <c r="Y448" s="22" t="str">
        <f t="shared" si="34"/>
        <v/>
      </c>
      <c r="Z448" s="22"/>
      <c r="AA448" s="22"/>
    </row>
    <row r="449" spans="1:27" ht="15" customHeight="1">
      <c r="A449" s="30"/>
      <c r="B449" s="31"/>
      <c r="C449" s="30"/>
      <c r="D449" s="30"/>
      <c r="E449" s="30"/>
      <c r="F449" s="32" t="str">
        <f t="shared" si="30"/>
        <v/>
      </c>
      <c r="G449" s="30"/>
      <c r="H449" s="30"/>
      <c r="I449" s="30"/>
      <c r="J449" s="32" t="str">
        <f t="shared" si="31"/>
        <v/>
      </c>
      <c r="K449" s="30" t="str">
        <f t="shared" si="32"/>
        <v/>
      </c>
      <c r="L449" s="30"/>
      <c r="M449" s="30"/>
      <c r="N449" s="22"/>
      <c r="O449" s="25"/>
      <c r="P449" s="26"/>
      <c r="Q449" s="22"/>
      <c r="R449" s="22"/>
      <c r="S449" s="22" t="str">
        <f t="shared" si="33"/>
        <v/>
      </c>
      <c r="T449" s="22" t="str">
        <f>IF(C449="","",IF(COUNTIF(tTQMReguliDoc[Cheie_regula],S449)&lt;&gt;1,"REGULA NECONFIGURATA",IF(COUNTIFS(tTQMReguliDoc[Cheie_regula],S449,tTQMReguliDoc[Stare],"Confirmata")=1,"Confirmata","De confirmat")))</f>
        <v/>
      </c>
      <c r="U449" s="22">
        <f>IF(OR(C449="",T449&lt;&gt;"Confirmata"),0,IF(COUNTIFS(tTQMReguliDoc[Cheie_regula],S449,tTQMReguliDoc[Aviz],"Da")=1,1,0))</f>
        <v>0</v>
      </c>
      <c r="V449" s="22">
        <f>IF(OR(C449="",T449&lt;&gt;"Confirmata"),0,IF(COUNTIFS(tTQMReguliDoc[Cheie_regula],S449,tTQMReguliDoc[Decl_conformitate],"Da")=1,1,0))</f>
        <v>0</v>
      </c>
      <c r="W449" s="22">
        <f>IF(OR(C449="",T449&lt;&gt;"Confirmata"),0,IF(COUNTIFS(tTQMReguliDoc[Cheie_regula],S449,tTQMReguliDoc[Decl_producator],"Da")=1,1,0))</f>
        <v>0</v>
      </c>
      <c r="X449" s="22">
        <f>IF(OR(C449="",T449&lt;&gt;"Confirmata"),0,IF(COUNTIFS(tTQMReguliDoc[Cheie_regula],S449,tTQMReguliDoc[Fise_tehnice],"Da")=1,1,0))</f>
        <v>0</v>
      </c>
      <c r="Y449" s="22" t="str">
        <f t="shared" si="34"/>
        <v/>
      </c>
      <c r="Z449" s="22"/>
      <c r="AA449" s="22"/>
    </row>
    <row r="450" spans="1:27" ht="15" customHeight="1">
      <c r="A450" s="30"/>
      <c r="B450" s="31"/>
      <c r="C450" s="30"/>
      <c r="D450" s="30"/>
      <c r="E450" s="30"/>
      <c r="F450" s="32" t="str">
        <f t="shared" si="30"/>
        <v/>
      </c>
      <c r="G450" s="30"/>
      <c r="H450" s="30"/>
      <c r="I450" s="30"/>
      <c r="J450" s="32" t="str">
        <f t="shared" si="31"/>
        <v/>
      </c>
      <c r="K450" s="30" t="str">
        <f t="shared" si="32"/>
        <v/>
      </c>
      <c r="L450" s="30"/>
      <c r="M450" s="30"/>
      <c r="N450" s="22"/>
      <c r="O450" s="25"/>
      <c r="P450" s="26"/>
      <c r="Q450" s="22"/>
      <c r="R450" s="22"/>
      <c r="S450" s="22" t="str">
        <f t="shared" si="33"/>
        <v/>
      </c>
      <c r="T450" s="22" t="str">
        <f>IF(C450="","",IF(COUNTIF(tTQMReguliDoc[Cheie_regula],S450)&lt;&gt;1,"REGULA NECONFIGURATA",IF(COUNTIFS(tTQMReguliDoc[Cheie_regula],S450,tTQMReguliDoc[Stare],"Confirmata")=1,"Confirmata","De confirmat")))</f>
        <v/>
      </c>
      <c r="U450" s="22">
        <f>IF(OR(C450="",T450&lt;&gt;"Confirmata"),0,IF(COUNTIFS(tTQMReguliDoc[Cheie_regula],S450,tTQMReguliDoc[Aviz],"Da")=1,1,0))</f>
        <v>0</v>
      </c>
      <c r="V450" s="22">
        <f>IF(OR(C450="",T450&lt;&gt;"Confirmata"),0,IF(COUNTIFS(tTQMReguliDoc[Cheie_regula],S450,tTQMReguliDoc[Decl_conformitate],"Da")=1,1,0))</f>
        <v>0</v>
      </c>
      <c r="W450" s="22">
        <f>IF(OR(C450="",T450&lt;&gt;"Confirmata"),0,IF(COUNTIFS(tTQMReguliDoc[Cheie_regula],S450,tTQMReguliDoc[Decl_producator],"Da")=1,1,0))</f>
        <v>0</v>
      </c>
      <c r="X450" s="22">
        <f>IF(OR(C450="",T450&lt;&gt;"Confirmata"),0,IF(COUNTIFS(tTQMReguliDoc[Cheie_regula],S450,tTQMReguliDoc[Fise_tehnice],"Da")=1,1,0))</f>
        <v>0</v>
      </c>
      <c r="Y450" s="22" t="str">
        <f t="shared" si="34"/>
        <v/>
      </c>
      <c r="Z450" s="22"/>
      <c r="AA450" s="22"/>
    </row>
    <row r="451" spans="1:27" ht="15" customHeight="1">
      <c r="A451" s="30"/>
      <c r="B451" s="31"/>
      <c r="C451" s="30"/>
      <c r="D451" s="30"/>
      <c r="E451" s="30"/>
      <c r="F451" s="32" t="str">
        <f t="shared" si="30"/>
        <v/>
      </c>
      <c r="G451" s="30"/>
      <c r="H451" s="30"/>
      <c r="I451" s="30"/>
      <c r="J451" s="32" t="str">
        <f t="shared" si="31"/>
        <v/>
      </c>
      <c r="K451" s="30" t="str">
        <f t="shared" si="32"/>
        <v/>
      </c>
      <c r="L451" s="30"/>
      <c r="M451" s="30"/>
      <c r="N451" s="22"/>
      <c r="O451" s="25"/>
      <c r="P451" s="26"/>
      <c r="Q451" s="22"/>
      <c r="R451" s="22"/>
      <c r="S451" s="22" t="str">
        <f t="shared" si="33"/>
        <v/>
      </c>
      <c r="T451" s="22" t="str">
        <f>IF(C451="","",IF(COUNTIF(tTQMReguliDoc[Cheie_regula],S451)&lt;&gt;1,"REGULA NECONFIGURATA",IF(COUNTIFS(tTQMReguliDoc[Cheie_regula],S451,tTQMReguliDoc[Stare],"Confirmata")=1,"Confirmata","De confirmat")))</f>
        <v/>
      </c>
      <c r="U451" s="22">
        <f>IF(OR(C451="",T451&lt;&gt;"Confirmata"),0,IF(COUNTIFS(tTQMReguliDoc[Cheie_regula],S451,tTQMReguliDoc[Aviz],"Da")=1,1,0))</f>
        <v>0</v>
      </c>
      <c r="V451" s="22">
        <f>IF(OR(C451="",T451&lt;&gt;"Confirmata"),0,IF(COUNTIFS(tTQMReguliDoc[Cheie_regula],S451,tTQMReguliDoc[Decl_conformitate],"Da")=1,1,0))</f>
        <v>0</v>
      </c>
      <c r="W451" s="22">
        <f>IF(OR(C451="",T451&lt;&gt;"Confirmata"),0,IF(COUNTIFS(tTQMReguliDoc[Cheie_regula],S451,tTQMReguliDoc[Decl_producator],"Da")=1,1,0))</f>
        <v>0</v>
      </c>
      <c r="X451" s="22">
        <f>IF(OR(C451="",T451&lt;&gt;"Confirmata"),0,IF(COUNTIFS(tTQMReguliDoc[Cheie_regula],S451,tTQMReguliDoc[Fise_tehnice],"Da")=1,1,0))</f>
        <v>0</v>
      </c>
      <c r="Y451" s="22" t="str">
        <f t="shared" si="34"/>
        <v/>
      </c>
      <c r="Z451" s="22"/>
      <c r="AA451" s="22"/>
    </row>
    <row r="452" spans="1:27" ht="15" customHeight="1">
      <c r="A452" s="30"/>
      <c r="B452" s="31"/>
      <c r="C452" s="30"/>
      <c r="D452" s="30"/>
      <c r="E452" s="30"/>
      <c r="F452" s="32" t="str">
        <f t="shared" si="30"/>
        <v/>
      </c>
      <c r="G452" s="30"/>
      <c r="H452" s="30"/>
      <c r="I452" s="30"/>
      <c r="J452" s="32" t="str">
        <f t="shared" si="31"/>
        <v/>
      </c>
      <c r="K452" s="30" t="str">
        <f t="shared" si="32"/>
        <v/>
      </c>
      <c r="L452" s="30"/>
      <c r="M452" s="30"/>
      <c r="N452" s="22"/>
      <c r="O452" s="25"/>
      <c r="P452" s="26"/>
      <c r="Q452" s="22"/>
      <c r="R452" s="22"/>
      <c r="S452" s="22" t="str">
        <f t="shared" si="33"/>
        <v/>
      </c>
      <c r="T452" s="22" t="str">
        <f>IF(C452="","",IF(COUNTIF(tTQMReguliDoc[Cheie_regula],S452)&lt;&gt;1,"REGULA NECONFIGURATA",IF(COUNTIFS(tTQMReguliDoc[Cheie_regula],S452,tTQMReguliDoc[Stare],"Confirmata")=1,"Confirmata","De confirmat")))</f>
        <v/>
      </c>
      <c r="U452" s="22">
        <f>IF(OR(C452="",T452&lt;&gt;"Confirmata"),0,IF(COUNTIFS(tTQMReguliDoc[Cheie_regula],S452,tTQMReguliDoc[Aviz],"Da")=1,1,0))</f>
        <v>0</v>
      </c>
      <c r="V452" s="22">
        <f>IF(OR(C452="",T452&lt;&gt;"Confirmata"),0,IF(COUNTIFS(tTQMReguliDoc[Cheie_regula],S452,tTQMReguliDoc[Decl_conformitate],"Da")=1,1,0))</f>
        <v>0</v>
      </c>
      <c r="W452" s="22">
        <f>IF(OR(C452="",T452&lt;&gt;"Confirmata"),0,IF(COUNTIFS(tTQMReguliDoc[Cheie_regula],S452,tTQMReguliDoc[Decl_producator],"Da")=1,1,0))</f>
        <v>0</v>
      </c>
      <c r="X452" s="22">
        <f>IF(OR(C452="",T452&lt;&gt;"Confirmata"),0,IF(COUNTIFS(tTQMReguliDoc[Cheie_regula],S452,tTQMReguliDoc[Fise_tehnice],"Da")=1,1,0))</f>
        <v>0</v>
      </c>
      <c r="Y452" s="22" t="str">
        <f t="shared" si="34"/>
        <v/>
      </c>
      <c r="Z452" s="22"/>
      <c r="AA452" s="22"/>
    </row>
    <row r="453" spans="1:27" ht="15" customHeight="1">
      <c r="A453" s="30"/>
      <c r="B453" s="31"/>
      <c r="C453" s="30"/>
      <c r="D453" s="30"/>
      <c r="E453" s="30"/>
      <c r="F453" s="32" t="str">
        <f t="shared" si="30"/>
        <v/>
      </c>
      <c r="G453" s="30"/>
      <c r="H453" s="30"/>
      <c r="I453" s="30"/>
      <c r="J453" s="32" t="str">
        <f t="shared" si="31"/>
        <v/>
      </c>
      <c r="K453" s="30" t="str">
        <f t="shared" si="32"/>
        <v/>
      </c>
      <c r="L453" s="30"/>
      <c r="M453" s="30"/>
      <c r="N453" s="22"/>
      <c r="O453" s="25"/>
      <c r="P453" s="26"/>
      <c r="Q453" s="22"/>
      <c r="R453" s="22"/>
      <c r="S453" s="22" t="str">
        <f t="shared" si="33"/>
        <v/>
      </c>
      <c r="T453" s="22" t="str">
        <f>IF(C453="","",IF(COUNTIF(tTQMReguliDoc[Cheie_regula],S453)&lt;&gt;1,"REGULA NECONFIGURATA",IF(COUNTIFS(tTQMReguliDoc[Cheie_regula],S453,tTQMReguliDoc[Stare],"Confirmata")=1,"Confirmata","De confirmat")))</f>
        <v/>
      </c>
      <c r="U453" s="22">
        <f>IF(OR(C453="",T453&lt;&gt;"Confirmata"),0,IF(COUNTIFS(tTQMReguliDoc[Cheie_regula],S453,tTQMReguliDoc[Aviz],"Da")=1,1,0))</f>
        <v>0</v>
      </c>
      <c r="V453" s="22">
        <f>IF(OR(C453="",T453&lt;&gt;"Confirmata"),0,IF(COUNTIFS(tTQMReguliDoc[Cheie_regula],S453,tTQMReguliDoc[Decl_conformitate],"Da")=1,1,0))</f>
        <v>0</v>
      </c>
      <c r="W453" s="22">
        <f>IF(OR(C453="",T453&lt;&gt;"Confirmata"),0,IF(COUNTIFS(tTQMReguliDoc[Cheie_regula],S453,tTQMReguliDoc[Decl_producator],"Da")=1,1,0))</f>
        <v>0</v>
      </c>
      <c r="X453" s="22">
        <f>IF(OR(C453="",T453&lt;&gt;"Confirmata"),0,IF(COUNTIFS(tTQMReguliDoc[Cheie_regula],S453,tTQMReguliDoc[Fise_tehnice],"Da")=1,1,0))</f>
        <v>0</v>
      </c>
      <c r="Y453" s="22" t="str">
        <f t="shared" si="34"/>
        <v/>
      </c>
      <c r="Z453" s="22"/>
      <c r="AA453" s="22"/>
    </row>
    <row r="454" spans="1:27" ht="15" customHeight="1">
      <c r="A454" s="30"/>
      <c r="B454" s="31"/>
      <c r="C454" s="30"/>
      <c r="D454" s="30"/>
      <c r="E454" s="30"/>
      <c r="F454" s="32" t="str">
        <f t="shared" si="30"/>
        <v/>
      </c>
      <c r="G454" s="30"/>
      <c r="H454" s="30"/>
      <c r="I454" s="30"/>
      <c r="J454" s="32" t="str">
        <f t="shared" si="31"/>
        <v/>
      </c>
      <c r="K454" s="30" t="str">
        <f t="shared" si="32"/>
        <v/>
      </c>
      <c r="L454" s="30"/>
      <c r="M454" s="30"/>
      <c r="N454" s="22"/>
      <c r="O454" s="25"/>
      <c r="P454" s="26"/>
      <c r="Q454" s="22"/>
      <c r="R454" s="22"/>
      <c r="S454" s="22" t="str">
        <f t="shared" si="33"/>
        <v/>
      </c>
      <c r="T454" s="22" t="str">
        <f>IF(C454="","",IF(COUNTIF(tTQMReguliDoc[Cheie_regula],S454)&lt;&gt;1,"REGULA NECONFIGURATA",IF(COUNTIFS(tTQMReguliDoc[Cheie_regula],S454,tTQMReguliDoc[Stare],"Confirmata")=1,"Confirmata","De confirmat")))</f>
        <v/>
      </c>
      <c r="U454" s="22">
        <f>IF(OR(C454="",T454&lt;&gt;"Confirmata"),0,IF(COUNTIFS(tTQMReguliDoc[Cheie_regula],S454,tTQMReguliDoc[Aviz],"Da")=1,1,0))</f>
        <v>0</v>
      </c>
      <c r="V454" s="22">
        <f>IF(OR(C454="",T454&lt;&gt;"Confirmata"),0,IF(COUNTIFS(tTQMReguliDoc[Cheie_regula],S454,tTQMReguliDoc[Decl_conformitate],"Da")=1,1,0))</f>
        <v>0</v>
      </c>
      <c r="W454" s="22">
        <f>IF(OR(C454="",T454&lt;&gt;"Confirmata"),0,IF(COUNTIFS(tTQMReguliDoc[Cheie_regula],S454,tTQMReguliDoc[Decl_producator],"Da")=1,1,0))</f>
        <v>0</v>
      </c>
      <c r="X454" s="22">
        <f>IF(OR(C454="",T454&lt;&gt;"Confirmata"),0,IF(COUNTIFS(tTQMReguliDoc[Cheie_regula],S454,tTQMReguliDoc[Fise_tehnice],"Da")=1,1,0))</f>
        <v>0</v>
      </c>
      <c r="Y454" s="22" t="str">
        <f t="shared" si="34"/>
        <v/>
      </c>
      <c r="Z454" s="22"/>
      <c r="AA454" s="22"/>
    </row>
    <row r="455" spans="1:27" ht="15" customHeight="1">
      <c r="A455" s="30"/>
      <c r="B455" s="31"/>
      <c r="C455" s="30"/>
      <c r="D455" s="30"/>
      <c r="E455" s="30"/>
      <c r="F455" s="32" t="str">
        <f t="shared" si="30"/>
        <v/>
      </c>
      <c r="G455" s="30"/>
      <c r="H455" s="30"/>
      <c r="I455" s="30"/>
      <c r="J455" s="32" t="str">
        <f t="shared" si="31"/>
        <v/>
      </c>
      <c r="K455" s="30" t="str">
        <f t="shared" si="32"/>
        <v/>
      </c>
      <c r="L455" s="30"/>
      <c r="M455" s="30"/>
      <c r="N455" s="22"/>
      <c r="O455" s="25"/>
      <c r="P455" s="26"/>
      <c r="Q455" s="22"/>
      <c r="R455" s="22"/>
      <c r="S455" s="22" t="str">
        <f t="shared" si="33"/>
        <v/>
      </c>
      <c r="T455" s="22" t="str">
        <f>IF(C455="","",IF(COUNTIF(tTQMReguliDoc[Cheie_regula],S455)&lt;&gt;1,"REGULA NECONFIGURATA",IF(COUNTIFS(tTQMReguliDoc[Cheie_regula],S455,tTQMReguliDoc[Stare],"Confirmata")=1,"Confirmata","De confirmat")))</f>
        <v/>
      </c>
      <c r="U455" s="22">
        <f>IF(OR(C455="",T455&lt;&gt;"Confirmata"),0,IF(COUNTIFS(tTQMReguliDoc[Cheie_regula],S455,tTQMReguliDoc[Aviz],"Da")=1,1,0))</f>
        <v>0</v>
      </c>
      <c r="V455" s="22">
        <f>IF(OR(C455="",T455&lt;&gt;"Confirmata"),0,IF(COUNTIFS(tTQMReguliDoc[Cheie_regula],S455,tTQMReguliDoc[Decl_conformitate],"Da")=1,1,0))</f>
        <v>0</v>
      </c>
      <c r="W455" s="22">
        <f>IF(OR(C455="",T455&lt;&gt;"Confirmata"),0,IF(COUNTIFS(tTQMReguliDoc[Cheie_regula],S455,tTQMReguliDoc[Decl_producator],"Da")=1,1,0))</f>
        <v>0</v>
      </c>
      <c r="X455" s="22">
        <f>IF(OR(C455="",T455&lt;&gt;"Confirmata"),0,IF(COUNTIFS(tTQMReguliDoc[Cheie_regula],S455,tTQMReguliDoc[Fise_tehnice],"Da")=1,1,0))</f>
        <v>0</v>
      </c>
      <c r="Y455" s="22" t="str">
        <f t="shared" si="34"/>
        <v/>
      </c>
      <c r="Z455" s="22"/>
      <c r="AA455" s="22"/>
    </row>
    <row r="456" spans="1:27" ht="15" customHeight="1">
      <c r="A456" s="30"/>
      <c r="B456" s="31"/>
      <c r="C456" s="30"/>
      <c r="D456" s="30"/>
      <c r="E456" s="30"/>
      <c r="F456" s="32" t="str">
        <f t="shared" si="30"/>
        <v/>
      </c>
      <c r="G456" s="30"/>
      <c r="H456" s="30"/>
      <c r="I456" s="30"/>
      <c r="J456" s="32" t="str">
        <f t="shared" si="31"/>
        <v/>
      </c>
      <c r="K456" s="30" t="str">
        <f t="shared" si="32"/>
        <v/>
      </c>
      <c r="L456" s="30"/>
      <c r="M456" s="30"/>
      <c r="N456" s="22"/>
      <c r="O456" s="25"/>
      <c r="P456" s="26"/>
      <c r="Q456" s="22"/>
      <c r="R456" s="22"/>
      <c r="S456" s="22" t="str">
        <f t="shared" si="33"/>
        <v/>
      </c>
      <c r="T456" s="22" t="str">
        <f>IF(C456="","",IF(COUNTIF(tTQMReguliDoc[Cheie_regula],S456)&lt;&gt;1,"REGULA NECONFIGURATA",IF(COUNTIFS(tTQMReguliDoc[Cheie_regula],S456,tTQMReguliDoc[Stare],"Confirmata")=1,"Confirmata","De confirmat")))</f>
        <v/>
      </c>
      <c r="U456" s="22">
        <f>IF(OR(C456="",T456&lt;&gt;"Confirmata"),0,IF(COUNTIFS(tTQMReguliDoc[Cheie_regula],S456,tTQMReguliDoc[Aviz],"Da")=1,1,0))</f>
        <v>0</v>
      </c>
      <c r="V456" s="22">
        <f>IF(OR(C456="",T456&lt;&gt;"Confirmata"),0,IF(COUNTIFS(tTQMReguliDoc[Cheie_regula],S456,tTQMReguliDoc[Decl_conformitate],"Da")=1,1,0))</f>
        <v>0</v>
      </c>
      <c r="W456" s="22">
        <f>IF(OR(C456="",T456&lt;&gt;"Confirmata"),0,IF(COUNTIFS(tTQMReguliDoc[Cheie_regula],S456,tTQMReguliDoc[Decl_producator],"Da")=1,1,0))</f>
        <v>0</v>
      </c>
      <c r="X456" s="22">
        <f>IF(OR(C456="",T456&lt;&gt;"Confirmata"),0,IF(COUNTIFS(tTQMReguliDoc[Cheie_regula],S456,tTQMReguliDoc[Fise_tehnice],"Da")=1,1,0))</f>
        <v>0</v>
      </c>
      <c r="Y456" s="22" t="str">
        <f t="shared" si="34"/>
        <v/>
      </c>
      <c r="Z456" s="22"/>
      <c r="AA456" s="22"/>
    </row>
    <row r="457" spans="1:27" ht="15" customHeight="1">
      <c r="A457" s="30"/>
      <c r="B457" s="31"/>
      <c r="C457" s="30"/>
      <c r="D457" s="30"/>
      <c r="E457" s="30"/>
      <c r="F457" s="32" t="str">
        <f t="shared" si="30"/>
        <v/>
      </c>
      <c r="G457" s="30"/>
      <c r="H457" s="30"/>
      <c r="I457" s="30"/>
      <c r="J457" s="32" t="str">
        <f t="shared" si="31"/>
        <v/>
      </c>
      <c r="K457" s="30" t="str">
        <f t="shared" si="32"/>
        <v/>
      </c>
      <c r="L457" s="30"/>
      <c r="M457" s="30"/>
      <c r="N457" s="22"/>
      <c r="O457" s="25"/>
      <c r="P457" s="26"/>
      <c r="Q457" s="22"/>
      <c r="R457" s="22"/>
      <c r="S457" s="22" t="str">
        <f t="shared" si="33"/>
        <v/>
      </c>
      <c r="T457" s="22" t="str">
        <f>IF(C457="","",IF(COUNTIF(tTQMReguliDoc[Cheie_regula],S457)&lt;&gt;1,"REGULA NECONFIGURATA",IF(COUNTIFS(tTQMReguliDoc[Cheie_regula],S457,tTQMReguliDoc[Stare],"Confirmata")=1,"Confirmata","De confirmat")))</f>
        <v/>
      </c>
      <c r="U457" s="22">
        <f>IF(OR(C457="",T457&lt;&gt;"Confirmata"),0,IF(COUNTIFS(tTQMReguliDoc[Cheie_regula],S457,tTQMReguliDoc[Aviz],"Da")=1,1,0))</f>
        <v>0</v>
      </c>
      <c r="V457" s="22">
        <f>IF(OR(C457="",T457&lt;&gt;"Confirmata"),0,IF(COUNTIFS(tTQMReguliDoc[Cheie_regula],S457,tTQMReguliDoc[Decl_conformitate],"Da")=1,1,0))</f>
        <v>0</v>
      </c>
      <c r="W457" s="22">
        <f>IF(OR(C457="",T457&lt;&gt;"Confirmata"),0,IF(COUNTIFS(tTQMReguliDoc[Cheie_regula],S457,tTQMReguliDoc[Decl_producator],"Da")=1,1,0))</f>
        <v>0</v>
      </c>
      <c r="X457" s="22">
        <f>IF(OR(C457="",T457&lt;&gt;"Confirmata"),0,IF(COUNTIFS(tTQMReguliDoc[Cheie_regula],S457,tTQMReguliDoc[Fise_tehnice],"Da")=1,1,0))</f>
        <v>0</v>
      </c>
      <c r="Y457" s="22" t="str">
        <f t="shared" si="34"/>
        <v/>
      </c>
      <c r="Z457" s="22"/>
      <c r="AA457" s="22"/>
    </row>
    <row r="458" spans="1:27" ht="15" customHeight="1">
      <c r="A458" s="30"/>
      <c r="B458" s="31"/>
      <c r="C458" s="30"/>
      <c r="D458" s="30"/>
      <c r="E458" s="30"/>
      <c r="F458" s="32" t="str">
        <f t="shared" si="30"/>
        <v/>
      </c>
      <c r="G458" s="30"/>
      <c r="H458" s="30"/>
      <c r="I458" s="30"/>
      <c r="J458" s="32" t="str">
        <f t="shared" si="31"/>
        <v/>
      </c>
      <c r="K458" s="30" t="str">
        <f t="shared" si="32"/>
        <v/>
      </c>
      <c r="L458" s="30"/>
      <c r="M458" s="30"/>
      <c r="N458" s="22"/>
      <c r="O458" s="25"/>
      <c r="P458" s="26"/>
      <c r="Q458" s="22"/>
      <c r="R458" s="22"/>
      <c r="S458" s="22" t="str">
        <f t="shared" si="33"/>
        <v/>
      </c>
      <c r="T458" s="22" t="str">
        <f>IF(C458="","",IF(COUNTIF(tTQMReguliDoc[Cheie_regula],S458)&lt;&gt;1,"REGULA NECONFIGURATA",IF(COUNTIFS(tTQMReguliDoc[Cheie_regula],S458,tTQMReguliDoc[Stare],"Confirmata")=1,"Confirmata","De confirmat")))</f>
        <v/>
      </c>
      <c r="U458" s="22">
        <f>IF(OR(C458="",T458&lt;&gt;"Confirmata"),0,IF(COUNTIFS(tTQMReguliDoc[Cheie_regula],S458,tTQMReguliDoc[Aviz],"Da")=1,1,0))</f>
        <v>0</v>
      </c>
      <c r="V458" s="22">
        <f>IF(OR(C458="",T458&lt;&gt;"Confirmata"),0,IF(COUNTIFS(tTQMReguliDoc[Cheie_regula],S458,tTQMReguliDoc[Decl_conformitate],"Da")=1,1,0))</f>
        <v>0</v>
      </c>
      <c r="W458" s="22">
        <f>IF(OR(C458="",T458&lt;&gt;"Confirmata"),0,IF(COUNTIFS(tTQMReguliDoc[Cheie_regula],S458,tTQMReguliDoc[Decl_producator],"Da")=1,1,0))</f>
        <v>0</v>
      </c>
      <c r="X458" s="22">
        <f>IF(OR(C458="",T458&lt;&gt;"Confirmata"),0,IF(COUNTIFS(tTQMReguliDoc[Cheie_regula],S458,tTQMReguliDoc[Fise_tehnice],"Da")=1,1,0))</f>
        <v>0</v>
      </c>
      <c r="Y458" s="22" t="str">
        <f t="shared" si="34"/>
        <v/>
      </c>
      <c r="Z458" s="22"/>
      <c r="AA458" s="22"/>
    </row>
    <row r="459" spans="1:27" ht="15" customHeight="1">
      <c r="A459" s="30"/>
      <c r="B459" s="31"/>
      <c r="C459" s="30"/>
      <c r="D459" s="30"/>
      <c r="E459" s="30"/>
      <c r="F459" s="32" t="str">
        <f t="shared" si="30"/>
        <v/>
      </c>
      <c r="G459" s="30"/>
      <c r="H459" s="30"/>
      <c r="I459" s="30"/>
      <c r="J459" s="32" t="str">
        <f t="shared" si="31"/>
        <v/>
      </c>
      <c r="K459" s="30" t="str">
        <f t="shared" si="32"/>
        <v/>
      </c>
      <c r="L459" s="30"/>
      <c r="M459" s="30"/>
      <c r="N459" s="22"/>
      <c r="O459" s="25"/>
      <c r="P459" s="26"/>
      <c r="Q459" s="22"/>
      <c r="R459" s="22"/>
      <c r="S459" s="22" t="str">
        <f t="shared" si="33"/>
        <v/>
      </c>
      <c r="T459" s="22" t="str">
        <f>IF(C459="","",IF(COUNTIF(tTQMReguliDoc[Cheie_regula],S459)&lt;&gt;1,"REGULA NECONFIGURATA",IF(COUNTIFS(tTQMReguliDoc[Cheie_regula],S459,tTQMReguliDoc[Stare],"Confirmata")=1,"Confirmata","De confirmat")))</f>
        <v/>
      </c>
      <c r="U459" s="22">
        <f>IF(OR(C459="",T459&lt;&gt;"Confirmata"),0,IF(COUNTIFS(tTQMReguliDoc[Cheie_regula],S459,tTQMReguliDoc[Aviz],"Da")=1,1,0))</f>
        <v>0</v>
      </c>
      <c r="V459" s="22">
        <f>IF(OR(C459="",T459&lt;&gt;"Confirmata"),0,IF(COUNTIFS(tTQMReguliDoc[Cheie_regula],S459,tTQMReguliDoc[Decl_conformitate],"Da")=1,1,0))</f>
        <v>0</v>
      </c>
      <c r="W459" s="22">
        <f>IF(OR(C459="",T459&lt;&gt;"Confirmata"),0,IF(COUNTIFS(tTQMReguliDoc[Cheie_regula],S459,tTQMReguliDoc[Decl_producator],"Da")=1,1,0))</f>
        <v>0</v>
      </c>
      <c r="X459" s="22">
        <f>IF(OR(C459="",T459&lt;&gt;"Confirmata"),0,IF(COUNTIFS(tTQMReguliDoc[Cheie_regula],S459,tTQMReguliDoc[Fise_tehnice],"Da")=1,1,0))</f>
        <v>0</v>
      </c>
      <c r="Y459" s="22" t="str">
        <f t="shared" si="34"/>
        <v/>
      </c>
      <c r="Z459" s="22"/>
      <c r="AA459" s="22"/>
    </row>
    <row r="460" spans="1:27" ht="15" customHeight="1">
      <c r="A460" s="30"/>
      <c r="B460" s="31"/>
      <c r="C460" s="30"/>
      <c r="D460" s="30"/>
      <c r="E460" s="30"/>
      <c r="F460" s="32" t="str">
        <f t="shared" si="30"/>
        <v/>
      </c>
      <c r="G460" s="30"/>
      <c r="H460" s="30"/>
      <c r="I460" s="30"/>
      <c r="J460" s="32" t="str">
        <f t="shared" si="31"/>
        <v/>
      </c>
      <c r="K460" s="30" t="str">
        <f t="shared" si="32"/>
        <v/>
      </c>
      <c r="L460" s="30"/>
      <c r="M460" s="30"/>
      <c r="N460" s="22"/>
      <c r="O460" s="25"/>
      <c r="P460" s="26"/>
      <c r="Q460" s="22"/>
      <c r="R460" s="22"/>
      <c r="S460" s="22" t="str">
        <f t="shared" si="33"/>
        <v/>
      </c>
      <c r="T460" s="22" t="str">
        <f>IF(C460="","",IF(COUNTIF(tTQMReguliDoc[Cheie_regula],S460)&lt;&gt;1,"REGULA NECONFIGURATA",IF(COUNTIFS(tTQMReguliDoc[Cheie_regula],S460,tTQMReguliDoc[Stare],"Confirmata")=1,"Confirmata","De confirmat")))</f>
        <v/>
      </c>
      <c r="U460" s="22">
        <f>IF(OR(C460="",T460&lt;&gt;"Confirmata"),0,IF(COUNTIFS(tTQMReguliDoc[Cheie_regula],S460,tTQMReguliDoc[Aviz],"Da")=1,1,0))</f>
        <v>0</v>
      </c>
      <c r="V460" s="22">
        <f>IF(OR(C460="",T460&lt;&gt;"Confirmata"),0,IF(COUNTIFS(tTQMReguliDoc[Cheie_regula],S460,tTQMReguliDoc[Decl_conformitate],"Da")=1,1,0))</f>
        <v>0</v>
      </c>
      <c r="W460" s="22">
        <f>IF(OR(C460="",T460&lt;&gt;"Confirmata"),0,IF(COUNTIFS(tTQMReguliDoc[Cheie_regula],S460,tTQMReguliDoc[Decl_producator],"Da")=1,1,0))</f>
        <v>0</v>
      </c>
      <c r="X460" s="22">
        <f>IF(OR(C460="",T460&lt;&gt;"Confirmata"),0,IF(COUNTIFS(tTQMReguliDoc[Cheie_regula],S460,tTQMReguliDoc[Fise_tehnice],"Da")=1,1,0))</f>
        <v>0</v>
      </c>
      <c r="Y460" s="22" t="str">
        <f t="shared" si="34"/>
        <v/>
      </c>
      <c r="Z460" s="22"/>
      <c r="AA460" s="22"/>
    </row>
    <row r="461" spans="1:27" ht="15" customHeight="1">
      <c r="A461" s="30"/>
      <c r="B461" s="31"/>
      <c r="C461" s="30"/>
      <c r="D461" s="30"/>
      <c r="E461" s="30"/>
      <c r="F461" s="32" t="str">
        <f t="shared" si="30"/>
        <v/>
      </c>
      <c r="G461" s="30"/>
      <c r="H461" s="30"/>
      <c r="I461" s="30"/>
      <c r="J461" s="32" t="str">
        <f t="shared" si="31"/>
        <v/>
      </c>
      <c r="K461" s="30" t="str">
        <f t="shared" si="32"/>
        <v/>
      </c>
      <c r="L461" s="30"/>
      <c r="M461" s="30"/>
      <c r="N461" s="22"/>
      <c r="O461" s="25"/>
      <c r="P461" s="26"/>
      <c r="Q461" s="22"/>
      <c r="R461" s="22"/>
      <c r="S461" s="22" t="str">
        <f t="shared" si="33"/>
        <v/>
      </c>
      <c r="T461" s="22" t="str">
        <f>IF(C461="","",IF(COUNTIF(tTQMReguliDoc[Cheie_regula],S461)&lt;&gt;1,"REGULA NECONFIGURATA",IF(COUNTIFS(tTQMReguliDoc[Cheie_regula],S461,tTQMReguliDoc[Stare],"Confirmata")=1,"Confirmata","De confirmat")))</f>
        <v/>
      </c>
      <c r="U461" s="22">
        <f>IF(OR(C461="",T461&lt;&gt;"Confirmata"),0,IF(COUNTIFS(tTQMReguliDoc[Cheie_regula],S461,tTQMReguliDoc[Aviz],"Da")=1,1,0))</f>
        <v>0</v>
      </c>
      <c r="V461" s="22">
        <f>IF(OR(C461="",T461&lt;&gt;"Confirmata"),0,IF(COUNTIFS(tTQMReguliDoc[Cheie_regula],S461,tTQMReguliDoc[Decl_conformitate],"Da")=1,1,0))</f>
        <v>0</v>
      </c>
      <c r="W461" s="22">
        <f>IF(OR(C461="",T461&lt;&gt;"Confirmata"),0,IF(COUNTIFS(tTQMReguliDoc[Cheie_regula],S461,tTQMReguliDoc[Decl_producator],"Da")=1,1,0))</f>
        <v>0</v>
      </c>
      <c r="X461" s="22">
        <f>IF(OR(C461="",T461&lt;&gt;"Confirmata"),0,IF(COUNTIFS(tTQMReguliDoc[Cheie_regula],S461,tTQMReguliDoc[Fise_tehnice],"Da")=1,1,0))</f>
        <v>0</v>
      </c>
      <c r="Y461" s="22" t="str">
        <f t="shared" si="34"/>
        <v/>
      </c>
      <c r="Z461" s="22"/>
      <c r="AA461" s="22"/>
    </row>
    <row r="462" spans="1:27" ht="15" customHeight="1">
      <c r="A462" s="30"/>
      <c r="B462" s="31"/>
      <c r="C462" s="30"/>
      <c r="D462" s="30"/>
      <c r="E462" s="30"/>
      <c r="F462" s="32" t="str">
        <f t="shared" ref="F462:F500" si="35">IF(C462="","",IF(T462&lt;&gt;"Confirmata","DE CONFIRMAT",IF(U462=1,"OBLIGATORIU AVIZ","NU")))</f>
        <v/>
      </c>
      <c r="G462" s="30"/>
      <c r="H462" s="30"/>
      <c r="I462" s="30"/>
      <c r="J462" s="32" t="str">
        <f t="shared" ref="J462:J500" si="36">IF(C462="","",IF(K462="","DOSAR COMPLET","INCOMPLET - VERIFICARE DOCUMENTE"))</f>
        <v/>
      </c>
      <c r="K462" s="30" t="str">
        <f t="shared" ref="K462:K500" si="37">IF(C462="","",IF(Y462="","",LEFT(Y462,LEN(Y462)-2)))</f>
        <v/>
      </c>
      <c r="L462" s="30"/>
      <c r="M462" s="30"/>
      <c r="N462" s="22"/>
      <c r="O462" s="25"/>
      <c r="P462" s="26"/>
      <c r="Q462" s="22"/>
      <c r="R462" s="22"/>
      <c r="S462" s="22" t="str">
        <f t="shared" ref="S462:S500" si="38">IF(C462="","",IF(LEFT(LOWER(D462),4)="furn","Furnizor",IF(LEFT(LOWER(D462),4)="prod","Producator",IF(LEFT(LOWER(D462),4)="pres","Prestator",IF(LEFT(LOWER(D462),3)="alt","Alt partener",D462))))&amp;"|"&amp;IF(LEFT(LOWER(E462),4)="doar","Doar Aviz",IF(LEFT(LOWER(E462),4)="fact","Factura",E462)))</f>
        <v/>
      </c>
      <c r="T462" s="22" t="str">
        <f>IF(C462="","",IF(COUNTIF(tTQMReguliDoc[Cheie_regula],S462)&lt;&gt;1,"REGULA NECONFIGURATA",IF(COUNTIFS(tTQMReguliDoc[Cheie_regula],S462,tTQMReguliDoc[Stare],"Confirmata")=1,"Confirmata","De confirmat")))</f>
        <v/>
      </c>
      <c r="U462" s="22">
        <f>IF(OR(C462="",T462&lt;&gt;"Confirmata"),0,IF(COUNTIFS(tTQMReguliDoc[Cheie_regula],S462,tTQMReguliDoc[Aviz],"Da")=1,1,0))</f>
        <v>0</v>
      </c>
      <c r="V462" s="22">
        <f>IF(OR(C462="",T462&lt;&gt;"Confirmata"),0,IF(COUNTIFS(tTQMReguliDoc[Cheie_regula],S462,tTQMReguliDoc[Decl_conformitate],"Da")=1,1,0))</f>
        <v>0</v>
      </c>
      <c r="W462" s="22">
        <f>IF(OR(C462="",T462&lt;&gt;"Confirmata"),0,IF(COUNTIFS(tTQMReguliDoc[Cheie_regula],S462,tTQMReguliDoc[Decl_producator],"Da")=1,1,0))</f>
        <v>0</v>
      </c>
      <c r="X462" s="22">
        <f>IF(OR(C462="",T462&lt;&gt;"Confirmata"),0,IF(COUNTIFS(tTQMReguliDoc[Cheie_regula],S462,tTQMReguliDoc[Fise_tehnice],"Da")=1,1,0))</f>
        <v>0</v>
      </c>
      <c r="Y462" s="22" t="str">
        <f t="shared" ref="Y462:Y500" si="39">IF(C462="","",IF(T462&lt;&gt;"Confirmata","Confirmati regulile documentelor; ",IF(AND(U462=1,Z462&lt;&gt;"Primit"),"Aviz; ","")&amp;IF(AND(V462=1,G462&lt;&gt;"Primit"),"Declaratie conformitate; ","")&amp;IF(AND(W462=1,H462&lt;&gt;"Primit"),"Declaratie producator; ","")&amp;IF(AND(X462=1,I462&lt;&gt;"Primit"),"Fise tehnice; ","")))</f>
        <v/>
      </c>
      <c r="Z462" s="22"/>
      <c r="AA462" s="22"/>
    </row>
    <row r="463" spans="1:27" ht="15" customHeight="1">
      <c r="A463" s="30"/>
      <c r="B463" s="31"/>
      <c r="C463" s="30"/>
      <c r="D463" s="30"/>
      <c r="E463" s="30"/>
      <c r="F463" s="32" t="str">
        <f t="shared" si="35"/>
        <v/>
      </c>
      <c r="G463" s="30"/>
      <c r="H463" s="30"/>
      <c r="I463" s="30"/>
      <c r="J463" s="32" t="str">
        <f t="shared" si="36"/>
        <v/>
      </c>
      <c r="K463" s="30" t="str">
        <f t="shared" si="37"/>
        <v/>
      </c>
      <c r="L463" s="30"/>
      <c r="M463" s="30"/>
      <c r="N463" s="22"/>
      <c r="O463" s="25"/>
      <c r="P463" s="26"/>
      <c r="Q463" s="22"/>
      <c r="R463" s="22"/>
      <c r="S463" s="22" t="str">
        <f t="shared" si="38"/>
        <v/>
      </c>
      <c r="T463" s="22" t="str">
        <f>IF(C463="","",IF(COUNTIF(tTQMReguliDoc[Cheie_regula],S463)&lt;&gt;1,"REGULA NECONFIGURATA",IF(COUNTIFS(tTQMReguliDoc[Cheie_regula],S463,tTQMReguliDoc[Stare],"Confirmata")=1,"Confirmata","De confirmat")))</f>
        <v/>
      </c>
      <c r="U463" s="22">
        <f>IF(OR(C463="",T463&lt;&gt;"Confirmata"),0,IF(COUNTIFS(tTQMReguliDoc[Cheie_regula],S463,tTQMReguliDoc[Aviz],"Da")=1,1,0))</f>
        <v>0</v>
      </c>
      <c r="V463" s="22">
        <f>IF(OR(C463="",T463&lt;&gt;"Confirmata"),0,IF(COUNTIFS(tTQMReguliDoc[Cheie_regula],S463,tTQMReguliDoc[Decl_conformitate],"Da")=1,1,0))</f>
        <v>0</v>
      </c>
      <c r="W463" s="22">
        <f>IF(OR(C463="",T463&lt;&gt;"Confirmata"),0,IF(COUNTIFS(tTQMReguliDoc[Cheie_regula],S463,tTQMReguliDoc[Decl_producator],"Da")=1,1,0))</f>
        <v>0</v>
      </c>
      <c r="X463" s="22">
        <f>IF(OR(C463="",T463&lt;&gt;"Confirmata"),0,IF(COUNTIFS(tTQMReguliDoc[Cheie_regula],S463,tTQMReguliDoc[Fise_tehnice],"Da")=1,1,0))</f>
        <v>0</v>
      </c>
      <c r="Y463" s="22" t="str">
        <f t="shared" si="39"/>
        <v/>
      </c>
      <c r="Z463" s="22"/>
      <c r="AA463" s="22"/>
    </row>
    <row r="464" spans="1:27" ht="15" customHeight="1">
      <c r="A464" s="30"/>
      <c r="B464" s="31"/>
      <c r="C464" s="30"/>
      <c r="D464" s="30"/>
      <c r="E464" s="30"/>
      <c r="F464" s="32" t="str">
        <f t="shared" si="35"/>
        <v/>
      </c>
      <c r="G464" s="30"/>
      <c r="H464" s="30"/>
      <c r="I464" s="30"/>
      <c r="J464" s="32" t="str">
        <f t="shared" si="36"/>
        <v/>
      </c>
      <c r="K464" s="30" t="str">
        <f t="shared" si="37"/>
        <v/>
      </c>
      <c r="L464" s="30"/>
      <c r="M464" s="30"/>
      <c r="N464" s="22"/>
      <c r="O464" s="25"/>
      <c r="P464" s="26"/>
      <c r="Q464" s="22"/>
      <c r="R464" s="22"/>
      <c r="S464" s="22" t="str">
        <f t="shared" si="38"/>
        <v/>
      </c>
      <c r="T464" s="22" t="str">
        <f>IF(C464="","",IF(COUNTIF(tTQMReguliDoc[Cheie_regula],S464)&lt;&gt;1,"REGULA NECONFIGURATA",IF(COUNTIFS(tTQMReguliDoc[Cheie_regula],S464,tTQMReguliDoc[Stare],"Confirmata")=1,"Confirmata","De confirmat")))</f>
        <v/>
      </c>
      <c r="U464" s="22">
        <f>IF(OR(C464="",T464&lt;&gt;"Confirmata"),0,IF(COUNTIFS(tTQMReguliDoc[Cheie_regula],S464,tTQMReguliDoc[Aviz],"Da")=1,1,0))</f>
        <v>0</v>
      </c>
      <c r="V464" s="22">
        <f>IF(OR(C464="",T464&lt;&gt;"Confirmata"),0,IF(COUNTIFS(tTQMReguliDoc[Cheie_regula],S464,tTQMReguliDoc[Decl_conformitate],"Da")=1,1,0))</f>
        <v>0</v>
      </c>
      <c r="W464" s="22">
        <f>IF(OR(C464="",T464&lt;&gt;"Confirmata"),0,IF(COUNTIFS(tTQMReguliDoc[Cheie_regula],S464,tTQMReguliDoc[Decl_producator],"Da")=1,1,0))</f>
        <v>0</v>
      </c>
      <c r="X464" s="22">
        <f>IF(OR(C464="",T464&lt;&gt;"Confirmata"),0,IF(COUNTIFS(tTQMReguliDoc[Cheie_regula],S464,tTQMReguliDoc[Fise_tehnice],"Da")=1,1,0))</f>
        <v>0</v>
      </c>
      <c r="Y464" s="22" t="str">
        <f t="shared" si="39"/>
        <v/>
      </c>
      <c r="Z464" s="22"/>
      <c r="AA464" s="22"/>
    </row>
    <row r="465" spans="1:27" ht="15" customHeight="1">
      <c r="A465" s="30"/>
      <c r="B465" s="31"/>
      <c r="C465" s="30"/>
      <c r="D465" s="30"/>
      <c r="E465" s="30"/>
      <c r="F465" s="32" t="str">
        <f t="shared" si="35"/>
        <v/>
      </c>
      <c r="G465" s="30"/>
      <c r="H465" s="30"/>
      <c r="I465" s="30"/>
      <c r="J465" s="32" t="str">
        <f t="shared" si="36"/>
        <v/>
      </c>
      <c r="K465" s="30" t="str">
        <f t="shared" si="37"/>
        <v/>
      </c>
      <c r="L465" s="30"/>
      <c r="M465" s="30"/>
      <c r="N465" s="22"/>
      <c r="O465" s="25"/>
      <c r="P465" s="26"/>
      <c r="Q465" s="22"/>
      <c r="R465" s="22"/>
      <c r="S465" s="22" t="str">
        <f t="shared" si="38"/>
        <v/>
      </c>
      <c r="T465" s="22" t="str">
        <f>IF(C465="","",IF(COUNTIF(tTQMReguliDoc[Cheie_regula],S465)&lt;&gt;1,"REGULA NECONFIGURATA",IF(COUNTIFS(tTQMReguliDoc[Cheie_regula],S465,tTQMReguliDoc[Stare],"Confirmata")=1,"Confirmata","De confirmat")))</f>
        <v/>
      </c>
      <c r="U465" s="22">
        <f>IF(OR(C465="",T465&lt;&gt;"Confirmata"),0,IF(COUNTIFS(tTQMReguliDoc[Cheie_regula],S465,tTQMReguliDoc[Aviz],"Da")=1,1,0))</f>
        <v>0</v>
      </c>
      <c r="V465" s="22">
        <f>IF(OR(C465="",T465&lt;&gt;"Confirmata"),0,IF(COUNTIFS(tTQMReguliDoc[Cheie_regula],S465,tTQMReguliDoc[Decl_conformitate],"Da")=1,1,0))</f>
        <v>0</v>
      </c>
      <c r="W465" s="22">
        <f>IF(OR(C465="",T465&lt;&gt;"Confirmata"),0,IF(COUNTIFS(tTQMReguliDoc[Cheie_regula],S465,tTQMReguliDoc[Decl_producator],"Da")=1,1,0))</f>
        <v>0</v>
      </c>
      <c r="X465" s="22">
        <f>IF(OR(C465="",T465&lt;&gt;"Confirmata"),0,IF(COUNTIFS(tTQMReguliDoc[Cheie_regula],S465,tTQMReguliDoc[Fise_tehnice],"Da")=1,1,0))</f>
        <v>0</v>
      </c>
      <c r="Y465" s="22" t="str">
        <f t="shared" si="39"/>
        <v/>
      </c>
      <c r="Z465" s="22"/>
      <c r="AA465" s="22"/>
    </row>
    <row r="466" spans="1:27" ht="15" customHeight="1">
      <c r="A466" s="30"/>
      <c r="B466" s="31"/>
      <c r="C466" s="30"/>
      <c r="D466" s="30"/>
      <c r="E466" s="30"/>
      <c r="F466" s="32" t="str">
        <f t="shared" si="35"/>
        <v/>
      </c>
      <c r="G466" s="30"/>
      <c r="H466" s="30"/>
      <c r="I466" s="30"/>
      <c r="J466" s="32" t="str">
        <f t="shared" si="36"/>
        <v/>
      </c>
      <c r="K466" s="30" t="str">
        <f t="shared" si="37"/>
        <v/>
      </c>
      <c r="L466" s="30"/>
      <c r="M466" s="30"/>
      <c r="N466" s="22"/>
      <c r="O466" s="25"/>
      <c r="P466" s="26"/>
      <c r="Q466" s="22"/>
      <c r="R466" s="22"/>
      <c r="S466" s="22" t="str">
        <f t="shared" si="38"/>
        <v/>
      </c>
      <c r="T466" s="22" t="str">
        <f>IF(C466="","",IF(COUNTIF(tTQMReguliDoc[Cheie_regula],S466)&lt;&gt;1,"REGULA NECONFIGURATA",IF(COUNTIFS(tTQMReguliDoc[Cheie_regula],S466,tTQMReguliDoc[Stare],"Confirmata")=1,"Confirmata","De confirmat")))</f>
        <v/>
      </c>
      <c r="U466" s="22">
        <f>IF(OR(C466="",T466&lt;&gt;"Confirmata"),0,IF(COUNTIFS(tTQMReguliDoc[Cheie_regula],S466,tTQMReguliDoc[Aviz],"Da")=1,1,0))</f>
        <v>0</v>
      </c>
      <c r="V466" s="22">
        <f>IF(OR(C466="",T466&lt;&gt;"Confirmata"),0,IF(COUNTIFS(tTQMReguliDoc[Cheie_regula],S466,tTQMReguliDoc[Decl_conformitate],"Da")=1,1,0))</f>
        <v>0</v>
      </c>
      <c r="W466" s="22">
        <f>IF(OR(C466="",T466&lt;&gt;"Confirmata"),0,IF(COUNTIFS(tTQMReguliDoc[Cheie_regula],S466,tTQMReguliDoc[Decl_producator],"Da")=1,1,0))</f>
        <v>0</v>
      </c>
      <c r="X466" s="22">
        <f>IF(OR(C466="",T466&lt;&gt;"Confirmata"),0,IF(COUNTIFS(tTQMReguliDoc[Cheie_regula],S466,tTQMReguliDoc[Fise_tehnice],"Da")=1,1,0))</f>
        <v>0</v>
      </c>
      <c r="Y466" s="22" t="str">
        <f t="shared" si="39"/>
        <v/>
      </c>
      <c r="Z466" s="22"/>
      <c r="AA466" s="22"/>
    </row>
    <row r="467" spans="1:27" ht="15" customHeight="1">
      <c r="A467" s="30"/>
      <c r="B467" s="31"/>
      <c r="C467" s="30"/>
      <c r="D467" s="30"/>
      <c r="E467" s="30"/>
      <c r="F467" s="32" t="str">
        <f t="shared" si="35"/>
        <v/>
      </c>
      <c r="G467" s="30"/>
      <c r="H467" s="30"/>
      <c r="I467" s="30"/>
      <c r="J467" s="32" t="str">
        <f t="shared" si="36"/>
        <v/>
      </c>
      <c r="K467" s="30" t="str">
        <f t="shared" si="37"/>
        <v/>
      </c>
      <c r="L467" s="30"/>
      <c r="M467" s="30"/>
      <c r="N467" s="22"/>
      <c r="O467" s="25"/>
      <c r="P467" s="26"/>
      <c r="Q467" s="22"/>
      <c r="R467" s="22"/>
      <c r="S467" s="22" t="str">
        <f t="shared" si="38"/>
        <v/>
      </c>
      <c r="T467" s="22" t="str">
        <f>IF(C467="","",IF(COUNTIF(tTQMReguliDoc[Cheie_regula],S467)&lt;&gt;1,"REGULA NECONFIGURATA",IF(COUNTIFS(tTQMReguliDoc[Cheie_regula],S467,tTQMReguliDoc[Stare],"Confirmata")=1,"Confirmata","De confirmat")))</f>
        <v/>
      </c>
      <c r="U467" s="22">
        <f>IF(OR(C467="",T467&lt;&gt;"Confirmata"),0,IF(COUNTIFS(tTQMReguliDoc[Cheie_regula],S467,tTQMReguliDoc[Aviz],"Da")=1,1,0))</f>
        <v>0</v>
      </c>
      <c r="V467" s="22">
        <f>IF(OR(C467="",T467&lt;&gt;"Confirmata"),0,IF(COUNTIFS(tTQMReguliDoc[Cheie_regula],S467,tTQMReguliDoc[Decl_conformitate],"Da")=1,1,0))</f>
        <v>0</v>
      </c>
      <c r="W467" s="22">
        <f>IF(OR(C467="",T467&lt;&gt;"Confirmata"),0,IF(COUNTIFS(tTQMReguliDoc[Cheie_regula],S467,tTQMReguliDoc[Decl_producator],"Da")=1,1,0))</f>
        <v>0</v>
      </c>
      <c r="X467" s="22">
        <f>IF(OR(C467="",T467&lt;&gt;"Confirmata"),0,IF(COUNTIFS(tTQMReguliDoc[Cheie_regula],S467,tTQMReguliDoc[Fise_tehnice],"Da")=1,1,0))</f>
        <v>0</v>
      </c>
      <c r="Y467" s="22" t="str">
        <f t="shared" si="39"/>
        <v/>
      </c>
      <c r="Z467" s="22"/>
      <c r="AA467" s="22"/>
    </row>
    <row r="468" spans="1:27" ht="15" customHeight="1">
      <c r="A468" s="30"/>
      <c r="B468" s="31"/>
      <c r="C468" s="30"/>
      <c r="D468" s="30"/>
      <c r="E468" s="30"/>
      <c r="F468" s="32" t="str">
        <f t="shared" si="35"/>
        <v/>
      </c>
      <c r="G468" s="30"/>
      <c r="H468" s="30"/>
      <c r="I468" s="30"/>
      <c r="J468" s="32" t="str">
        <f t="shared" si="36"/>
        <v/>
      </c>
      <c r="K468" s="30" t="str">
        <f t="shared" si="37"/>
        <v/>
      </c>
      <c r="L468" s="30"/>
      <c r="M468" s="30"/>
      <c r="N468" s="22"/>
      <c r="O468" s="25"/>
      <c r="P468" s="26"/>
      <c r="Q468" s="22"/>
      <c r="R468" s="22"/>
      <c r="S468" s="22" t="str">
        <f t="shared" si="38"/>
        <v/>
      </c>
      <c r="T468" s="22" t="str">
        <f>IF(C468="","",IF(COUNTIF(tTQMReguliDoc[Cheie_regula],S468)&lt;&gt;1,"REGULA NECONFIGURATA",IF(COUNTIFS(tTQMReguliDoc[Cheie_regula],S468,tTQMReguliDoc[Stare],"Confirmata")=1,"Confirmata","De confirmat")))</f>
        <v/>
      </c>
      <c r="U468" s="22">
        <f>IF(OR(C468="",T468&lt;&gt;"Confirmata"),0,IF(COUNTIFS(tTQMReguliDoc[Cheie_regula],S468,tTQMReguliDoc[Aviz],"Da")=1,1,0))</f>
        <v>0</v>
      </c>
      <c r="V468" s="22">
        <f>IF(OR(C468="",T468&lt;&gt;"Confirmata"),0,IF(COUNTIFS(tTQMReguliDoc[Cheie_regula],S468,tTQMReguliDoc[Decl_conformitate],"Da")=1,1,0))</f>
        <v>0</v>
      </c>
      <c r="W468" s="22">
        <f>IF(OR(C468="",T468&lt;&gt;"Confirmata"),0,IF(COUNTIFS(tTQMReguliDoc[Cheie_regula],S468,tTQMReguliDoc[Decl_producator],"Da")=1,1,0))</f>
        <v>0</v>
      </c>
      <c r="X468" s="22">
        <f>IF(OR(C468="",T468&lt;&gt;"Confirmata"),0,IF(COUNTIFS(tTQMReguliDoc[Cheie_regula],S468,tTQMReguliDoc[Fise_tehnice],"Da")=1,1,0))</f>
        <v>0</v>
      </c>
      <c r="Y468" s="22" t="str">
        <f t="shared" si="39"/>
        <v/>
      </c>
      <c r="Z468" s="22"/>
      <c r="AA468" s="22"/>
    </row>
    <row r="469" spans="1:27" ht="15" customHeight="1">
      <c r="A469" s="30"/>
      <c r="B469" s="31"/>
      <c r="C469" s="30"/>
      <c r="D469" s="30"/>
      <c r="E469" s="30"/>
      <c r="F469" s="32" t="str">
        <f t="shared" si="35"/>
        <v/>
      </c>
      <c r="G469" s="30"/>
      <c r="H469" s="30"/>
      <c r="I469" s="30"/>
      <c r="J469" s="32" t="str">
        <f t="shared" si="36"/>
        <v/>
      </c>
      <c r="K469" s="30" t="str">
        <f t="shared" si="37"/>
        <v/>
      </c>
      <c r="L469" s="30"/>
      <c r="M469" s="30"/>
      <c r="N469" s="22"/>
      <c r="O469" s="25"/>
      <c r="P469" s="26"/>
      <c r="Q469" s="22"/>
      <c r="R469" s="22"/>
      <c r="S469" s="22" t="str">
        <f t="shared" si="38"/>
        <v/>
      </c>
      <c r="T469" s="22" t="str">
        <f>IF(C469="","",IF(COUNTIF(tTQMReguliDoc[Cheie_regula],S469)&lt;&gt;1,"REGULA NECONFIGURATA",IF(COUNTIFS(tTQMReguliDoc[Cheie_regula],S469,tTQMReguliDoc[Stare],"Confirmata")=1,"Confirmata","De confirmat")))</f>
        <v/>
      </c>
      <c r="U469" s="22">
        <f>IF(OR(C469="",T469&lt;&gt;"Confirmata"),0,IF(COUNTIFS(tTQMReguliDoc[Cheie_regula],S469,tTQMReguliDoc[Aviz],"Da")=1,1,0))</f>
        <v>0</v>
      </c>
      <c r="V469" s="22">
        <f>IF(OR(C469="",T469&lt;&gt;"Confirmata"),0,IF(COUNTIFS(tTQMReguliDoc[Cheie_regula],S469,tTQMReguliDoc[Decl_conformitate],"Da")=1,1,0))</f>
        <v>0</v>
      </c>
      <c r="W469" s="22">
        <f>IF(OR(C469="",T469&lt;&gt;"Confirmata"),0,IF(COUNTIFS(tTQMReguliDoc[Cheie_regula],S469,tTQMReguliDoc[Decl_producator],"Da")=1,1,0))</f>
        <v>0</v>
      </c>
      <c r="X469" s="22">
        <f>IF(OR(C469="",T469&lt;&gt;"Confirmata"),0,IF(COUNTIFS(tTQMReguliDoc[Cheie_regula],S469,tTQMReguliDoc[Fise_tehnice],"Da")=1,1,0))</f>
        <v>0</v>
      </c>
      <c r="Y469" s="22" t="str">
        <f t="shared" si="39"/>
        <v/>
      </c>
      <c r="Z469" s="22"/>
      <c r="AA469" s="22"/>
    </row>
    <row r="470" spans="1:27" ht="15" customHeight="1">
      <c r="A470" s="30"/>
      <c r="B470" s="31"/>
      <c r="C470" s="30"/>
      <c r="D470" s="30"/>
      <c r="E470" s="30"/>
      <c r="F470" s="32" t="str">
        <f t="shared" si="35"/>
        <v/>
      </c>
      <c r="G470" s="30"/>
      <c r="H470" s="30"/>
      <c r="I470" s="30"/>
      <c r="J470" s="32" t="str">
        <f t="shared" si="36"/>
        <v/>
      </c>
      <c r="K470" s="30" t="str">
        <f t="shared" si="37"/>
        <v/>
      </c>
      <c r="L470" s="30"/>
      <c r="M470" s="30"/>
      <c r="N470" s="22"/>
      <c r="O470" s="25"/>
      <c r="P470" s="26"/>
      <c r="Q470" s="22"/>
      <c r="R470" s="22"/>
      <c r="S470" s="22" t="str">
        <f t="shared" si="38"/>
        <v/>
      </c>
      <c r="T470" s="22" t="str">
        <f>IF(C470="","",IF(COUNTIF(tTQMReguliDoc[Cheie_regula],S470)&lt;&gt;1,"REGULA NECONFIGURATA",IF(COUNTIFS(tTQMReguliDoc[Cheie_regula],S470,tTQMReguliDoc[Stare],"Confirmata")=1,"Confirmata","De confirmat")))</f>
        <v/>
      </c>
      <c r="U470" s="22">
        <f>IF(OR(C470="",T470&lt;&gt;"Confirmata"),0,IF(COUNTIFS(tTQMReguliDoc[Cheie_regula],S470,tTQMReguliDoc[Aviz],"Da")=1,1,0))</f>
        <v>0</v>
      </c>
      <c r="V470" s="22">
        <f>IF(OR(C470="",T470&lt;&gt;"Confirmata"),0,IF(COUNTIFS(tTQMReguliDoc[Cheie_regula],S470,tTQMReguliDoc[Decl_conformitate],"Da")=1,1,0))</f>
        <v>0</v>
      </c>
      <c r="W470" s="22">
        <f>IF(OR(C470="",T470&lt;&gt;"Confirmata"),0,IF(COUNTIFS(tTQMReguliDoc[Cheie_regula],S470,tTQMReguliDoc[Decl_producator],"Da")=1,1,0))</f>
        <v>0</v>
      </c>
      <c r="X470" s="22">
        <f>IF(OR(C470="",T470&lt;&gt;"Confirmata"),0,IF(COUNTIFS(tTQMReguliDoc[Cheie_regula],S470,tTQMReguliDoc[Fise_tehnice],"Da")=1,1,0))</f>
        <v>0</v>
      </c>
      <c r="Y470" s="22" t="str">
        <f t="shared" si="39"/>
        <v/>
      </c>
      <c r="Z470" s="22"/>
      <c r="AA470" s="22"/>
    </row>
    <row r="471" spans="1:27" ht="15" customHeight="1">
      <c r="A471" s="30"/>
      <c r="B471" s="31"/>
      <c r="C471" s="30"/>
      <c r="D471" s="30"/>
      <c r="E471" s="30"/>
      <c r="F471" s="32" t="str">
        <f t="shared" si="35"/>
        <v/>
      </c>
      <c r="G471" s="30"/>
      <c r="H471" s="30"/>
      <c r="I471" s="30"/>
      <c r="J471" s="32" t="str">
        <f t="shared" si="36"/>
        <v/>
      </c>
      <c r="K471" s="30" t="str">
        <f t="shared" si="37"/>
        <v/>
      </c>
      <c r="L471" s="30"/>
      <c r="M471" s="30"/>
      <c r="N471" s="22"/>
      <c r="O471" s="25"/>
      <c r="P471" s="26"/>
      <c r="Q471" s="22"/>
      <c r="R471" s="22"/>
      <c r="S471" s="22" t="str">
        <f t="shared" si="38"/>
        <v/>
      </c>
      <c r="T471" s="22" t="str">
        <f>IF(C471="","",IF(COUNTIF(tTQMReguliDoc[Cheie_regula],S471)&lt;&gt;1,"REGULA NECONFIGURATA",IF(COUNTIFS(tTQMReguliDoc[Cheie_regula],S471,tTQMReguliDoc[Stare],"Confirmata")=1,"Confirmata","De confirmat")))</f>
        <v/>
      </c>
      <c r="U471" s="22">
        <f>IF(OR(C471="",T471&lt;&gt;"Confirmata"),0,IF(COUNTIFS(tTQMReguliDoc[Cheie_regula],S471,tTQMReguliDoc[Aviz],"Da")=1,1,0))</f>
        <v>0</v>
      </c>
      <c r="V471" s="22">
        <f>IF(OR(C471="",T471&lt;&gt;"Confirmata"),0,IF(COUNTIFS(tTQMReguliDoc[Cheie_regula],S471,tTQMReguliDoc[Decl_conformitate],"Da")=1,1,0))</f>
        <v>0</v>
      </c>
      <c r="W471" s="22">
        <f>IF(OR(C471="",T471&lt;&gt;"Confirmata"),0,IF(COUNTIFS(tTQMReguliDoc[Cheie_regula],S471,tTQMReguliDoc[Decl_producator],"Da")=1,1,0))</f>
        <v>0</v>
      </c>
      <c r="X471" s="22">
        <f>IF(OR(C471="",T471&lt;&gt;"Confirmata"),0,IF(COUNTIFS(tTQMReguliDoc[Cheie_regula],S471,tTQMReguliDoc[Fise_tehnice],"Da")=1,1,0))</f>
        <v>0</v>
      </c>
      <c r="Y471" s="22" t="str">
        <f t="shared" si="39"/>
        <v/>
      </c>
      <c r="Z471" s="22"/>
      <c r="AA471" s="22"/>
    </row>
    <row r="472" spans="1:27" ht="15" customHeight="1">
      <c r="A472" s="30"/>
      <c r="B472" s="31"/>
      <c r="C472" s="30"/>
      <c r="D472" s="30"/>
      <c r="E472" s="30"/>
      <c r="F472" s="32" t="str">
        <f t="shared" si="35"/>
        <v/>
      </c>
      <c r="G472" s="30"/>
      <c r="H472" s="30"/>
      <c r="I472" s="30"/>
      <c r="J472" s="32" t="str">
        <f t="shared" si="36"/>
        <v/>
      </c>
      <c r="K472" s="30" t="str">
        <f t="shared" si="37"/>
        <v/>
      </c>
      <c r="L472" s="30"/>
      <c r="M472" s="30"/>
      <c r="N472" s="22"/>
      <c r="O472" s="25"/>
      <c r="P472" s="26"/>
      <c r="Q472" s="22"/>
      <c r="R472" s="22"/>
      <c r="S472" s="22" t="str">
        <f t="shared" si="38"/>
        <v/>
      </c>
      <c r="T472" s="22" t="str">
        <f>IF(C472="","",IF(COUNTIF(tTQMReguliDoc[Cheie_regula],S472)&lt;&gt;1,"REGULA NECONFIGURATA",IF(COUNTIFS(tTQMReguliDoc[Cheie_regula],S472,tTQMReguliDoc[Stare],"Confirmata")=1,"Confirmata","De confirmat")))</f>
        <v/>
      </c>
      <c r="U472" s="22">
        <f>IF(OR(C472="",T472&lt;&gt;"Confirmata"),0,IF(COUNTIFS(tTQMReguliDoc[Cheie_regula],S472,tTQMReguliDoc[Aviz],"Da")=1,1,0))</f>
        <v>0</v>
      </c>
      <c r="V472" s="22">
        <f>IF(OR(C472="",T472&lt;&gt;"Confirmata"),0,IF(COUNTIFS(tTQMReguliDoc[Cheie_regula],S472,tTQMReguliDoc[Decl_conformitate],"Da")=1,1,0))</f>
        <v>0</v>
      </c>
      <c r="W472" s="22">
        <f>IF(OR(C472="",T472&lt;&gt;"Confirmata"),0,IF(COUNTIFS(tTQMReguliDoc[Cheie_regula],S472,tTQMReguliDoc[Decl_producator],"Da")=1,1,0))</f>
        <v>0</v>
      </c>
      <c r="X472" s="22">
        <f>IF(OR(C472="",T472&lt;&gt;"Confirmata"),0,IF(COUNTIFS(tTQMReguliDoc[Cheie_regula],S472,tTQMReguliDoc[Fise_tehnice],"Da")=1,1,0))</f>
        <v>0</v>
      </c>
      <c r="Y472" s="22" t="str">
        <f t="shared" si="39"/>
        <v/>
      </c>
      <c r="Z472" s="22"/>
      <c r="AA472" s="22"/>
    </row>
    <row r="473" spans="1:27" ht="15" customHeight="1">
      <c r="A473" s="30"/>
      <c r="B473" s="31"/>
      <c r="C473" s="30"/>
      <c r="D473" s="30"/>
      <c r="E473" s="30"/>
      <c r="F473" s="32" t="str">
        <f t="shared" si="35"/>
        <v/>
      </c>
      <c r="G473" s="30"/>
      <c r="H473" s="30"/>
      <c r="I473" s="30"/>
      <c r="J473" s="32" t="str">
        <f t="shared" si="36"/>
        <v/>
      </c>
      <c r="K473" s="30" t="str">
        <f t="shared" si="37"/>
        <v/>
      </c>
      <c r="L473" s="30"/>
      <c r="M473" s="30"/>
      <c r="N473" s="22"/>
      <c r="O473" s="25"/>
      <c r="P473" s="26"/>
      <c r="Q473" s="22"/>
      <c r="R473" s="22"/>
      <c r="S473" s="22" t="str">
        <f t="shared" si="38"/>
        <v/>
      </c>
      <c r="T473" s="22" t="str">
        <f>IF(C473="","",IF(COUNTIF(tTQMReguliDoc[Cheie_regula],S473)&lt;&gt;1,"REGULA NECONFIGURATA",IF(COUNTIFS(tTQMReguliDoc[Cheie_regula],S473,tTQMReguliDoc[Stare],"Confirmata")=1,"Confirmata","De confirmat")))</f>
        <v/>
      </c>
      <c r="U473" s="22">
        <f>IF(OR(C473="",T473&lt;&gt;"Confirmata"),0,IF(COUNTIFS(tTQMReguliDoc[Cheie_regula],S473,tTQMReguliDoc[Aviz],"Da")=1,1,0))</f>
        <v>0</v>
      </c>
      <c r="V473" s="22">
        <f>IF(OR(C473="",T473&lt;&gt;"Confirmata"),0,IF(COUNTIFS(tTQMReguliDoc[Cheie_regula],S473,tTQMReguliDoc[Decl_conformitate],"Da")=1,1,0))</f>
        <v>0</v>
      </c>
      <c r="W473" s="22">
        <f>IF(OR(C473="",T473&lt;&gt;"Confirmata"),0,IF(COUNTIFS(tTQMReguliDoc[Cheie_regula],S473,tTQMReguliDoc[Decl_producator],"Da")=1,1,0))</f>
        <v>0</v>
      </c>
      <c r="X473" s="22">
        <f>IF(OR(C473="",T473&lt;&gt;"Confirmata"),0,IF(COUNTIFS(tTQMReguliDoc[Cheie_regula],S473,tTQMReguliDoc[Fise_tehnice],"Da")=1,1,0))</f>
        <v>0</v>
      </c>
      <c r="Y473" s="22" t="str">
        <f t="shared" si="39"/>
        <v/>
      </c>
      <c r="Z473" s="22"/>
      <c r="AA473" s="22"/>
    </row>
    <row r="474" spans="1:27" ht="15" customHeight="1">
      <c r="A474" s="30"/>
      <c r="B474" s="31"/>
      <c r="C474" s="30"/>
      <c r="D474" s="30"/>
      <c r="E474" s="30"/>
      <c r="F474" s="32" t="str">
        <f t="shared" si="35"/>
        <v/>
      </c>
      <c r="G474" s="30"/>
      <c r="H474" s="30"/>
      <c r="I474" s="30"/>
      <c r="J474" s="32" t="str">
        <f t="shared" si="36"/>
        <v/>
      </c>
      <c r="K474" s="30" t="str">
        <f t="shared" si="37"/>
        <v/>
      </c>
      <c r="L474" s="30"/>
      <c r="M474" s="30"/>
      <c r="N474" s="22"/>
      <c r="O474" s="25"/>
      <c r="P474" s="26"/>
      <c r="Q474" s="22"/>
      <c r="R474" s="22"/>
      <c r="S474" s="22" t="str">
        <f t="shared" si="38"/>
        <v/>
      </c>
      <c r="T474" s="22" t="str">
        <f>IF(C474="","",IF(COUNTIF(tTQMReguliDoc[Cheie_regula],S474)&lt;&gt;1,"REGULA NECONFIGURATA",IF(COUNTIFS(tTQMReguliDoc[Cheie_regula],S474,tTQMReguliDoc[Stare],"Confirmata")=1,"Confirmata","De confirmat")))</f>
        <v/>
      </c>
      <c r="U474" s="22">
        <f>IF(OR(C474="",T474&lt;&gt;"Confirmata"),0,IF(COUNTIFS(tTQMReguliDoc[Cheie_regula],S474,tTQMReguliDoc[Aviz],"Da")=1,1,0))</f>
        <v>0</v>
      </c>
      <c r="V474" s="22">
        <f>IF(OR(C474="",T474&lt;&gt;"Confirmata"),0,IF(COUNTIFS(tTQMReguliDoc[Cheie_regula],S474,tTQMReguliDoc[Decl_conformitate],"Da")=1,1,0))</f>
        <v>0</v>
      </c>
      <c r="W474" s="22">
        <f>IF(OR(C474="",T474&lt;&gt;"Confirmata"),0,IF(COUNTIFS(tTQMReguliDoc[Cheie_regula],S474,tTQMReguliDoc[Decl_producator],"Da")=1,1,0))</f>
        <v>0</v>
      </c>
      <c r="X474" s="22">
        <f>IF(OR(C474="",T474&lt;&gt;"Confirmata"),0,IF(COUNTIFS(tTQMReguliDoc[Cheie_regula],S474,tTQMReguliDoc[Fise_tehnice],"Da")=1,1,0))</f>
        <v>0</v>
      </c>
      <c r="Y474" s="22" t="str">
        <f t="shared" si="39"/>
        <v/>
      </c>
      <c r="Z474" s="22"/>
      <c r="AA474" s="22"/>
    </row>
    <row r="475" spans="1:27" ht="15" customHeight="1">
      <c r="A475" s="30"/>
      <c r="B475" s="31"/>
      <c r="C475" s="30"/>
      <c r="D475" s="30"/>
      <c r="E475" s="30"/>
      <c r="F475" s="32" t="str">
        <f t="shared" si="35"/>
        <v/>
      </c>
      <c r="G475" s="30"/>
      <c r="H475" s="30"/>
      <c r="I475" s="30"/>
      <c r="J475" s="32" t="str">
        <f t="shared" si="36"/>
        <v/>
      </c>
      <c r="K475" s="30" t="str">
        <f t="shared" si="37"/>
        <v/>
      </c>
      <c r="L475" s="30"/>
      <c r="M475" s="30"/>
      <c r="N475" s="22"/>
      <c r="O475" s="25"/>
      <c r="P475" s="26"/>
      <c r="Q475" s="22"/>
      <c r="R475" s="22"/>
      <c r="S475" s="22" t="str">
        <f t="shared" si="38"/>
        <v/>
      </c>
      <c r="T475" s="22" t="str">
        <f>IF(C475="","",IF(COUNTIF(tTQMReguliDoc[Cheie_regula],S475)&lt;&gt;1,"REGULA NECONFIGURATA",IF(COUNTIFS(tTQMReguliDoc[Cheie_regula],S475,tTQMReguliDoc[Stare],"Confirmata")=1,"Confirmata","De confirmat")))</f>
        <v/>
      </c>
      <c r="U475" s="22">
        <f>IF(OR(C475="",T475&lt;&gt;"Confirmata"),0,IF(COUNTIFS(tTQMReguliDoc[Cheie_regula],S475,tTQMReguliDoc[Aviz],"Da")=1,1,0))</f>
        <v>0</v>
      </c>
      <c r="V475" s="22">
        <f>IF(OR(C475="",T475&lt;&gt;"Confirmata"),0,IF(COUNTIFS(tTQMReguliDoc[Cheie_regula],S475,tTQMReguliDoc[Decl_conformitate],"Da")=1,1,0))</f>
        <v>0</v>
      </c>
      <c r="W475" s="22">
        <f>IF(OR(C475="",T475&lt;&gt;"Confirmata"),0,IF(COUNTIFS(tTQMReguliDoc[Cheie_regula],S475,tTQMReguliDoc[Decl_producator],"Da")=1,1,0))</f>
        <v>0</v>
      </c>
      <c r="X475" s="22">
        <f>IF(OR(C475="",T475&lt;&gt;"Confirmata"),0,IF(COUNTIFS(tTQMReguliDoc[Cheie_regula],S475,tTQMReguliDoc[Fise_tehnice],"Da")=1,1,0))</f>
        <v>0</v>
      </c>
      <c r="Y475" s="22" t="str">
        <f t="shared" si="39"/>
        <v/>
      </c>
      <c r="Z475" s="22"/>
      <c r="AA475" s="22"/>
    </row>
    <row r="476" spans="1:27" ht="15" customHeight="1">
      <c r="A476" s="30"/>
      <c r="B476" s="31"/>
      <c r="C476" s="30"/>
      <c r="D476" s="30"/>
      <c r="E476" s="30"/>
      <c r="F476" s="32" t="str">
        <f t="shared" si="35"/>
        <v/>
      </c>
      <c r="G476" s="30"/>
      <c r="H476" s="30"/>
      <c r="I476" s="30"/>
      <c r="J476" s="32" t="str">
        <f t="shared" si="36"/>
        <v/>
      </c>
      <c r="K476" s="30" t="str">
        <f t="shared" si="37"/>
        <v/>
      </c>
      <c r="L476" s="30"/>
      <c r="M476" s="30"/>
      <c r="N476" s="22"/>
      <c r="O476" s="25"/>
      <c r="P476" s="26"/>
      <c r="Q476" s="22"/>
      <c r="R476" s="22"/>
      <c r="S476" s="22" t="str">
        <f t="shared" si="38"/>
        <v/>
      </c>
      <c r="T476" s="22" t="str">
        <f>IF(C476="","",IF(COUNTIF(tTQMReguliDoc[Cheie_regula],S476)&lt;&gt;1,"REGULA NECONFIGURATA",IF(COUNTIFS(tTQMReguliDoc[Cheie_regula],S476,tTQMReguliDoc[Stare],"Confirmata")=1,"Confirmata","De confirmat")))</f>
        <v/>
      </c>
      <c r="U476" s="22">
        <f>IF(OR(C476="",T476&lt;&gt;"Confirmata"),0,IF(COUNTIFS(tTQMReguliDoc[Cheie_regula],S476,tTQMReguliDoc[Aviz],"Da")=1,1,0))</f>
        <v>0</v>
      </c>
      <c r="V476" s="22">
        <f>IF(OR(C476="",T476&lt;&gt;"Confirmata"),0,IF(COUNTIFS(tTQMReguliDoc[Cheie_regula],S476,tTQMReguliDoc[Decl_conformitate],"Da")=1,1,0))</f>
        <v>0</v>
      </c>
      <c r="W476" s="22">
        <f>IF(OR(C476="",T476&lt;&gt;"Confirmata"),0,IF(COUNTIFS(tTQMReguliDoc[Cheie_regula],S476,tTQMReguliDoc[Decl_producator],"Da")=1,1,0))</f>
        <v>0</v>
      </c>
      <c r="X476" s="22">
        <f>IF(OR(C476="",T476&lt;&gt;"Confirmata"),0,IF(COUNTIFS(tTQMReguliDoc[Cheie_regula],S476,tTQMReguliDoc[Fise_tehnice],"Da")=1,1,0))</f>
        <v>0</v>
      </c>
      <c r="Y476" s="22" t="str">
        <f t="shared" si="39"/>
        <v/>
      </c>
      <c r="Z476" s="22"/>
      <c r="AA476" s="22"/>
    </row>
    <row r="477" spans="1:27" ht="15" customHeight="1">
      <c r="A477" s="30"/>
      <c r="B477" s="31"/>
      <c r="C477" s="30"/>
      <c r="D477" s="30"/>
      <c r="E477" s="30"/>
      <c r="F477" s="32" t="str">
        <f t="shared" si="35"/>
        <v/>
      </c>
      <c r="G477" s="30"/>
      <c r="H477" s="30"/>
      <c r="I477" s="30"/>
      <c r="J477" s="32" t="str">
        <f t="shared" si="36"/>
        <v/>
      </c>
      <c r="K477" s="30" t="str">
        <f t="shared" si="37"/>
        <v/>
      </c>
      <c r="L477" s="30"/>
      <c r="M477" s="30"/>
      <c r="N477" s="22"/>
      <c r="O477" s="25"/>
      <c r="P477" s="26"/>
      <c r="Q477" s="22"/>
      <c r="R477" s="22"/>
      <c r="S477" s="22" t="str">
        <f t="shared" si="38"/>
        <v/>
      </c>
      <c r="T477" s="22" t="str">
        <f>IF(C477="","",IF(COUNTIF(tTQMReguliDoc[Cheie_regula],S477)&lt;&gt;1,"REGULA NECONFIGURATA",IF(COUNTIFS(tTQMReguliDoc[Cheie_regula],S477,tTQMReguliDoc[Stare],"Confirmata")=1,"Confirmata","De confirmat")))</f>
        <v/>
      </c>
      <c r="U477" s="22">
        <f>IF(OR(C477="",T477&lt;&gt;"Confirmata"),0,IF(COUNTIFS(tTQMReguliDoc[Cheie_regula],S477,tTQMReguliDoc[Aviz],"Da")=1,1,0))</f>
        <v>0</v>
      </c>
      <c r="V477" s="22">
        <f>IF(OR(C477="",T477&lt;&gt;"Confirmata"),0,IF(COUNTIFS(tTQMReguliDoc[Cheie_regula],S477,tTQMReguliDoc[Decl_conformitate],"Da")=1,1,0))</f>
        <v>0</v>
      </c>
      <c r="W477" s="22">
        <f>IF(OR(C477="",T477&lt;&gt;"Confirmata"),0,IF(COUNTIFS(tTQMReguliDoc[Cheie_regula],S477,tTQMReguliDoc[Decl_producator],"Da")=1,1,0))</f>
        <v>0</v>
      </c>
      <c r="X477" s="22">
        <f>IF(OR(C477="",T477&lt;&gt;"Confirmata"),0,IF(COUNTIFS(tTQMReguliDoc[Cheie_regula],S477,tTQMReguliDoc[Fise_tehnice],"Da")=1,1,0))</f>
        <v>0</v>
      </c>
      <c r="Y477" s="22" t="str">
        <f t="shared" si="39"/>
        <v/>
      </c>
      <c r="Z477" s="22"/>
      <c r="AA477" s="22"/>
    </row>
    <row r="478" spans="1:27" ht="15" customHeight="1">
      <c r="A478" s="30"/>
      <c r="B478" s="31"/>
      <c r="C478" s="30"/>
      <c r="D478" s="30"/>
      <c r="E478" s="30"/>
      <c r="F478" s="32" t="str">
        <f t="shared" si="35"/>
        <v/>
      </c>
      <c r="G478" s="30"/>
      <c r="H478" s="30"/>
      <c r="I478" s="30"/>
      <c r="J478" s="32" t="str">
        <f t="shared" si="36"/>
        <v/>
      </c>
      <c r="K478" s="30" t="str">
        <f t="shared" si="37"/>
        <v/>
      </c>
      <c r="L478" s="30"/>
      <c r="M478" s="30"/>
      <c r="N478" s="22"/>
      <c r="O478" s="25"/>
      <c r="P478" s="26"/>
      <c r="Q478" s="22"/>
      <c r="R478" s="22"/>
      <c r="S478" s="22" t="str">
        <f t="shared" si="38"/>
        <v/>
      </c>
      <c r="T478" s="22" t="str">
        <f>IF(C478="","",IF(COUNTIF(tTQMReguliDoc[Cheie_regula],S478)&lt;&gt;1,"REGULA NECONFIGURATA",IF(COUNTIFS(tTQMReguliDoc[Cheie_regula],S478,tTQMReguliDoc[Stare],"Confirmata")=1,"Confirmata","De confirmat")))</f>
        <v/>
      </c>
      <c r="U478" s="22">
        <f>IF(OR(C478="",T478&lt;&gt;"Confirmata"),0,IF(COUNTIFS(tTQMReguliDoc[Cheie_regula],S478,tTQMReguliDoc[Aviz],"Da")=1,1,0))</f>
        <v>0</v>
      </c>
      <c r="V478" s="22">
        <f>IF(OR(C478="",T478&lt;&gt;"Confirmata"),0,IF(COUNTIFS(tTQMReguliDoc[Cheie_regula],S478,tTQMReguliDoc[Decl_conformitate],"Da")=1,1,0))</f>
        <v>0</v>
      </c>
      <c r="W478" s="22">
        <f>IF(OR(C478="",T478&lt;&gt;"Confirmata"),0,IF(COUNTIFS(tTQMReguliDoc[Cheie_regula],S478,tTQMReguliDoc[Decl_producator],"Da")=1,1,0))</f>
        <v>0</v>
      </c>
      <c r="X478" s="22">
        <f>IF(OR(C478="",T478&lt;&gt;"Confirmata"),0,IF(COUNTIFS(tTQMReguliDoc[Cheie_regula],S478,tTQMReguliDoc[Fise_tehnice],"Da")=1,1,0))</f>
        <v>0</v>
      </c>
      <c r="Y478" s="22" t="str">
        <f t="shared" si="39"/>
        <v/>
      </c>
      <c r="Z478" s="22"/>
      <c r="AA478" s="22"/>
    </row>
    <row r="479" spans="1:27" ht="15" customHeight="1">
      <c r="A479" s="30"/>
      <c r="B479" s="31"/>
      <c r="C479" s="30"/>
      <c r="D479" s="30"/>
      <c r="E479" s="30"/>
      <c r="F479" s="32" t="str">
        <f t="shared" si="35"/>
        <v/>
      </c>
      <c r="G479" s="30"/>
      <c r="H479" s="30"/>
      <c r="I479" s="30"/>
      <c r="J479" s="32" t="str">
        <f t="shared" si="36"/>
        <v/>
      </c>
      <c r="K479" s="30" t="str">
        <f t="shared" si="37"/>
        <v/>
      </c>
      <c r="L479" s="30"/>
      <c r="M479" s="30"/>
      <c r="N479" s="22"/>
      <c r="O479" s="25"/>
      <c r="P479" s="26"/>
      <c r="Q479" s="22"/>
      <c r="R479" s="22"/>
      <c r="S479" s="22" t="str">
        <f t="shared" si="38"/>
        <v/>
      </c>
      <c r="T479" s="22" t="str">
        <f>IF(C479="","",IF(COUNTIF(tTQMReguliDoc[Cheie_regula],S479)&lt;&gt;1,"REGULA NECONFIGURATA",IF(COUNTIFS(tTQMReguliDoc[Cheie_regula],S479,tTQMReguliDoc[Stare],"Confirmata")=1,"Confirmata","De confirmat")))</f>
        <v/>
      </c>
      <c r="U479" s="22">
        <f>IF(OR(C479="",T479&lt;&gt;"Confirmata"),0,IF(COUNTIFS(tTQMReguliDoc[Cheie_regula],S479,tTQMReguliDoc[Aviz],"Da")=1,1,0))</f>
        <v>0</v>
      </c>
      <c r="V479" s="22">
        <f>IF(OR(C479="",T479&lt;&gt;"Confirmata"),0,IF(COUNTIFS(tTQMReguliDoc[Cheie_regula],S479,tTQMReguliDoc[Decl_conformitate],"Da")=1,1,0))</f>
        <v>0</v>
      </c>
      <c r="W479" s="22">
        <f>IF(OR(C479="",T479&lt;&gt;"Confirmata"),0,IF(COUNTIFS(tTQMReguliDoc[Cheie_regula],S479,tTQMReguliDoc[Decl_producator],"Da")=1,1,0))</f>
        <v>0</v>
      </c>
      <c r="X479" s="22">
        <f>IF(OR(C479="",T479&lt;&gt;"Confirmata"),0,IF(COUNTIFS(tTQMReguliDoc[Cheie_regula],S479,tTQMReguliDoc[Fise_tehnice],"Da")=1,1,0))</f>
        <v>0</v>
      </c>
      <c r="Y479" s="22" t="str">
        <f t="shared" si="39"/>
        <v/>
      </c>
      <c r="Z479" s="22"/>
      <c r="AA479" s="22"/>
    </row>
    <row r="480" spans="1:27" ht="15" customHeight="1">
      <c r="A480" s="30"/>
      <c r="B480" s="31"/>
      <c r="C480" s="30"/>
      <c r="D480" s="30"/>
      <c r="E480" s="30"/>
      <c r="F480" s="32" t="str">
        <f t="shared" si="35"/>
        <v/>
      </c>
      <c r="G480" s="30"/>
      <c r="H480" s="30"/>
      <c r="I480" s="30"/>
      <c r="J480" s="32" t="str">
        <f t="shared" si="36"/>
        <v/>
      </c>
      <c r="K480" s="30" t="str">
        <f t="shared" si="37"/>
        <v/>
      </c>
      <c r="L480" s="30"/>
      <c r="M480" s="30"/>
      <c r="N480" s="22"/>
      <c r="O480" s="25"/>
      <c r="P480" s="26"/>
      <c r="Q480" s="22"/>
      <c r="R480" s="22"/>
      <c r="S480" s="22" t="str">
        <f t="shared" si="38"/>
        <v/>
      </c>
      <c r="T480" s="22" t="str">
        <f>IF(C480="","",IF(COUNTIF(tTQMReguliDoc[Cheie_regula],S480)&lt;&gt;1,"REGULA NECONFIGURATA",IF(COUNTIFS(tTQMReguliDoc[Cheie_regula],S480,tTQMReguliDoc[Stare],"Confirmata")=1,"Confirmata","De confirmat")))</f>
        <v/>
      </c>
      <c r="U480" s="22">
        <f>IF(OR(C480="",T480&lt;&gt;"Confirmata"),0,IF(COUNTIFS(tTQMReguliDoc[Cheie_regula],S480,tTQMReguliDoc[Aviz],"Da")=1,1,0))</f>
        <v>0</v>
      </c>
      <c r="V480" s="22">
        <f>IF(OR(C480="",T480&lt;&gt;"Confirmata"),0,IF(COUNTIFS(tTQMReguliDoc[Cheie_regula],S480,tTQMReguliDoc[Decl_conformitate],"Da")=1,1,0))</f>
        <v>0</v>
      </c>
      <c r="W480" s="22">
        <f>IF(OR(C480="",T480&lt;&gt;"Confirmata"),0,IF(COUNTIFS(tTQMReguliDoc[Cheie_regula],S480,tTQMReguliDoc[Decl_producator],"Da")=1,1,0))</f>
        <v>0</v>
      </c>
      <c r="X480" s="22">
        <f>IF(OR(C480="",T480&lt;&gt;"Confirmata"),0,IF(COUNTIFS(tTQMReguliDoc[Cheie_regula],S480,tTQMReguliDoc[Fise_tehnice],"Da")=1,1,0))</f>
        <v>0</v>
      </c>
      <c r="Y480" s="22" t="str">
        <f t="shared" si="39"/>
        <v/>
      </c>
      <c r="Z480" s="22"/>
      <c r="AA480" s="22"/>
    </row>
    <row r="481" spans="1:27" ht="15" customHeight="1">
      <c r="A481" s="30"/>
      <c r="B481" s="31"/>
      <c r="C481" s="30"/>
      <c r="D481" s="30"/>
      <c r="E481" s="30"/>
      <c r="F481" s="32" t="str">
        <f t="shared" si="35"/>
        <v/>
      </c>
      <c r="G481" s="30"/>
      <c r="H481" s="30"/>
      <c r="I481" s="30"/>
      <c r="J481" s="32" t="str">
        <f t="shared" si="36"/>
        <v/>
      </c>
      <c r="K481" s="30" t="str">
        <f t="shared" si="37"/>
        <v/>
      </c>
      <c r="L481" s="30"/>
      <c r="M481" s="30"/>
      <c r="N481" s="22"/>
      <c r="O481" s="25"/>
      <c r="P481" s="26"/>
      <c r="Q481" s="22"/>
      <c r="R481" s="22"/>
      <c r="S481" s="22" t="str">
        <f t="shared" si="38"/>
        <v/>
      </c>
      <c r="T481" s="22" t="str">
        <f>IF(C481="","",IF(COUNTIF(tTQMReguliDoc[Cheie_regula],S481)&lt;&gt;1,"REGULA NECONFIGURATA",IF(COUNTIFS(tTQMReguliDoc[Cheie_regula],S481,tTQMReguliDoc[Stare],"Confirmata")=1,"Confirmata","De confirmat")))</f>
        <v/>
      </c>
      <c r="U481" s="22">
        <f>IF(OR(C481="",T481&lt;&gt;"Confirmata"),0,IF(COUNTIFS(tTQMReguliDoc[Cheie_regula],S481,tTQMReguliDoc[Aviz],"Da")=1,1,0))</f>
        <v>0</v>
      </c>
      <c r="V481" s="22">
        <f>IF(OR(C481="",T481&lt;&gt;"Confirmata"),0,IF(COUNTIFS(tTQMReguliDoc[Cheie_regula],S481,tTQMReguliDoc[Decl_conformitate],"Da")=1,1,0))</f>
        <v>0</v>
      </c>
      <c r="W481" s="22">
        <f>IF(OR(C481="",T481&lt;&gt;"Confirmata"),0,IF(COUNTIFS(tTQMReguliDoc[Cheie_regula],S481,tTQMReguliDoc[Decl_producator],"Da")=1,1,0))</f>
        <v>0</v>
      </c>
      <c r="X481" s="22">
        <f>IF(OR(C481="",T481&lt;&gt;"Confirmata"),0,IF(COUNTIFS(tTQMReguliDoc[Cheie_regula],S481,tTQMReguliDoc[Fise_tehnice],"Da")=1,1,0))</f>
        <v>0</v>
      </c>
      <c r="Y481" s="22" t="str">
        <f t="shared" si="39"/>
        <v/>
      </c>
      <c r="Z481" s="22"/>
      <c r="AA481" s="22"/>
    </row>
    <row r="482" spans="1:27" ht="15" customHeight="1">
      <c r="A482" s="30"/>
      <c r="B482" s="31"/>
      <c r="C482" s="30"/>
      <c r="D482" s="30"/>
      <c r="E482" s="30"/>
      <c r="F482" s="32" t="str">
        <f t="shared" si="35"/>
        <v/>
      </c>
      <c r="G482" s="30"/>
      <c r="H482" s="30"/>
      <c r="I482" s="30"/>
      <c r="J482" s="32" t="str">
        <f t="shared" si="36"/>
        <v/>
      </c>
      <c r="K482" s="30" t="str">
        <f t="shared" si="37"/>
        <v/>
      </c>
      <c r="L482" s="30"/>
      <c r="M482" s="30"/>
      <c r="N482" s="22"/>
      <c r="O482" s="25"/>
      <c r="P482" s="26"/>
      <c r="Q482" s="22"/>
      <c r="R482" s="22"/>
      <c r="S482" s="22" t="str">
        <f t="shared" si="38"/>
        <v/>
      </c>
      <c r="T482" s="22" t="str">
        <f>IF(C482="","",IF(COUNTIF(tTQMReguliDoc[Cheie_regula],S482)&lt;&gt;1,"REGULA NECONFIGURATA",IF(COUNTIFS(tTQMReguliDoc[Cheie_regula],S482,tTQMReguliDoc[Stare],"Confirmata")=1,"Confirmata","De confirmat")))</f>
        <v/>
      </c>
      <c r="U482" s="22">
        <f>IF(OR(C482="",T482&lt;&gt;"Confirmata"),0,IF(COUNTIFS(tTQMReguliDoc[Cheie_regula],S482,tTQMReguliDoc[Aviz],"Da")=1,1,0))</f>
        <v>0</v>
      </c>
      <c r="V482" s="22">
        <f>IF(OR(C482="",T482&lt;&gt;"Confirmata"),0,IF(COUNTIFS(tTQMReguliDoc[Cheie_regula],S482,tTQMReguliDoc[Decl_conformitate],"Da")=1,1,0))</f>
        <v>0</v>
      </c>
      <c r="W482" s="22">
        <f>IF(OR(C482="",T482&lt;&gt;"Confirmata"),0,IF(COUNTIFS(tTQMReguliDoc[Cheie_regula],S482,tTQMReguliDoc[Decl_producator],"Da")=1,1,0))</f>
        <v>0</v>
      </c>
      <c r="X482" s="22">
        <f>IF(OR(C482="",T482&lt;&gt;"Confirmata"),0,IF(COUNTIFS(tTQMReguliDoc[Cheie_regula],S482,tTQMReguliDoc[Fise_tehnice],"Da")=1,1,0))</f>
        <v>0</v>
      </c>
      <c r="Y482" s="22" t="str">
        <f t="shared" si="39"/>
        <v/>
      </c>
      <c r="Z482" s="22"/>
      <c r="AA482" s="22"/>
    </row>
    <row r="483" spans="1:27" ht="15" customHeight="1">
      <c r="A483" s="30"/>
      <c r="B483" s="31"/>
      <c r="C483" s="30"/>
      <c r="D483" s="30"/>
      <c r="E483" s="30"/>
      <c r="F483" s="32" t="str">
        <f t="shared" si="35"/>
        <v/>
      </c>
      <c r="G483" s="30"/>
      <c r="H483" s="30"/>
      <c r="I483" s="30"/>
      <c r="J483" s="32" t="str">
        <f t="shared" si="36"/>
        <v/>
      </c>
      <c r="K483" s="30" t="str">
        <f t="shared" si="37"/>
        <v/>
      </c>
      <c r="L483" s="30"/>
      <c r="M483" s="30"/>
      <c r="N483" s="22"/>
      <c r="O483" s="25"/>
      <c r="P483" s="26"/>
      <c r="Q483" s="22"/>
      <c r="R483" s="22"/>
      <c r="S483" s="22" t="str">
        <f t="shared" si="38"/>
        <v/>
      </c>
      <c r="T483" s="22" t="str">
        <f>IF(C483="","",IF(COUNTIF(tTQMReguliDoc[Cheie_regula],S483)&lt;&gt;1,"REGULA NECONFIGURATA",IF(COUNTIFS(tTQMReguliDoc[Cheie_regula],S483,tTQMReguliDoc[Stare],"Confirmata")=1,"Confirmata","De confirmat")))</f>
        <v/>
      </c>
      <c r="U483" s="22">
        <f>IF(OR(C483="",T483&lt;&gt;"Confirmata"),0,IF(COUNTIFS(tTQMReguliDoc[Cheie_regula],S483,tTQMReguliDoc[Aviz],"Da")=1,1,0))</f>
        <v>0</v>
      </c>
      <c r="V483" s="22">
        <f>IF(OR(C483="",T483&lt;&gt;"Confirmata"),0,IF(COUNTIFS(tTQMReguliDoc[Cheie_regula],S483,tTQMReguliDoc[Decl_conformitate],"Da")=1,1,0))</f>
        <v>0</v>
      </c>
      <c r="W483" s="22">
        <f>IF(OR(C483="",T483&lt;&gt;"Confirmata"),0,IF(COUNTIFS(tTQMReguliDoc[Cheie_regula],S483,tTQMReguliDoc[Decl_producator],"Da")=1,1,0))</f>
        <v>0</v>
      </c>
      <c r="X483" s="22">
        <f>IF(OR(C483="",T483&lt;&gt;"Confirmata"),0,IF(COUNTIFS(tTQMReguliDoc[Cheie_regula],S483,tTQMReguliDoc[Fise_tehnice],"Da")=1,1,0))</f>
        <v>0</v>
      </c>
      <c r="Y483" s="22" t="str">
        <f t="shared" si="39"/>
        <v/>
      </c>
      <c r="Z483" s="22"/>
      <c r="AA483" s="22"/>
    </row>
    <row r="484" spans="1:27" ht="15" customHeight="1">
      <c r="A484" s="30"/>
      <c r="B484" s="31"/>
      <c r="C484" s="30"/>
      <c r="D484" s="30"/>
      <c r="E484" s="30"/>
      <c r="F484" s="32" t="str">
        <f t="shared" si="35"/>
        <v/>
      </c>
      <c r="G484" s="30"/>
      <c r="H484" s="30"/>
      <c r="I484" s="30"/>
      <c r="J484" s="32" t="str">
        <f t="shared" si="36"/>
        <v/>
      </c>
      <c r="K484" s="30" t="str">
        <f t="shared" si="37"/>
        <v/>
      </c>
      <c r="L484" s="30"/>
      <c r="M484" s="30"/>
      <c r="N484" s="22"/>
      <c r="O484" s="25"/>
      <c r="P484" s="26"/>
      <c r="Q484" s="22"/>
      <c r="R484" s="22"/>
      <c r="S484" s="22" t="str">
        <f t="shared" si="38"/>
        <v/>
      </c>
      <c r="T484" s="22" t="str">
        <f>IF(C484="","",IF(COUNTIF(tTQMReguliDoc[Cheie_regula],S484)&lt;&gt;1,"REGULA NECONFIGURATA",IF(COUNTIFS(tTQMReguliDoc[Cheie_regula],S484,tTQMReguliDoc[Stare],"Confirmata")=1,"Confirmata","De confirmat")))</f>
        <v/>
      </c>
      <c r="U484" s="22">
        <f>IF(OR(C484="",T484&lt;&gt;"Confirmata"),0,IF(COUNTIFS(tTQMReguliDoc[Cheie_regula],S484,tTQMReguliDoc[Aviz],"Da")=1,1,0))</f>
        <v>0</v>
      </c>
      <c r="V484" s="22">
        <f>IF(OR(C484="",T484&lt;&gt;"Confirmata"),0,IF(COUNTIFS(tTQMReguliDoc[Cheie_regula],S484,tTQMReguliDoc[Decl_conformitate],"Da")=1,1,0))</f>
        <v>0</v>
      </c>
      <c r="W484" s="22">
        <f>IF(OR(C484="",T484&lt;&gt;"Confirmata"),0,IF(COUNTIFS(tTQMReguliDoc[Cheie_regula],S484,tTQMReguliDoc[Decl_producator],"Da")=1,1,0))</f>
        <v>0</v>
      </c>
      <c r="X484" s="22">
        <f>IF(OR(C484="",T484&lt;&gt;"Confirmata"),0,IF(COUNTIFS(tTQMReguliDoc[Cheie_regula],S484,tTQMReguliDoc[Fise_tehnice],"Da")=1,1,0))</f>
        <v>0</v>
      </c>
      <c r="Y484" s="22" t="str">
        <f t="shared" si="39"/>
        <v/>
      </c>
      <c r="Z484" s="22"/>
      <c r="AA484" s="22"/>
    </row>
    <row r="485" spans="1:27" ht="15" customHeight="1">
      <c r="A485" s="30"/>
      <c r="B485" s="31"/>
      <c r="C485" s="30"/>
      <c r="D485" s="30"/>
      <c r="E485" s="30"/>
      <c r="F485" s="32" t="str">
        <f t="shared" si="35"/>
        <v/>
      </c>
      <c r="G485" s="30"/>
      <c r="H485" s="30"/>
      <c r="I485" s="30"/>
      <c r="J485" s="32" t="str">
        <f t="shared" si="36"/>
        <v/>
      </c>
      <c r="K485" s="30" t="str">
        <f t="shared" si="37"/>
        <v/>
      </c>
      <c r="L485" s="30"/>
      <c r="M485" s="30"/>
      <c r="N485" s="22"/>
      <c r="O485" s="25"/>
      <c r="P485" s="26"/>
      <c r="Q485" s="22"/>
      <c r="R485" s="22"/>
      <c r="S485" s="22" t="str">
        <f t="shared" si="38"/>
        <v/>
      </c>
      <c r="T485" s="22" t="str">
        <f>IF(C485="","",IF(COUNTIF(tTQMReguliDoc[Cheie_regula],S485)&lt;&gt;1,"REGULA NECONFIGURATA",IF(COUNTIFS(tTQMReguliDoc[Cheie_regula],S485,tTQMReguliDoc[Stare],"Confirmata")=1,"Confirmata","De confirmat")))</f>
        <v/>
      </c>
      <c r="U485" s="22">
        <f>IF(OR(C485="",T485&lt;&gt;"Confirmata"),0,IF(COUNTIFS(tTQMReguliDoc[Cheie_regula],S485,tTQMReguliDoc[Aviz],"Da")=1,1,0))</f>
        <v>0</v>
      </c>
      <c r="V485" s="22">
        <f>IF(OR(C485="",T485&lt;&gt;"Confirmata"),0,IF(COUNTIFS(tTQMReguliDoc[Cheie_regula],S485,tTQMReguliDoc[Decl_conformitate],"Da")=1,1,0))</f>
        <v>0</v>
      </c>
      <c r="W485" s="22">
        <f>IF(OR(C485="",T485&lt;&gt;"Confirmata"),0,IF(COUNTIFS(tTQMReguliDoc[Cheie_regula],S485,tTQMReguliDoc[Decl_producator],"Da")=1,1,0))</f>
        <v>0</v>
      </c>
      <c r="X485" s="22">
        <f>IF(OR(C485="",T485&lt;&gt;"Confirmata"),0,IF(COUNTIFS(tTQMReguliDoc[Cheie_regula],S485,tTQMReguliDoc[Fise_tehnice],"Da")=1,1,0))</f>
        <v>0</v>
      </c>
      <c r="Y485" s="22" t="str">
        <f t="shared" si="39"/>
        <v/>
      </c>
      <c r="Z485" s="22"/>
      <c r="AA485" s="22"/>
    </row>
    <row r="486" spans="1:27" ht="15" customHeight="1">
      <c r="A486" s="30"/>
      <c r="B486" s="31"/>
      <c r="C486" s="30"/>
      <c r="D486" s="30"/>
      <c r="E486" s="30"/>
      <c r="F486" s="32" t="str">
        <f t="shared" si="35"/>
        <v/>
      </c>
      <c r="G486" s="30"/>
      <c r="H486" s="30"/>
      <c r="I486" s="30"/>
      <c r="J486" s="32" t="str">
        <f t="shared" si="36"/>
        <v/>
      </c>
      <c r="K486" s="30" t="str">
        <f t="shared" si="37"/>
        <v/>
      </c>
      <c r="L486" s="30"/>
      <c r="M486" s="30"/>
      <c r="N486" s="22"/>
      <c r="O486" s="25"/>
      <c r="P486" s="26"/>
      <c r="Q486" s="22"/>
      <c r="R486" s="22"/>
      <c r="S486" s="22" t="str">
        <f t="shared" si="38"/>
        <v/>
      </c>
      <c r="T486" s="22" t="str">
        <f>IF(C486="","",IF(COUNTIF(tTQMReguliDoc[Cheie_regula],S486)&lt;&gt;1,"REGULA NECONFIGURATA",IF(COUNTIFS(tTQMReguliDoc[Cheie_regula],S486,tTQMReguliDoc[Stare],"Confirmata")=1,"Confirmata","De confirmat")))</f>
        <v/>
      </c>
      <c r="U486" s="22">
        <f>IF(OR(C486="",T486&lt;&gt;"Confirmata"),0,IF(COUNTIFS(tTQMReguliDoc[Cheie_regula],S486,tTQMReguliDoc[Aviz],"Da")=1,1,0))</f>
        <v>0</v>
      </c>
      <c r="V486" s="22">
        <f>IF(OR(C486="",T486&lt;&gt;"Confirmata"),0,IF(COUNTIFS(tTQMReguliDoc[Cheie_regula],S486,tTQMReguliDoc[Decl_conformitate],"Da")=1,1,0))</f>
        <v>0</v>
      </c>
      <c r="W486" s="22">
        <f>IF(OR(C486="",T486&lt;&gt;"Confirmata"),0,IF(COUNTIFS(tTQMReguliDoc[Cheie_regula],S486,tTQMReguliDoc[Decl_producator],"Da")=1,1,0))</f>
        <v>0</v>
      </c>
      <c r="X486" s="22">
        <f>IF(OR(C486="",T486&lt;&gt;"Confirmata"),0,IF(COUNTIFS(tTQMReguliDoc[Cheie_regula],S486,tTQMReguliDoc[Fise_tehnice],"Da")=1,1,0))</f>
        <v>0</v>
      </c>
      <c r="Y486" s="22" t="str">
        <f t="shared" si="39"/>
        <v/>
      </c>
      <c r="Z486" s="22"/>
      <c r="AA486" s="22"/>
    </row>
    <row r="487" spans="1:27" ht="15" customHeight="1">
      <c r="A487" s="30"/>
      <c r="B487" s="31"/>
      <c r="C487" s="30"/>
      <c r="D487" s="30"/>
      <c r="E487" s="30"/>
      <c r="F487" s="32" t="str">
        <f t="shared" si="35"/>
        <v/>
      </c>
      <c r="G487" s="30"/>
      <c r="H487" s="30"/>
      <c r="I487" s="30"/>
      <c r="J487" s="32" t="str">
        <f t="shared" si="36"/>
        <v/>
      </c>
      <c r="K487" s="30" t="str">
        <f t="shared" si="37"/>
        <v/>
      </c>
      <c r="L487" s="30"/>
      <c r="M487" s="30"/>
      <c r="N487" s="22"/>
      <c r="O487" s="25"/>
      <c r="P487" s="26"/>
      <c r="Q487" s="22"/>
      <c r="R487" s="22"/>
      <c r="S487" s="22" t="str">
        <f t="shared" si="38"/>
        <v/>
      </c>
      <c r="T487" s="22" t="str">
        <f>IF(C487="","",IF(COUNTIF(tTQMReguliDoc[Cheie_regula],S487)&lt;&gt;1,"REGULA NECONFIGURATA",IF(COUNTIFS(tTQMReguliDoc[Cheie_regula],S487,tTQMReguliDoc[Stare],"Confirmata")=1,"Confirmata","De confirmat")))</f>
        <v/>
      </c>
      <c r="U487" s="22">
        <f>IF(OR(C487="",T487&lt;&gt;"Confirmata"),0,IF(COUNTIFS(tTQMReguliDoc[Cheie_regula],S487,tTQMReguliDoc[Aviz],"Da")=1,1,0))</f>
        <v>0</v>
      </c>
      <c r="V487" s="22">
        <f>IF(OR(C487="",T487&lt;&gt;"Confirmata"),0,IF(COUNTIFS(tTQMReguliDoc[Cheie_regula],S487,tTQMReguliDoc[Decl_conformitate],"Da")=1,1,0))</f>
        <v>0</v>
      </c>
      <c r="W487" s="22">
        <f>IF(OR(C487="",T487&lt;&gt;"Confirmata"),0,IF(COUNTIFS(tTQMReguliDoc[Cheie_regula],S487,tTQMReguliDoc[Decl_producator],"Da")=1,1,0))</f>
        <v>0</v>
      </c>
      <c r="X487" s="22">
        <f>IF(OR(C487="",T487&lt;&gt;"Confirmata"),0,IF(COUNTIFS(tTQMReguliDoc[Cheie_regula],S487,tTQMReguliDoc[Fise_tehnice],"Da")=1,1,0))</f>
        <v>0</v>
      </c>
      <c r="Y487" s="22" t="str">
        <f t="shared" si="39"/>
        <v/>
      </c>
      <c r="Z487" s="22"/>
      <c r="AA487" s="22"/>
    </row>
    <row r="488" spans="1:27" ht="15" customHeight="1">
      <c r="A488" s="30"/>
      <c r="B488" s="31"/>
      <c r="C488" s="30"/>
      <c r="D488" s="30"/>
      <c r="E488" s="30"/>
      <c r="F488" s="32" t="str">
        <f t="shared" si="35"/>
        <v/>
      </c>
      <c r="G488" s="30"/>
      <c r="H488" s="30"/>
      <c r="I488" s="30"/>
      <c r="J488" s="32" t="str">
        <f t="shared" si="36"/>
        <v/>
      </c>
      <c r="K488" s="30" t="str">
        <f t="shared" si="37"/>
        <v/>
      </c>
      <c r="L488" s="30"/>
      <c r="M488" s="30"/>
      <c r="N488" s="22"/>
      <c r="O488" s="25"/>
      <c r="P488" s="26"/>
      <c r="Q488" s="22"/>
      <c r="R488" s="22"/>
      <c r="S488" s="22" t="str">
        <f t="shared" si="38"/>
        <v/>
      </c>
      <c r="T488" s="22" t="str">
        <f>IF(C488="","",IF(COUNTIF(tTQMReguliDoc[Cheie_regula],S488)&lt;&gt;1,"REGULA NECONFIGURATA",IF(COUNTIFS(tTQMReguliDoc[Cheie_regula],S488,tTQMReguliDoc[Stare],"Confirmata")=1,"Confirmata","De confirmat")))</f>
        <v/>
      </c>
      <c r="U488" s="22">
        <f>IF(OR(C488="",T488&lt;&gt;"Confirmata"),0,IF(COUNTIFS(tTQMReguliDoc[Cheie_regula],S488,tTQMReguliDoc[Aviz],"Da")=1,1,0))</f>
        <v>0</v>
      </c>
      <c r="V488" s="22">
        <f>IF(OR(C488="",T488&lt;&gt;"Confirmata"),0,IF(COUNTIFS(tTQMReguliDoc[Cheie_regula],S488,tTQMReguliDoc[Decl_conformitate],"Da")=1,1,0))</f>
        <v>0</v>
      </c>
      <c r="W488" s="22">
        <f>IF(OR(C488="",T488&lt;&gt;"Confirmata"),0,IF(COUNTIFS(tTQMReguliDoc[Cheie_regula],S488,tTQMReguliDoc[Decl_producator],"Da")=1,1,0))</f>
        <v>0</v>
      </c>
      <c r="X488" s="22">
        <f>IF(OR(C488="",T488&lt;&gt;"Confirmata"),0,IF(COUNTIFS(tTQMReguliDoc[Cheie_regula],S488,tTQMReguliDoc[Fise_tehnice],"Da")=1,1,0))</f>
        <v>0</v>
      </c>
      <c r="Y488" s="22" t="str">
        <f t="shared" si="39"/>
        <v/>
      </c>
      <c r="Z488" s="22"/>
      <c r="AA488" s="22"/>
    </row>
    <row r="489" spans="1:27" ht="15" customHeight="1">
      <c r="A489" s="30"/>
      <c r="B489" s="31"/>
      <c r="C489" s="30"/>
      <c r="D489" s="30"/>
      <c r="E489" s="30"/>
      <c r="F489" s="32" t="str">
        <f t="shared" si="35"/>
        <v/>
      </c>
      <c r="G489" s="30"/>
      <c r="H489" s="30"/>
      <c r="I489" s="30"/>
      <c r="J489" s="32" t="str">
        <f t="shared" si="36"/>
        <v/>
      </c>
      <c r="K489" s="30" t="str">
        <f t="shared" si="37"/>
        <v/>
      </c>
      <c r="L489" s="30"/>
      <c r="M489" s="30"/>
      <c r="N489" s="22"/>
      <c r="O489" s="25"/>
      <c r="P489" s="26"/>
      <c r="Q489" s="22"/>
      <c r="R489" s="22"/>
      <c r="S489" s="22" t="str">
        <f t="shared" si="38"/>
        <v/>
      </c>
      <c r="T489" s="22" t="str">
        <f>IF(C489="","",IF(COUNTIF(tTQMReguliDoc[Cheie_regula],S489)&lt;&gt;1,"REGULA NECONFIGURATA",IF(COUNTIFS(tTQMReguliDoc[Cheie_regula],S489,tTQMReguliDoc[Stare],"Confirmata")=1,"Confirmata","De confirmat")))</f>
        <v/>
      </c>
      <c r="U489" s="22">
        <f>IF(OR(C489="",T489&lt;&gt;"Confirmata"),0,IF(COUNTIFS(tTQMReguliDoc[Cheie_regula],S489,tTQMReguliDoc[Aviz],"Da")=1,1,0))</f>
        <v>0</v>
      </c>
      <c r="V489" s="22">
        <f>IF(OR(C489="",T489&lt;&gt;"Confirmata"),0,IF(COUNTIFS(tTQMReguliDoc[Cheie_regula],S489,tTQMReguliDoc[Decl_conformitate],"Da")=1,1,0))</f>
        <v>0</v>
      </c>
      <c r="W489" s="22">
        <f>IF(OR(C489="",T489&lt;&gt;"Confirmata"),0,IF(COUNTIFS(tTQMReguliDoc[Cheie_regula],S489,tTQMReguliDoc[Decl_producator],"Da")=1,1,0))</f>
        <v>0</v>
      </c>
      <c r="X489" s="22">
        <f>IF(OR(C489="",T489&lt;&gt;"Confirmata"),0,IF(COUNTIFS(tTQMReguliDoc[Cheie_regula],S489,tTQMReguliDoc[Fise_tehnice],"Da")=1,1,0))</f>
        <v>0</v>
      </c>
      <c r="Y489" s="22" t="str">
        <f t="shared" si="39"/>
        <v/>
      </c>
      <c r="Z489" s="22"/>
      <c r="AA489" s="22"/>
    </row>
    <row r="490" spans="1:27" ht="15" customHeight="1">
      <c r="A490" s="30"/>
      <c r="B490" s="31"/>
      <c r="C490" s="30"/>
      <c r="D490" s="30"/>
      <c r="E490" s="30"/>
      <c r="F490" s="32" t="str">
        <f t="shared" si="35"/>
        <v/>
      </c>
      <c r="G490" s="30"/>
      <c r="H490" s="30"/>
      <c r="I490" s="30"/>
      <c r="J490" s="32" t="str">
        <f t="shared" si="36"/>
        <v/>
      </c>
      <c r="K490" s="30" t="str">
        <f t="shared" si="37"/>
        <v/>
      </c>
      <c r="L490" s="30"/>
      <c r="M490" s="30"/>
      <c r="N490" s="22"/>
      <c r="O490" s="25"/>
      <c r="P490" s="26"/>
      <c r="Q490" s="22"/>
      <c r="R490" s="22"/>
      <c r="S490" s="22" t="str">
        <f t="shared" si="38"/>
        <v/>
      </c>
      <c r="T490" s="22" t="str">
        <f>IF(C490="","",IF(COUNTIF(tTQMReguliDoc[Cheie_regula],S490)&lt;&gt;1,"REGULA NECONFIGURATA",IF(COUNTIFS(tTQMReguliDoc[Cheie_regula],S490,tTQMReguliDoc[Stare],"Confirmata")=1,"Confirmata","De confirmat")))</f>
        <v/>
      </c>
      <c r="U490" s="22">
        <f>IF(OR(C490="",T490&lt;&gt;"Confirmata"),0,IF(COUNTIFS(tTQMReguliDoc[Cheie_regula],S490,tTQMReguliDoc[Aviz],"Da")=1,1,0))</f>
        <v>0</v>
      </c>
      <c r="V490" s="22">
        <f>IF(OR(C490="",T490&lt;&gt;"Confirmata"),0,IF(COUNTIFS(tTQMReguliDoc[Cheie_regula],S490,tTQMReguliDoc[Decl_conformitate],"Da")=1,1,0))</f>
        <v>0</v>
      </c>
      <c r="W490" s="22">
        <f>IF(OR(C490="",T490&lt;&gt;"Confirmata"),0,IF(COUNTIFS(tTQMReguliDoc[Cheie_regula],S490,tTQMReguliDoc[Decl_producator],"Da")=1,1,0))</f>
        <v>0</v>
      </c>
      <c r="X490" s="22">
        <f>IF(OR(C490="",T490&lt;&gt;"Confirmata"),0,IF(COUNTIFS(tTQMReguliDoc[Cheie_regula],S490,tTQMReguliDoc[Fise_tehnice],"Da")=1,1,0))</f>
        <v>0</v>
      </c>
      <c r="Y490" s="22" t="str">
        <f t="shared" si="39"/>
        <v/>
      </c>
      <c r="Z490" s="22"/>
      <c r="AA490" s="22"/>
    </row>
    <row r="491" spans="1:27" ht="15" customHeight="1">
      <c r="A491" s="30"/>
      <c r="B491" s="31"/>
      <c r="C491" s="30"/>
      <c r="D491" s="30"/>
      <c r="E491" s="30"/>
      <c r="F491" s="32" t="str">
        <f t="shared" si="35"/>
        <v/>
      </c>
      <c r="G491" s="30"/>
      <c r="H491" s="30"/>
      <c r="I491" s="30"/>
      <c r="J491" s="32" t="str">
        <f t="shared" si="36"/>
        <v/>
      </c>
      <c r="K491" s="30" t="str">
        <f t="shared" si="37"/>
        <v/>
      </c>
      <c r="L491" s="30"/>
      <c r="M491" s="30"/>
      <c r="N491" s="22"/>
      <c r="O491" s="25"/>
      <c r="P491" s="26"/>
      <c r="Q491" s="22"/>
      <c r="R491" s="22"/>
      <c r="S491" s="22" t="str">
        <f t="shared" si="38"/>
        <v/>
      </c>
      <c r="T491" s="22" t="str">
        <f>IF(C491="","",IF(COUNTIF(tTQMReguliDoc[Cheie_regula],S491)&lt;&gt;1,"REGULA NECONFIGURATA",IF(COUNTIFS(tTQMReguliDoc[Cheie_regula],S491,tTQMReguliDoc[Stare],"Confirmata")=1,"Confirmata","De confirmat")))</f>
        <v/>
      </c>
      <c r="U491" s="22">
        <f>IF(OR(C491="",T491&lt;&gt;"Confirmata"),0,IF(COUNTIFS(tTQMReguliDoc[Cheie_regula],S491,tTQMReguliDoc[Aviz],"Da")=1,1,0))</f>
        <v>0</v>
      </c>
      <c r="V491" s="22">
        <f>IF(OR(C491="",T491&lt;&gt;"Confirmata"),0,IF(COUNTIFS(tTQMReguliDoc[Cheie_regula],S491,tTQMReguliDoc[Decl_conformitate],"Da")=1,1,0))</f>
        <v>0</v>
      </c>
      <c r="W491" s="22">
        <f>IF(OR(C491="",T491&lt;&gt;"Confirmata"),0,IF(COUNTIFS(tTQMReguliDoc[Cheie_regula],S491,tTQMReguliDoc[Decl_producator],"Da")=1,1,0))</f>
        <v>0</v>
      </c>
      <c r="X491" s="22">
        <f>IF(OR(C491="",T491&lt;&gt;"Confirmata"),0,IF(COUNTIFS(tTQMReguliDoc[Cheie_regula],S491,tTQMReguliDoc[Fise_tehnice],"Da")=1,1,0))</f>
        <v>0</v>
      </c>
      <c r="Y491" s="22" t="str">
        <f t="shared" si="39"/>
        <v/>
      </c>
      <c r="Z491" s="22"/>
      <c r="AA491" s="22"/>
    </row>
    <row r="492" spans="1:27" ht="15" customHeight="1">
      <c r="A492" s="30"/>
      <c r="B492" s="31"/>
      <c r="C492" s="30"/>
      <c r="D492" s="30"/>
      <c r="E492" s="30"/>
      <c r="F492" s="32" t="str">
        <f t="shared" si="35"/>
        <v/>
      </c>
      <c r="G492" s="30"/>
      <c r="H492" s="30"/>
      <c r="I492" s="30"/>
      <c r="J492" s="32" t="str">
        <f t="shared" si="36"/>
        <v/>
      </c>
      <c r="K492" s="30" t="str">
        <f t="shared" si="37"/>
        <v/>
      </c>
      <c r="L492" s="30"/>
      <c r="M492" s="30"/>
      <c r="N492" s="22"/>
      <c r="O492" s="25"/>
      <c r="P492" s="26"/>
      <c r="Q492" s="22"/>
      <c r="R492" s="22"/>
      <c r="S492" s="22" t="str">
        <f t="shared" si="38"/>
        <v/>
      </c>
      <c r="T492" s="22" t="str">
        <f>IF(C492="","",IF(COUNTIF(tTQMReguliDoc[Cheie_regula],S492)&lt;&gt;1,"REGULA NECONFIGURATA",IF(COUNTIFS(tTQMReguliDoc[Cheie_regula],S492,tTQMReguliDoc[Stare],"Confirmata")=1,"Confirmata","De confirmat")))</f>
        <v/>
      </c>
      <c r="U492" s="22">
        <f>IF(OR(C492="",T492&lt;&gt;"Confirmata"),0,IF(COUNTIFS(tTQMReguliDoc[Cheie_regula],S492,tTQMReguliDoc[Aviz],"Da")=1,1,0))</f>
        <v>0</v>
      </c>
      <c r="V492" s="22">
        <f>IF(OR(C492="",T492&lt;&gt;"Confirmata"),0,IF(COUNTIFS(tTQMReguliDoc[Cheie_regula],S492,tTQMReguliDoc[Decl_conformitate],"Da")=1,1,0))</f>
        <v>0</v>
      </c>
      <c r="W492" s="22">
        <f>IF(OR(C492="",T492&lt;&gt;"Confirmata"),0,IF(COUNTIFS(tTQMReguliDoc[Cheie_regula],S492,tTQMReguliDoc[Decl_producator],"Da")=1,1,0))</f>
        <v>0</v>
      </c>
      <c r="X492" s="22">
        <f>IF(OR(C492="",T492&lt;&gt;"Confirmata"),0,IF(COUNTIFS(tTQMReguliDoc[Cheie_regula],S492,tTQMReguliDoc[Fise_tehnice],"Da")=1,1,0))</f>
        <v>0</v>
      </c>
      <c r="Y492" s="22" t="str">
        <f t="shared" si="39"/>
        <v/>
      </c>
      <c r="Z492" s="22"/>
      <c r="AA492" s="22"/>
    </row>
    <row r="493" spans="1:27" ht="15" customHeight="1">
      <c r="A493" s="30"/>
      <c r="B493" s="31"/>
      <c r="C493" s="30"/>
      <c r="D493" s="30"/>
      <c r="E493" s="30"/>
      <c r="F493" s="32" t="str">
        <f t="shared" si="35"/>
        <v/>
      </c>
      <c r="G493" s="30"/>
      <c r="H493" s="30"/>
      <c r="I493" s="30"/>
      <c r="J493" s="32" t="str">
        <f t="shared" si="36"/>
        <v/>
      </c>
      <c r="K493" s="30" t="str">
        <f t="shared" si="37"/>
        <v/>
      </c>
      <c r="L493" s="30"/>
      <c r="M493" s="30"/>
      <c r="N493" s="22"/>
      <c r="O493" s="25"/>
      <c r="P493" s="26"/>
      <c r="Q493" s="22"/>
      <c r="R493" s="22"/>
      <c r="S493" s="22" t="str">
        <f t="shared" si="38"/>
        <v/>
      </c>
      <c r="T493" s="22" t="str">
        <f>IF(C493="","",IF(COUNTIF(tTQMReguliDoc[Cheie_regula],S493)&lt;&gt;1,"REGULA NECONFIGURATA",IF(COUNTIFS(tTQMReguliDoc[Cheie_regula],S493,tTQMReguliDoc[Stare],"Confirmata")=1,"Confirmata","De confirmat")))</f>
        <v/>
      </c>
      <c r="U493" s="22">
        <f>IF(OR(C493="",T493&lt;&gt;"Confirmata"),0,IF(COUNTIFS(tTQMReguliDoc[Cheie_regula],S493,tTQMReguliDoc[Aviz],"Da")=1,1,0))</f>
        <v>0</v>
      </c>
      <c r="V493" s="22">
        <f>IF(OR(C493="",T493&lt;&gt;"Confirmata"),0,IF(COUNTIFS(tTQMReguliDoc[Cheie_regula],S493,tTQMReguliDoc[Decl_conformitate],"Da")=1,1,0))</f>
        <v>0</v>
      </c>
      <c r="W493" s="22">
        <f>IF(OR(C493="",T493&lt;&gt;"Confirmata"),0,IF(COUNTIFS(tTQMReguliDoc[Cheie_regula],S493,tTQMReguliDoc[Decl_producator],"Da")=1,1,0))</f>
        <v>0</v>
      </c>
      <c r="X493" s="22">
        <f>IF(OR(C493="",T493&lt;&gt;"Confirmata"),0,IF(COUNTIFS(tTQMReguliDoc[Cheie_regula],S493,tTQMReguliDoc[Fise_tehnice],"Da")=1,1,0))</f>
        <v>0</v>
      </c>
      <c r="Y493" s="22" t="str">
        <f t="shared" si="39"/>
        <v/>
      </c>
      <c r="Z493" s="22"/>
      <c r="AA493" s="22"/>
    </row>
    <row r="494" spans="1:27" ht="15" customHeight="1">
      <c r="A494" s="30"/>
      <c r="B494" s="31"/>
      <c r="C494" s="30"/>
      <c r="D494" s="30"/>
      <c r="E494" s="30"/>
      <c r="F494" s="32" t="str">
        <f t="shared" si="35"/>
        <v/>
      </c>
      <c r="G494" s="30"/>
      <c r="H494" s="30"/>
      <c r="I494" s="30"/>
      <c r="J494" s="32" t="str">
        <f t="shared" si="36"/>
        <v/>
      </c>
      <c r="K494" s="30" t="str">
        <f t="shared" si="37"/>
        <v/>
      </c>
      <c r="L494" s="30"/>
      <c r="M494" s="30"/>
      <c r="N494" s="22"/>
      <c r="O494" s="25"/>
      <c r="P494" s="26"/>
      <c r="Q494" s="22"/>
      <c r="R494" s="22"/>
      <c r="S494" s="22" t="str">
        <f t="shared" si="38"/>
        <v/>
      </c>
      <c r="T494" s="22" t="str">
        <f>IF(C494="","",IF(COUNTIF(tTQMReguliDoc[Cheie_regula],S494)&lt;&gt;1,"REGULA NECONFIGURATA",IF(COUNTIFS(tTQMReguliDoc[Cheie_regula],S494,tTQMReguliDoc[Stare],"Confirmata")=1,"Confirmata","De confirmat")))</f>
        <v/>
      </c>
      <c r="U494" s="22">
        <f>IF(OR(C494="",T494&lt;&gt;"Confirmata"),0,IF(COUNTIFS(tTQMReguliDoc[Cheie_regula],S494,tTQMReguliDoc[Aviz],"Da")=1,1,0))</f>
        <v>0</v>
      </c>
      <c r="V494" s="22">
        <f>IF(OR(C494="",T494&lt;&gt;"Confirmata"),0,IF(COUNTIFS(tTQMReguliDoc[Cheie_regula],S494,tTQMReguliDoc[Decl_conformitate],"Da")=1,1,0))</f>
        <v>0</v>
      </c>
      <c r="W494" s="22">
        <f>IF(OR(C494="",T494&lt;&gt;"Confirmata"),0,IF(COUNTIFS(tTQMReguliDoc[Cheie_regula],S494,tTQMReguliDoc[Decl_producator],"Da")=1,1,0))</f>
        <v>0</v>
      </c>
      <c r="X494" s="22">
        <f>IF(OR(C494="",T494&lt;&gt;"Confirmata"),0,IF(COUNTIFS(tTQMReguliDoc[Cheie_regula],S494,tTQMReguliDoc[Fise_tehnice],"Da")=1,1,0))</f>
        <v>0</v>
      </c>
      <c r="Y494" s="22" t="str">
        <f t="shared" si="39"/>
        <v/>
      </c>
      <c r="Z494" s="22"/>
      <c r="AA494" s="22"/>
    </row>
    <row r="495" spans="1:27" ht="15" customHeight="1">
      <c r="A495" s="30"/>
      <c r="B495" s="31"/>
      <c r="C495" s="30"/>
      <c r="D495" s="30"/>
      <c r="E495" s="30"/>
      <c r="F495" s="32" t="str">
        <f t="shared" si="35"/>
        <v/>
      </c>
      <c r="G495" s="30"/>
      <c r="H495" s="30"/>
      <c r="I495" s="30"/>
      <c r="J495" s="32" t="str">
        <f t="shared" si="36"/>
        <v/>
      </c>
      <c r="K495" s="30" t="str">
        <f t="shared" si="37"/>
        <v/>
      </c>
      <c r="L495" s="30"/>
      <c r="M495" s="30"/>
      <c r="N495" s="22"/>
      <c r="O495" s="25"/>
      <c r="P495" s="26"/>
      <c r="Q495" s="22"/>
      <c r="R495" s="22"/>
      <c r="S495" s="22" t="str">
        <f t="shared" si="38"/>
        <v/>
      </c>
      <c r="T495" s="22" t="str">
        <f>IF(C495="","",IF(COUNTIF(tTQMReguliDoc[Cheie_regula],S495)&lt;&gt;1,"REGULA NECONFIGURATA",IF(COUNTIFS(tTQMReguliDoc[Cheie_regula],S495,tTQMReguliDoc[Stare],"Confirmata")=1,"Confirmata","De confirmat")))</f>
        <v/>
      </c>
      <c r="U495" s="22">
        <f>IF(OR(C495="",T495&lt;&gt;"Confirmata"),0,IF(COUNTIFS(tTQMReguliDoc[Cheie_regula],S495,tTQMReguliDoc[Aviz],"Da")=1,1,0))</f>
        <v>0</v>
      </c>
      <c r="V495" s="22">
        <f>IF(OR(C495="",T495&lt;&gt;"Confirmata"),0,IF(COUNTIFS(tTQMReguliDoc[Cheie_regula],S495,tTQMReguliDoc[Decl_conformitate],"Da")=1,1,0))</f>
        <v>0</v>
      </c>
      <c r="W495" s="22">
        <f>IF(OR(C495="",T495&lt;&gt;"Confirmata"),0,IF(COUNTIFS(tTQMReguliDoc[Cheie_regula],S495,tTQMReguliDoc[Decl_producator],"Da")=1,1,0))</f>
        <v>0</v>
      </c>
      <c r="X495" s="22">
        <f>IF(OR(C495="",T495&lt;&gt;"Confirmata"),0,IF(COUNTIFS(tTQMReguliDoc[Cheie_regula],S495,tTQMReguliDoc[Fise_tehnice],"Da")=1,1,0))</f>
        <v>0</v>
      </c>
      <c r="Y495" s="22" t="str">
        <f t="shared" si="39"/>
        <v/>
      </c>
      <c r="Z495" s="22"/>
      <c r="AA495" s="22"/>
    </row>
    <row r="496" spans="1:27" ht="15" customHeight="1">
      <c r="A496" s="30"/>
      <c r="B496" s="31"/>
      <c r="C496" s="30"/>
      <c r="D496" s="30"/>
      <c r="E496" s="30"/>
      <c r="F496" s="32" t="str">
        <f t="shared" si="35"/>
        <v/>
      </c>
      <c r="G496" s="30"/>
      <c r="H496" s="30"/>
      <c r="I496" s="30"/>
      <c r="J496" s="32" t="str">
        <f t="shared" si="36"/>
        <v/>
      </c>
      <c r="K496" s="30" t="str">
        <f t="shared" si="37"/>
        <v/>
      </c>
      <c r="L496" s="30"/>
      <c r="M496" s="30"/>
      <c r="N496" s="22"/>
      <c r="O496" s="25"/>
      <c r="P496" s="26"/>
      <c r="Q496" s="22"/>
      <c r="R496" s="22"/>
      <c r="S496" s="22" t="str">
        <f t="shared" si="38"/>
        <v/>
      </c>
      <c r="T496" s="22" t="str">
        <f>IF(C496="","",IF(COUNTIF(tTQMReguliDoc[Cheie_regula],S496)&lt;&gt;1,"REGULA NECONFIGURATA",IF(COUNTIFS(tTQMReguliDoc[Cheie_regula],S496,tTQMReguliDoc[Stare],"Confirmata")=1,"Confirmata","De confirmat")))</f>
        <v/>
      </c>
      <c r="U496" s="22">
        <f>IF(OR(C496="",T496&lt;&gt;"Confirmata"),0,IF(COUNTIFS(tTQMReguliDoc[Cheie_regula],S496,tTQMReguliDoc[Aviz],"Da")=1,1,0))</f>
        <v>0</v>
      </c>
      <c r="V496" s="22">
        <f>IF(OR(C496="",T496&lt;&gt;"Confirmata"),0,IF(COUNTIFS(tTQMReguliDoc[Cheie_regula],S496,tTQMReguliDoc[Decl_conformitate],"Da")=1,1,0))</f>
        <v>0</v>
      </c>
      <c r="W496" s="22">
        <f>IF(OR(C496="",T496&lt;&gt;"Confirmata"),0,IF(COUNTIFS(tTQMReguliDoc[Cheie_regula],S496,tTQMReguliDoc[Decl_producator],"Da")=1,1,0))</f>
        <v>0</v>
      </c>
      <c r="X496" s="22">
        <f>IF(OR(C496="",T496&lt;&gt;"Confirmata"),0,IF(COUNTIFS(tTQMReguliDoc[Cheie_regula],S496,tTQMReguliDoc[Fise_tehnice],"Da")=1,1,0))</f>
        <v>0</v>
      </c>
      <c r="Y496" s="22" t="str">
        <f t="shared" si="39"/>
        <v/>
      </c>
      <c r="Z496" s="22"/>
      <c r="AA496" s="22"/>
    </row>
    <row r="497" spans="1:27" ht="15" customHeight="1">
      <c r="A497" s="30"/>
      <c r="B497" s="31"/>
      <c r="C497" s="30"/>
      <c r="D497" s="30"/>
      <c r="E497" s="30"/>
      <c r="F497" s="32" t="str">
        <f t="shared" si="35"/>
        <v/>
      </c>
      <c r="G497" s="30"/>
      <c r="H497" s="30"/>
      <c r="I497" s="30"/>
      <c r="J497" s="32" t="str">
        <f t="shared" si="36"/>
        <v/>
      </c>
      <c r="K497" s="30" t="str">
        <f t="shared" si="37"/>
        <v/>
      </c>
      <c r="L497" s="30"/>
      <c r="M497" s="30"/>
      <c r="N497" s="22"/>
      <c r="O497" s="25"/>
      <c r="P497" s="26"/>
      <c r="Q497" s="22"/>
      <c r="R497" s="22"/>
      <c r="S497" s="22" t="str">
        <f t="shared" si="38"/>
        <v/>
      </c>
      <c r="T497" s="22" t="str">
        <f>IF(C497="","",IF(COUNTIF(tTQMReguliDoc[Cheie_regula],S497)&lt;&gt;1,"REGULA NECONFIGURATA",IF(COUNTIFS(tTQMReguliDoc[Cheie_regula],S497,tTQMReguliDoc[Stare],"Confirmata")=1,"Confirmata","De confirmat")))</f>
        <v/>
      </c>
      <c r="U497" s="22">
        <f>IF(OR(C497="",T497&lt;&gt;"Confirmata"),0,IF(COUNTIFS(tTQMReguliDoc[Cheie_regula],S497,tTQMReguliDoc[Aviz],"Da")=1,1,0))</f>
        <v>0</v>
      </c>
      <c r="V497" s="22">
        <f>IF(OR(C497="",T497&lt;&gt;"Confirmata"),0,IF(COUNTIFS(tTQMReguliDoc[Cheie_regula],S497,tTQMReguliDoc[Decl_conformitate],"Da")=1,1,0))</f>
        <v>0</v>
      </c>
      <c r="W497" s="22">
        <f>IF(OR(C497="",T497&lt;&gt;"Confirmata"),0,IF(COUNTIFS(tTQMReguliDoc[Cheie_regula],S497,tTQMReguliDoc[Decl_producator],"Da")=1,1,0))</f>
        <v>0</v>
      </c>
      <c r="X497" s="22">
        <f>IF(OR(C497="",T497&lt;&gt;"Confirmata"),0,IF(COUNTIFS(tTQMReguliDoc[Cheie_regula],S497,tTQMReguliDoc[Fise_tehnice],"Da")=1,1,0))</f>
        <v>0</v>
      </c>
      <c r="Y497" s="22" t="str">
        <f t="shared" si="39"/>
        <v/>
      </c>
      <c r="Z497" s="22"/>
      <c r="AA497" s="22"/>
    </row>
    <row r="498" spans="1:27" ht="15" customHeight="1">
      <c r="A498" s="30"/>
      <c r="B498" s="31"/>
      <c r="C498" s="30"/>
      <c r="D498" s="30"/>
      <c r="E498" s="30"/>
      <c r="F498" s="32" t="str">
        <f t="shared" si="35"/>
        <v/>
      </c>
      <c r="G498" s="30"/>
      <c r="H498" s="30"/>
      <c r="I498" s="30"/>
      <c r="J498" s="32" t="str">
        <f t="shared" si="36"/>
        <v/>
      </c>
      <c r="K498" s="30" t="str">
        <f t="shared" si="37"/>
        <v/>
      </c>
      <c r="L498" s="30"/>
      <c r="M498" s="30"/>
      <c r="N498" s="22"/>
      <c r="O498" s="25"/>
      <c r="P498" s="26"/>
      <c r="Q498" s="22"/>
      <c r="R498" s="22"/>
      <c r="S498" s="22" t="str">
        <f t="shared" si="38"/>
        <v/>
      </c>
      <c r="T498" s="22" t="str">
        <f>IF(C498="","",IF(COUNTIF(tTQMReguliDoc[Cheie_regula],S498)&lt;&gt;1,"REGULA NECONFIGURATA",IF(COUNTIFS(tTQMReguliDoc[Cheie_regula],S498,tTQMReguliDoc[Stare],"Confirmata")=1,"Confirmata","De confirmat")))</f>
        <v/>
      </c>
      <c r="U498" s="22">
        <f>IF(OR(C498="",T498&lt;&gt;"Confirmata"),0,IF(COUNTIFS(tTQMReguliDoc[Cheie_regula],S498,tTQMReguliDoc[Aviz],"Da")=1,1,0))</f>
        <v>0</v>
      </c>
      <c r="V498" s="22">
        <f>IF(OR(C498="",T498&lt;&gt;"Confirmata"),0,IF(COUNTIFS(tTQMReguliDoc[Cheie_regula],S498,tTQMReguliDoc[Decl_conformitate],"Da")=1,1,0))</f>
        <v>0</v>
      </c>
      <c r="W498" s="22">
        <f>IF(OR(C498="",T498&lt;&gt;"Confirmata"),0,IF(COUNTIFS(tTQMReguliDoc[Cheie_regula],S498,tTQMReguliDoc[Decl_producator],"Da")=1,1,0))</f>
        <v>0</v>
      </c>
      <c r="X498" s="22">
        <f>IF(OR(C498="",T498&lt;&gt;"Confirmata"),0,IF(COUNTIFS(tTQMReguliDoc[Cheie_regula],S498,tTQMReguliDoc[Fise_tehnice],"Da")=1,1,0))</f>
        <v>0</v>
      </c>
      <c r="Y498" s="22" t="str">
        <f t="shared" si="39"/>
        <v/>
      </c>
      <c r="Z498" s="22"/>
      <c r="AA498" s="22"/>
    </row>
    <row r="499" spans="1:27" ht="15" customHeight="1">
      <c r="A499" s="30"/>
      <c r="B499" s="31"/>
      <c r="C499" s="30"/>
      <c r="D499" s="30"/>
      <c r="E499" s="30"/>
      <c r="F499" s="32" t="str">
        <f t="shared" si="35"/>
        <v/>
      </c>
      <c r="G499" s="30"/>
      <c r="H499" s="30"/>
      <c r="I499" s="30"/>
      <c r="J499" s="32" t="str">
        <f t="shared" si="36"/>
        <v/>
      </c>
      <c r="K499" s="30" t="str">
        <f t="shared" si="37"/>
        <v/>
      </c>
      <c r="L499" s="30"/>
      <c r="M499" s="30"/>
      <c r="N499" s="22"/>
      <c r="O499" s="25"/>
      <c r="P499" s="26"/>
      <c r="Q499" s="22"/>
      <c r="R499" s="22"/>
      <c r="S499" s="22" t="str">
        <f t="shared" si="38"/>
        <v/>
      </c>
      <c r="T499" s="22" t="str">
        <f>IF(C499="","",IF(COUNTIF(tTQMReguliDoc[Cheie_regula],S499)&lt;&gt;1,"REGULA NECONFIGURATA",IF(COUNTIFS(tTQMReguliDoc[Cheie_regula],S499,tTQMReguliDoc[Stare],"Confirmata")=1,"Confirmata","De confirmat")))</f>
        <v/>
      </c>
      <c r="U499" s="22">
        <f>IF(OR(C499="",T499&lt;&gt;"Confirmata"),0,IF(COUNTIFS(tTQMReguliDoc[Cheie_regula],S499,tTQMReguliDoc[Aviz],"Da")=1,1,0))</f>
        <v>0</v>
      </c>
      <c r="V499" s="22">
        <f>IF(OR(C499="",T499&lt;&gt;"Confirmata"),0,IF(COUNTIFS(tTQMReguliDoc[Cheie_regula],S499,tTQMReguliDoc[Decl_conformitate],"Da")=1,1,0))</f>
        <v>0</v>
      </c>
      <c r="W499" s="22">
        <f>IF(OR(C499="",T499&lt;&gt;"Confirmata"),0,IF(COUNTIFS(tTQMReguliDoc[Cheie_regula],S499,tTQMReguliDoc[Decl_producator],"Da")=1,1,0))</f>
        <v>0</v>
      </c>
      <c r="X499" s="22">
        <f>IF(OR(C499="",T499&lt;&gt;"Confirmata"),0,IF(COUNTIFS(tTQMReguliDoc[Cheie_regula],S499,tTQMReguliDoc[Fise_tehnice],"Da")=1,1,0))</f>
        <v>0</v>
      </c>
      <c r="Y499" s="22" t="str">
        <f t="shared" si="39"/>
        <v/>
      </c>
      <c r="Z499" s="22"/>
      <c r="AA499" s="22"/>
    </row>
    <row r="500" spans="1:27" ht="15" customHeight="1">
      <c r="A500" s="30"/>
      <c r="B500" s="31"/>
      <c r="C500" s="30"/>
      <c r="D500" s="30"/>
      <c r="E500" s="30"/>
      <c r="F500" s="32" t="str">
        <f t="shared" si="35"/>
        <v/>
      </c>
      <c r="G500" s="30"/>
      <c r="H500" s="30"/>
      <c r="I500" s="30"/>
      <c r="J500" s="32" t="str">
        <f t="shared" si="36"/>
        <v/>
      </c>
      <c r="K500" s="30" t="str">
        <f t="shared" si="37"/>
        <v/>
      </c>
      <c r="L500" s="30"/>
      <c r="M500" s="30"/>
      <c r="N500" s="22"/>
      <c r="O500" s="25"/>
      <c r="P500" s="26"/>
      <c r="Q500" s="22"/>
      <c r="R500" s="22"/>
      <c r="S500" s="22" t="str">
        <f t="shared" si="38"/>
        <v/>
      </c>
      <c r="T500" s="22" t="str">
        <f>IF(C500="","",IF(COUNTIF(tTQMReguliDoc[Cheie_regula],S500)&lt;&gt;1,"REGULA NECONFIGURATA",IF(COUNTIFS(tTQMReguliDoc[Cheie_regula],S500,tTQMReguliDoc[Stare],"Confirmata")=1,"Confirmata","De confirmat")))</f>
        <v/>
      </c>
      <c r="U500" s="22">
        <f>IF(OR(C500="",T500&lt;&gt;"Confirmata"),0,IF(COUNTIFS(tTQMReguliDoc[Cheie_regula],S500,tTQMReguliDoc[Aviz],"Da")=1,1,0))</f>
        <v>0</v>
      </c>
      <c r="V500" s="22">
        <f>IF(OR(C500="",T500&lt;&gt;"Confirmata"),0,IF(COUNTIFS(tTQMReguliDoc[Cheie_regula],S500,tTQMReguliDoc[Decl_conformitate],"Da")=1,1,0))</f>
        <v>0</v>
      </c>
      <c r="W500" s="22">
        <f>IF(OR(C500="",T500&lt;&gt;"Confirmata"),0,IF(COUNTIFS(tTQMReguliDoc[Cheie_regula],S500,tTQMReguliDoc[Decl_producator],"Da")=1,1,0))</f>
        <v>0</v>
      </c>
      <c r="X500" s="22">
        <f>IF(OR(C500="",T500&lt;&gt;"Confirmata"),0,IF(COUNTIFS(tTQMReguliDoc[Cheie_regula],S500,tTQMReguliDoc[Fise_tehnice],"Da")=1,1,0))</f>
        <v>0</v>
      </c>
      <c r="Y500" s="22" t="str">
        <f t="shared" si="39"/>
        <v/>
      </c>
      <c r="Z500" s="22"/>
      <c r="AA500" s="22"/>
    </row>
    <row r="501" spans="1:27" ht="15" customHeight="1">
      <c r="A501" s="23"/>
      <c r="B501" s="24"/>
      <c r="C501" s="23"/>
      <c r="D501" s="23"/>
      <c r="E501" s="23"/>
      <c r="F501" s="23" t="str">
        <f t="shared" ref="F501:F513" si="40">IF(C501="","",IF(T501&lt;&gt;"Confirmata","DE CONFIRMAT",IF(U501=1,"OBLIGATORIU AVIZ","NU")))</f>
        <v/>
      </c>
      <c r="G501" s="23"/>
      <c r="H501" s="23"/>
      <c r="I501" s="23"/>
      <c r="J501" s="23" t="str">
        <f t="shared" ref="J501:J513" si="41">IF(C501="","",IF(K501="","DOSAR COMPLET","INCOMPLET - VERIFICARE DOCUMENTE"))</f>
        <v/>
      </c>
      <c r="K501" s="23" t="str">
        <f t="shared" ref="K501:K513" si="42">IF(C501="","",IF(Y501="","",LEFT(Y501,LEN(Y501)-2)))</f>
        <v/>
      </c>
      <c r="L501" s="23"/>
      <c r="M501" s="23"/>
      <c r="N501" s="22"/>
      <c r="O501" s="25"/>
      <c r="P501" s="26"/>
      <c r="Q501" s="22"/>
      <c r="R501" s="22"/>
      <c r="S501" s="22" t="str">
        <f t="shared" ref="S501:S513" si="43">IF(C501="","",IF(LEFT(LOWER(D501),4)="furn","Furnizor",IF(LEFT(LOWER(D501),4)="prod","Producator",IF(LEFT(LOWER(D501),4)="pres","Prestator",IF(LEFT(LOWER(D501),3)="alt","Alt partener",D501))))&amp;"|"&amp;IF(LEFT(LOWER(E501),4)="doar","Doar Aviz",IF(LEFT(LOWER(E501),4)="fact","Factura",E501)))</f>
        <v/>
      </c>
      <c r="T501" s="22" t="str">
        <f>IF(C501="","",IF(COUNTIF(tTQMReguliDoc[Cheie_regula],S501)&lt;&gt;1,"REGULA NECONFIGURATA",IF(COUNTIFS(tTQMReguliDoc[Cheie_regula],S501,tTQMReguliDoc[Stare],"Confirmata")=1,"Confirmata","De confirmat")))</f>
        <v/>
      </c>
      <c r="U501" s="22">
        <f>IF(OR(C501="",T501&lt;&gt;"Confirmata"),0,IF(COUNTIFS(tTQMReguliDoc[Cheie_regula],S501,tTQMReguliDoc[Aviz],"Da")=1,1,0))</f>
        <v>0</v>
      </c>
      <c r="V501" s="22">
        <f>IF(OR(C501="",T501&lt;&gt;"Confirmata"),0,IF(COUNTIFS(tTQMReguliDoc[Cheie_regula],S501,tTQMReguliDoc[Decl_conformitate],"Da")=1,1,0))</f>
        <v>0</v>
      </c>
      <c r="W501" s="22">
        <f>IF(OR(C501="",T501&lt;&gt;"Confirmata"),0,IF(COUNTIFS(tTQMReguliDoc[Cheie_regula],S501,tTQMReguliDoc[Decl_producator],"Da")=1,1,0))</f>
        <v>0</v>
      </c>
      <c r="X501" s="22">
        <f>IF(OR(C501="",T501&lt;&gt;"Confirmata"),0,IF(COUNTIFS(tTQMReguliDoc[Cheie_regula],S501,tTQMReguliDoc[Fise_tehnice],"Da")=1,1,0))</f>
        <v>0</v>
      </c>
      <c r="Y501" s="22" t="str">
        <f t="shared" ref="Y501:Y513" si="44">IF(C501="","",IF(T501&lt;&gt;"Confirmata","Confirmati regulile documentelor; ",IF(AND(U501=1,Z501&lt;&gt;"Primit"),"Aviz; ","")&amp;IF(AND(V501=1,G501&lt;&gt;"Primit"),"Declaratie conformitate; ","")&amp;IF(AND(W501=1,H501&lt;&gt;"Primit"),"Declaratie producator; ","")&amp;IF(AND(X501=1,I501&lt;&gt;"Primit"),"Fise tehnice; ","")))</f>
        <v/>
      </c>
      <c r="Z501" s="22"/>
      <c r="AA501" s="22"/>
    </row>
    <row r="502" spans="1:27" ht="15" customHeight="1">
      <c r="A502" s="23"/>
      <c r="B502" s="24"/>
      <c r="C502" s="23"/>
      <c r="D502" s="23"/>
      <c r="E502" s="23"/>
      <c r="F502" s="23" t="str">
        <f t="shared" si="40"/>
        <v/>
      </c>
      <c r="G502" s="23"/>
      <c r="H502" s="23"/>
      <c r="I502" s="23"/>
      <c r="J502" s="23" t="str">
        <f t="shared" si="41"/>
        <v/>
      </c>
      <c r="K502" s="23" t="str">
        <f t="shared" si="42"/>
        <v/>
      </c>
      <c r="L502" s="23"/>
      <c r="M502" s="23"/>
      <c r="N502" s="22"/>
      <c r="O502" s="25"/>
      <c r="P502" s="26"/>
      <c r="Q502" s="22"/>
      <c r="R502" s="22"/>
      <c r="S502" s="22" t="str">
        <f t="shared" si="43"/>
        <v/>
      </c>
      <c r="T502" s="22" t="str">
        <f>IF(C502="","",IF(COUNTIF(tTQMReguliDoc[Cheie_regula],S502)&lt;&gt;1,"REGULA NECONFIGURATA",IF(COUNTIFS(tTQMReguliDoc[Cheie_regula],S502,tTQMReguliDoc[Stare],"Confirmata")=1,"Confirmata","De confirmat")))</f>
        <v/>
      </c>
      <c r="U502" s="22">
        <f>IF(OR(C502="",T502&lt;&gt;"Confirmata"),0,IF(COUNTIFS(tTQMReguliDoc[Cheie_regula],S502,tTQMReguliDoc[Aviz],"Da")=1,1,0))</f>
        <v>0</v>
      </c>
      <c r="V502" s="22">
        <f>IF(OR(C502="",T502&lt;&gt;"Confirmata"),0,IF(COUNTIFS(tTQMReguliDoc[Cheie_regula],S502,tTQMReguliDoc[Decl_conformitate],"Da")=1,1,0))</f>
        <v>0</v>
      </c>
      <c r="W502" s="22">
        <f>IF(OR(C502="",T502&lt;&gt;"Confirmata"),0,IF(COUNTIFS(tTQMReguliDoc[Cheie_regula],S502,tTQMReguliDoc[Decl_producator],"Da")=1,1,0))</f>
        <v>0</v>
      </c>
      <c r="X502" s="22">
        <f>IF(OR(C502="",T502&lt;&gt;"Confirmata"),0,IF(COUNTIFS(tTQMReguliDoc[Cheie_regula],S502,tTQMReguliDoc[Fise_tehnice],"Da")=1,1,0))</f>
        <v>0</v>
      </c>
      <c r="Y502" s="22" t="str">
        <f t="shared" si="44"/>
        <v/>
      </c>
      <c r="Z502" s="22"/>
      <c r="AA502" s="22"/>
    </row>
    <row r="503" spans="1:27" ht="15" customHeight="1">
      <c r="A503" s="23"/>
      <c r="B503" s="24"/>
      <c r="C503" s="23"/>
      <c r="D503" s="23"/>
      <c r="E503" s="23"/>
      <c r="F503" s="23" t="str">
        <f t="shared" si="40"/>
        <v/>
      </c>
      <c r="G503" s="23"/>
      <c r="H503" s="23"/>
      <c r="I503" s="23"/>
      <c r="J503" s="23" t="str">
        <f t="shared" si="41"/>
        <v/>
      </c>
      <c r="K503" s="23" t="str">
        <f t="shared" si="42"/>
        <v/>
      </c>
      <c r="L503" s="23"/>
      <c r="M503" s="23"/>
      <c r="N503" s="22"/>
      <c r="O503" s="25"/>
      <c r="P503" s="26"/>
      <c r="Q503" s="22"/>
      <c r="R503" s="22"/>
      <c r="S503" s="22" t="str">
        <f t="shared" si="43"/>
        <v/>
      </c>
      <c r="T503" s="22" t="str">
        <f>IF(C503="","",IF(COUNTIF(tTQMReguliDoc[Cheie_regula],S503)&lt;&gt;1,"REGULA NECONFIGURATA",IF(COUNTIFS(tTQMReguliDoc[Cheie_regula],S503,tTQMReguliDoc[Stare],"Confirmata")=1,"Confirmata","De confirmat")))</f>
        <v/>
      </c>
      <c r="U503" s="22">
        <f>IF(OR(C503="",T503&lt;&gt;"Confirmata"),0,IF(COUNTIFS(tTQMReguliDoc[Cheie_regula],S503,tTQMReguliDoc[Aviz],"Da")=1,1,0))</f>
        <v>0</v>
      </c>
      <c r="V503" s="22">
        <f>IF(OR(C503="",T503&lt;&gt;"Confirmata"),0,IF(COUNTIFS(tTQMReguliDoc[Cheie_regula],S503,tTQMReguliDoc[Decl_conformitate],"Da")=1,1,0))</f>
        <v>0</v>
      </c>
      <c r="W503" s="22">
        <f>IF(OR(C503="",T503&lt;&gt;"Confirmata"),0,IF(COUNTIFS(tTQMReguliDoc[Cheie_regula],S503,tTQMReguliDoc[Decl_producator],"Da")=1,1,0))</f>
        <v>0</v>
      </c>
      <c r="X503" s="22">
        <f>IF(OR(C503="",T503&lt;&gt;"Confirmata"),0,IF(COUNTIFS(tTQMReguliDoc[Cheie_regula],S503,tTQMReguliDoc[Fise_tehnice],"Da")=1,1,0))</f>
        <v>0</v>
      </c>
      <c r="Y503" s="22" t="str">
        <f t="shared" si="44"/>
        <v/>
      </c>
      <c r="Z503" s="22"/>
      <c r="AA503" s="22"/>
    </row>
    <row r="504" spans="1:27" ht="15" customHeight="1">
      <c r="A504" s="23"/>
      <c r="B504" s="24"/>
      <c r="C504" s="23"/>
      <c r="D504" s="23"/>
      <c r="E504" s="23"/>
      <c r="F504" s="23" t="str">
        <f t="shared" si="40"/>
        <v/>
      </c>
      <c r="G504" s="23"/>
      <c r="H504" s="23"/>
      <c r="I504" s="23"/>
      <c r="J504" s="23" t="str">
        <f t="shared" si="41"/>
        <v/>
      </c>
      <c r="K504" s="23" t="str">
        <f t="shared" si="42"/>
        <v/>
      </c>
      <c r="L504" s="23"/>
      <c r="M504" s="23"/>
      <c r="N504" s="22"/>
      <c r="O504" s="25"/>
      <c r="P504" s="26"/>
      <c r="Q504" s="22"/>
      <c r="R504" s="22"/>
      <c r="S504" s="22" t="str">
        <f t="shared" si="43"/>
        <v/>
      </c>
      <c r="T504" s="22" t="str">
        <f>IF(C504="","",IF(COUNTIF(tTQMReguliDoc[Cheie_regula],S504)&lt;&gt;1,"REGULA NECONFIGURATA",IF(COUNTIFS(tTQMReguliDoc[Cheie_regula],S504,tTQMReguliDoc[Stare],"Confirmata")=1,"Confirmata","De confirmat")))</f>
        <v/>
      </c>
      <c r="U504" s="22">
        <f>IF(OR(C504="",T504&lt;&gt;"Confirmata"),0,IF(COUNTIFS(tTQMReguliDoc[Cheie_regula],S504,tTQMReguliDoc[Aviz],"Da")=1,1,0))</f>
        <v>0</v>
      </c>
      <c r="V504" s="22">
        <f>IF(OR(C504="",T504&lt;&gt;"Confirmata"),0,IF(COUNTIFS(tTQMReguliDoc[Cheie_regula],S504,tTQMReguliDoc[Decl_conformitate],"Da")=1,1,0))</f>
        <v>0</v>
      </c>
      <c r="W504" s="22">
        <f>IF(OR(C504="",T504&lt;&gt;"Confirmata"),0,IF(COUNTIFS(tTQMReguliDoc[Cheie_regula],S504,tTQMReguliDoc[Decl_producator],"Da")=1,1,0))</f>
        <v>0</v>
      </c>
      <c r="X504" s="22">
        <f>IF(OR(C504="",T504&lt;&gt;"Confirmata"),0,IF(COUNTIFS(tTQMReguliDoc[Cheie_regula],S504,tTQMReguliDoc[Fise_tehnice],"Da")=1,1,0))</f>
        <v>0</v>
      </c>
      <c r="Y504" s="22" t="str">
        <f t="shared" si="44"/>
        <v/>
      </c>
      <c r="Z504" s="22"/>
      <c r="AA504" s="22"/>
    </row>
    <row r="505" spans="1:27" ht="15" customHeight="1">
      <c r="A505" s="23"/>
      <c r="B505" s="24"/>
      <c r="C505" s="23"/>
      <c r="D505" s="23"/>
      <c r="E505" s="23"/>
      <c r="F505" s="23" t="str">
        <f t="shared" si="40"/>
        <v/>
      </c>
      <c r="G505" s="23"/>
      <c r="H505" s="23"/>
      <c r="I505" s="23"/>
      <c r="J505" s="23" t="str">
        <f t="shared" si="41"/>
        <v/>
      </c>
      <c r="K505" s="23" t="str">
        <f t="shared" si="42"/>
        <v/>
      </c>
      <c r="L505" s="23"/>
      <c r="M505" s="23"/>
      <c r="N505" s="22"/>
      <c r="O505" s="25"/>
      <c r="P505" s="26"/>
      <c r="Q505" s="22"/>
      <c r="R505" s="22"/>
      <c r="S505" s="22" t="str">
        <f t="shared" si="43"/>
        <v/>
      </c>
      <c r="T505" s="22" t="str">
        <f>IF(C505="","",IF(COUNTIF(tTQMReguliDoc[Cheie_regula],S505)&lt;&gt;1,"REGULA NECONFIGURATA",IF(COUNTIFS(tTQMReguliDoc[Cheie_regula],S505,tTQMReguliDoc[Stare],"Confirmata")=1,"Confirmata","De confirmat")))</f>
        <v/>
      </c>
      <c r="U505" s="22">
        <f>IF(OR(C505="",T505&lt;&gt;"Confirmata"),0,IF(COUNTIFS(tTQMReguliDoc[Cheie_regula],S505,tTQMReguliDoc[Aviz],"Da")=1,1,0))</f>
        <v>0</v>
      </c>
      <c r="V505" s="22">
        <f>IF(OR(C505="",T505&lt;&gt;"Confirmata"),0,IF(COUNTIFS(tTQMReguliDoc[Cheie_regula],S505,tTQMReguliDoc[Decl_conformitate],"Da")=1,1,0))</f>
        <v>0</v>
      </c>
      <c r="W505" s="22">
        <f>IF(OR(C505="",T505&lt;&gt;"Confirmata"),0,IF(COUNTIFS(tTQMReguliDoc[Cheie_regula],S505,tTQMReguliDoc[Decl_producator],"Da")=1,1,0))</f>
        <v>0</v>
      </c>
      <c r="X505" s="22">
        <f>IF(OR(C505="",T505&lt;&gt;"Confirmata"),0,IF(COUNTIFS(tTQMReguliDoc[Cheie_regula],S505,tTQMReguliDoc[Fise_tehnice],"Da")=1,1,0))</f>
        <v>0</v>
      </c>
      <c r="Y505" s="22" t="str">
        <f t="shared" si="44"/>
        <v/>
      </c>
      <c r="Z505" s="22"/>
      <c r="AA505" s="22"/>
    </row>
    <row r="506" spans="1:27" ht="15" customHeight="1">
      <c r="A506" s="23"/>
      <c r="B506" s="24"/>
      <c r="C506" s="23"/>
      <c r="D506" s="23"/>
      <c r="E506" s="23"/>
      <c r="F506" s="23" t="str">
        <f t="shared" si="40"/>
        <v/>
      </c>
      <c r="G506" s="23"/>
      <c r="H506" s="23"/>
      <c r="I506" s="23"/>
      <c r="J506" s="23" t="str">
        <f t="shared" si="41"/>
        <v/>
      </c>
      <c r="K506" s="23" t="str">
        <f t="shared" si="42"/>
        <v/>
      </c>
      <c r="L506" s="23"/>
      <c r="M506" s="23"/>
      <c r="N506" s="22"/>
      <c r="O506" s="25"/>
      <c r="P506" s="26"/>
      <c r="Q506" s="22"/>
      <c r="R506" s="22"/>
      <c r="S506" s="22" t="str">
        <f t="shared" si="43"/>
        <v/>
      </c>
      <c r="T506" s="22" t="str">
        <f>IF(C506="","",IF(COUNTIF(tTQMReguliDoc[Cheie_regula],S506)&lt;&gt;1,"REGULA NECONFIGURATA",IF(COUNTIFS(tTQMReguliDoc[Cheie_regula],S506,tTQMReguliDoc[Stare],"Confirmata")=1,"Confirmata","De confirmat")))</f>
        <v/>
      </c>
      <c r="U506" s="22">
        <f>IF(OR(C506="",T506&lt;&gt;"Confirmata"),0,IF(COUNTIFS(tTQMReguliDoc[Cheie_regula],S506,tTQMReguliDoc[Aviz],"Da")=1,1,0))</f>
        <v>0</v>
      </c>
      <c r="V506" s="22">
        <f>IF(OR(C506="",T506&lt;&gt;"Confirmata"),0,IF(COUNTIFS(tTQMReguliDoc[Cheie_regula],S506,tTQMReguliDoc[Decl_conformitate],"Da")=1,1,0))</f>
        <v>0</v>
      </c>
      <c r="W506" s="22">
        <f>IF(OR(C506="",T506&lt;&gt;"Confirmata"),0,IF(COUNTIFS(tTQMReguliDoc[Cheie_regula],S506,tTQMReguliDoc[Decl_producator],"Da")=1,1,0))</f>
        <v>0</v>
      </c>
      <c r="X506" s="22">
        <f>IF(OR(C506="",T506&lt;&gt;"Confirmata"),0,IF(COUNTIFS(tTQMReguliDoc[Cheie_regula],S506,tTQMReguliDoc[Fise_tehnice],"Da")=1,1,0))</f>
        <v>0</v>
      </c>
      <c r="Y506" s="22" t="str">
        <f t="shared" si="44"/>
        <v/>
      </c>
      <c r="Z506" s="22"/>
      <c r="AA506" s="22"/>
    </row>
    <row r="507" spans="1:27" ht="15" customHeight="1">
      <c r="A507" s="23"/>
      <c r="B507" s="24"/>
      <c r="C507" s="23"/>
      <c r="D507" s="23"/>
      <c r="E507" s="23"/>
      <c r="F507" s="23" t="str">
        <f t="shared" si="40"/>
        <v/>
      </c>
      <c r="G507" s="23"/>
      <c r="H507" s="23"/>
      <c r="I507" s="23"/>
      <c r="J507" s="23" t="str">
        <f t="shared" si="41"/>
        <v/>
      </c>
      <c r="K507" s="23" t="str">
        <f t="shared" si="42"/>
        <v/>
      </c>
      <c r="L507" s="23"/>
      <c r="M507" s="23"/>
      <c r="N507" s="22"/>
      <c r="O507" s="25"/>
      <c r="P507" s="26"/>
      <c r="Q507" s="22"/>
      <c r="R507" s="22"/>
      <c r="S507" s="22" t="str">
        <f t="shared" si="43"/>
        <v/>
      </c>
      <c r="T507" s="22" t="str">
        <f>IF(C507="","",IF(COUNTIF(tTQMReguliDoc[Cheie_regula],S507)&lt;&gt;1,"REGULA NECONFIGURATA",IF(COUNTIFS(tTQMReguliDoc[Cheie_regula],S507,tTQMReguliDoc[Stare],"Confirmata")=1,"Confirmata","De confirmat")))</f>
        <v/>
      </c>
      <c r="U507" s="22">
        <f>IF(OR(C507="",T507&lt;&gt;"Confirmata"),0,IF(COUNTIFS(tTQMReguliDoc[Cheie_regula],S507,tTQMReguliDoc[Aviz],"Da")=1,1,0))</f>
        <v>0</v>
      </c>
      <c r="V507" s="22">
        <f>IF(OR(C507="",T507&lt;&gt;"Confirmata"),0,IF(COUNTIFS(tTQMReguliDoc[Cheie_regula],S507,tTQMReguliDoc[Decl_conformitate],"Da")=1,1,0))</f>
        <v>0</v>
      </c>
      <c r="W507" s="22">
        <f>IF(OR(C507="",T507&lt;&gt;"Confirmata"),0,IF(COUNTIFS(tTQMReguliDoc[Cheie_regula],S507,tTQMReguliDoc[Decl_producator],"Da")=1,1,0))</f>
        <v>0</v>
      </c>
      <c r="X507" s="22">
        <f>IF(OR(C507="",T507&lt;&gt;"Confirmata"),0,IF(COUNTIFS(tTQMReguliDoc[Cheie_regula],S507,tTQMReguliDoc[Fise_tehnice],"Da")=1,1,0))</f>
        <v>0</v>
      </c>
      <c r="Y507" s="22" t="str">
        <f t="shared" si="44"/>
        <v/>
      </c>
      <c r="Z507" s="22"/>
      <c r="AA507" s="22"/>
    </row>
    <row r="508" spans="1:27" ht="15" customHeight="1">
      <c r="A508" s="23"/>
      <c r="B508" s="24"/>
      <c r="C508" s="23"/>
      <c r="D508" s="23"/>
      <c r="E508" s="23"/>
      <c r="F508" s="23" t="str">
        <f t="shared" si="40"/>
        <v/>
      </c>
      <c r="G508" s="23"/>
      <c r="H508" s="23"/>
      <c r="I508" s="23"/>
      <c r="J508" s="23" t="str">
        <f t="shared" si="41"/>
        <v/>
      </c>
      <c r="K508" s="23" t="str">
        <f t="shared" si="42"/>
        <v/>
      </c>
      <c r="L508" s="23"/>
      <c r="M508" s="23"/>
      <c r="N508" s="22"/>
      <c r="O508" s="25"/>
      <c r="P508" s="26"/>
      <c r="Q508" s="22"/>
      <c r="R508" s="22"/>
      <c r="S508" s="22" t="str">
        <f t="shared" si="43"/>
        <v/>
      </c>
      <c r="T508" s="22" t="str">
        <f>IF(C508="","",IF(COUNTIF(tTQMReguliDoc[Cheie_regula],S508)&lt;&gt;1,"REGULA NECONFIGURATA",IF(COUNTIFS(tTQMReguliDoc[Cheie_regula],S508,tTQMReguliDoc[Stare],"Confirmata")=1,"Confirmata","De confirmat")))</f>
        <v/>
      </c>
      <c r="U508" s="22">
        <f>IF(OR(C508="",T508&lt;&gt;"Confirmata"),0,IF(COUNTIFS(tTQMReguliDoc[Cheie_regula],S508,tTQMReguliDoc[Aviz],"Da")=1,1,0))</f>
        <v>0</v>
      </c>
      <c r="V508" s="22">
        <f>IF(OR(C508="",T508&lt;&gt;"Confirmata"),0,IF(COUNTIFS(tTQMReguliDoc[Cheie_regula],S508,tTQMReguliDoc[Decl_conformitate],"Da")=1,1,0))</f>
        <v>0</v>
      </c>
      <c r="W508" s="22">
        <f>IF(OR(C508="",T508&lt;&gt;"Confirmata"),0,IF(COUNTIFS(tTQMReguliDoc[Cheie_regula],S508,tTQMReguliDoc[Decl_producator],"Da")=1,1,0))</f>
        <v>0</v>
      </c>
      <c r="X508" s="22">
        <f>IF(OR(C508="",T508&lt;&gt;"Confirmata"),0,IF(COUNTIFS(tTQMReguliDoc[Cheie_regula],S508,tTQMReguliDoc[Fise_tehnice],"Da")=1,1,0))</f>
        <v>0</v>
      </c>
      <c r="Y508" s="22" t="str">
        <f t="shared" si="44"/>
        <v/>
      </c>
      <c r="Z508" s="22"/>
      <c r="AA508" s="22"/>
    </row>
    <row r="509" spans="1:27" ht="15" customHeight="1">
      <c r="A509" s="23"/>
      <c r="B509" s="24"/>
      <c r="C509" s="23"/>
      <c r="D509" s="23"/>
      <c r="E509" s="23"/>
      <c r="F509" s="23" t="str">
        <f t="shared" si="40"/>
        <v/>
      </c>
      <c r="G509" s="23"/>
      <c r="H509" s="23"/>
      <c r="I509" s="23"/>
      <c r="J509" s="23" t="str">
        <f t="shared" si="41"/>
        <v/>
      </c>
      <c r="K509" s="23" t="str">
        <f t="shared" si="42"/>
        <v/>
      </c>
      <c r="L509" s="23"/>
      <c r="M509" s="23"/>
      <c r="N509" s="22"/>
      <c r="O509" s="25"/>
      <c r="P509" s="26"/>
      <c r="Q509" s="22"/>
      <c r="R509" s="22"/>
      <c r="S509" s="22" t="str">
        <f t="shared" si="43"/>
        <v/>
      </c>
      <c r="T509" s="22" t="str">
        <f>IF(C509="","",IF(COUNTIF(tTQMReguliDoc[Cheie_regula],S509)&lt;&gt;1,"REGULA NECONFIGURATA",IF(COUNTIFS(tTQMReguliDoc[Cheie_regula],S509,tTQMReguliDoc[Stare],"Confirmata")=1,"Confirmata","De confirmat")))</f>
        <v/>
      </c>
      <c r="U509" s="22">
        <f>IF(OR(C509="",T509&lt;&gt;"Confirmata"),0,IF(COUNTIFS(tTQMReguliDoc[Cheie_regula],S509,tTQMReguliDoc[Aviz],"Da")=1,1,0))</f>
        <v>0</v>
      </c>
      <c r="V509" s="22">
        <f>IF(OR(C509="",T509&lt;&gt;"Confirmata"),0,IF(COUNTIFS(tTQMReguliDoc[Cheie_regula],S509,tTQMReguliDoc[Decl_conformitate],"Da")=1,1,0))</f>
        <v>0</v>
      </c>
      <c r="W509" s="22">
        <f>IF(OR(C509="",T509&lt;&gt;"Confirmata"),0,IF(COUNTIFS(tTQMReguliDoc[Cheie_regula],S509,tTQMReguliDoc[Decl_producator],"Da")=1,1,0))</f>
        <v>0</v>
      </c>
      <c r="X509" s="22">
        <f>IF(OR(C509="",T509&lt;&gt;"Confirmata"),0,IF(COUNTIFS(tTQMReguliDoc[Cheie_regula],S509,tTQMReguliDoc[Fise_tehnice],"Da")=1,1,0))</f>
        <v>0</v>
      </c>
      <c r="Y509" s="22" t="str">
        <f t="shared" si="44"/>
        <v/>
      </c>
      <c r="Z509" s="22"/>
      <c r="AA509" s="22"/>
    </row>
    <row r="510" spans="1:27" ht="15" customHeight="1">
      <c r="A510" s="23"/>
      <c r="B510" s="24"/>
      <c r="C510" s="23"/>
      <c r="D510" s="23"/>
      <c r="E510" s="23"/>
      <c r="F510" s="23" t="str">
        <f t="shared" si="40"/>
        <v/>
      </c>
      <c r="G510" s="23"/>
      <c r="H510" s="23"/>
      <c r="I510" s="23"/>
      <c r="J510" s="23" t="str">
        <f t="shared" si="41"/>
        <v/>
      </c>
      <c r="K510" s="23" t="str">
        <f t="shared" si="42"/>
        <v/>
      </c>
      <c r="L510" s="23"/>
      <c r="M510" s="23"/>
      <c r="N510" s="22"/>
      <c r="O510" s="25"/>
      <c r="P510" s="26"/>
      <c r="Q510" s="22"/>
      <c r="R510" s="22"/>
      <c r="S510" s="22" t="str">
        <f t="shared" si="43"/>
        <v/>
      </c>
      <c r="T510" s="22" t="str">
        <f>IF(C510="","",IF(COUNTIF(tTQMReguliDoc[Cheie_regula],S510)&lt;&gt;1,"REGULA NECONFIGURATA",IF(COUNTIFS(tTQMReguliDoc[Cheie_regula],S510,tTQMReguliDoc[Stare],"Confirmata")=1,"Confirmata","De confirmat")))</f>
        <v/>
      </c>
      <c r="U510" s="22">
        <f>IF(OR(C510="",T510&lt;&gt;"Confirmata"),0,IF(COUNTIFS(tTQMReguliDoc[Cheie_regula],S510,tTQMReguliDoc[Aviz],"Da")=1,1,0))</f>
        <v>0</v>
      </c>
      <c r="V510" s="22">
        <f>IF(OR(C510="",T510&lt;&gt;"Confirmata"),0,IF(COUNTIFS(tTQMReguliDoc[Cheie_regula],S510,tTQMReguliDoc[Decl_conformitate],"Da")=1,1,0))</f>
        <v>0</v>
      </c>
      <c r="W510" s="22">
        <f>IF(OR(C510="",T510&lt;&gt;"Confirmata"),0,IF(COUNTIFS(tTQMReguliDoc[Cheie_regula],S510,tTQMReguliDoc[Decl_producator],"Da")=1,1,0))</f>
        <v>0</v>
      </c>
      <c r="X510" s="22">
        <f>IF(OR(C510="",T510&lt;&gt;"Confirmata"),0,IF(COUNTIFS(tTQMReguliDoc[Cheie_regula],S510,tTQMReguliDoc[Fise_tehnice],"Da")=1,1,0))</f>
        <v>0</v>
      </c>
      <c r="Y510" s="22" t="str">
        <f t="shared" si="44"/>
        <v/>
      </c>
      <c r="Z510" s="22"/>
      <c r="AA510" s="22"/>
    </row>
    <row r="511" spans="1:27" ht="15" customHeight="1">
      <c r="A511" s="23"/>
      <c r="B511" s="24"/>
      <c r="C511" s="23"/>
      <c r="D511" s="23"/>
      <c r="E511" s="23"/>
      <c r="F511" s="23" t="str">
        <f t="shared" si="40"/>
        <v/>
      </c>
      <c r="G511" s="23"/>
      <c r="H511" s="23"/>
      <c r="I511" s="23"/>
      <c r="J511" s="23" t="str">
        <f t="shared" si="41"/>
        <v/>
      </c>
      <c r="K511" s="23" t="str">
        <f t="shared" si="42"/>
        <v/>
      </c>
      <c r="L511" s="23"/>
      <c r="M511" s="23"/>
      <c r="N511" s="22"/>
      <c r="O511" s="25"/>
      <c r="P511" s="26"/>
      <c r="Q511" s="22"/>
      <c r="R511" s="22"/>
      <c r="S511" s="22" t="str">
        <f t="shared" si="43"/>
        <v/>
      </c>
      <c r="T511" s="22" t="str">
        <f>IF(C511="","",IF(COUNTIF(tTQMReguliDoc[Cheie_regula],S511)&lt;&gt;1,"REGULA NECONFIGURATA",IF(COUNTIFS(tTQMReguliDoc[Cheie_regula],S511,tTQMReguliDoc[Stare],"Confirmata")=1,"Confirmata","De confirmat")))</f>
        <v/>
      </c>
      <c r="U511" s="22">
        <f>IF(OR(C511="",T511&lt;&gt;"Confirmata"),0,IF(COUNTIFS(tTQMReguliDoc[Cheie_regula],S511,tTQMReguliDoc[Aviz],"Da")=1,1,0))</f>
        <v>0</v>
      </c>
      <c r="V511" s="22">
        <f>IF(OR(C511="",T511&lt;&gt;"Confirmata"),0,IF(COUNTIFS(tTQMReguliDoc[Cheie_regula],S511,tTQMReguliDoc[Decl_conformitate],"Da")=1,1,0))</f>
        <v>0</v>
      </c>
      <c r="W511" s="22">
        <f>IF(OR(C511="",T511&lt;&gt;"Confirmata"),0,IF(COUNTIFS(tTQMReguliDoc[Cheie_regula],S511,tTQMReguliDoc[Decl_producator],"Da")=1,1,0))</f>
        <v>0</v>
      </c>
      <c r="X511" s="22">
        <f>IF(OR(C511="",T511&lt;&gt;"Confirmata"),0,IF(COUNTIFS(tTQMReguliDoc[Cheie_regula],S511,tTQMReguliDoc[Fise_tehnice],"Da")=1,1,0))</f>
        <v>0</v>
      </c>
      <c r="Y511" s="22" t="str">
        <f t="shared" si="44"/>
        <v/>
      </c>
      <c r="Z511" s="22"/>
      <c r="AA511" s="22"/>
    </row>
    <row r="512" spans="1:27" ht="15" customHeight="1">
      <c r="A512" s="23"/>
      <c r="B512" s="24"/>
      <c r="C512" s="23"/>
      <c r="D512" s="23"/>
      <c r="E512" s="23"/>
      <c r="F512" s="23" t="str">
        <f t="shared" si="40"/>
        <v/>
      </c>
      <c r="G512" s="23"/>
      <c r="H512" s="23"/>
      <c r="I512" s="23"/>
      <c r="J512" s="23" t="str">
        <f t="shared" si="41"/>
        <v/>
      </c>
      <c r="K512" s="23" t="str">
        <f t="shared" si="42"/>
        <v/>
      </c>
      <c r="L512" s="23"/>
      <c r="M512" s="23"/>
      <c r="N512" s="22"/>
      <c r="O512" s="25"/>
      <c r="P512" s="26"/>
      <c r="Q512" s="22"/>
      <c r="R512" s="22"/>
      <c r="S512" s="22" t="str">
        <f t="shared" si="43"/>
        <v/>
      </c>
      <c r="T512" s="22" t="str">
        <f>IF(C512="","",IF(COUNTIF(tTQMReguliDoc[Cheie_regula],S512)&lt;&gt;1,"REGULA NECONFIGURATA",IF(COUNTIFS(tTQMReguliDoc[Cheie_regula],S512,tTQMReguliDoc[Stare],"Confirmata")=1,"Confirmata","De confirmat")))</f>
        <v/>
      </c>
      <c r="U512" s="22">
        <f>IF(OR(C512="",T512&lt;&gt;"Confirmata"),0,IF(COUNTIFS(tTQMReguliDoc[Cheie_regula],S512,tTQMReguliDoc[Aviz],"Da")=1,1,0))</f>
        <v>0</v>
      </c>
      <c r="V512" s="22">
        <f>IF(OR(C512="",T512&lt;&gt;"Confirmata"),0,IF(COUNTIFS(tTQMReguliDoc[Cheie_regula],S512,tTQMReguliDoc[Decl_conformitate],"Da")=1,1,0))</f>
        <v>0</v>
      </c>
      <c r="W512" s="22">
        <f>IF(OR(C512="",T512&lt;&gt;"Confirmata"),0,IF(COUNTIFS(tTQMReguliDoc[Cheie_regula],S512,tTQMReguliDoc[Decl_producator],"Da")=1,1,0))</f>
        <v>0</v>
      </c>
      <c r="X512" s="22">
        <f>IF(OR(C512="",T512&lt;&gt;"Confirmata"),0,IF(COUNTIFS(tTQMReguliDoc[Cheie_regula],S512,tTQMReguliDoc[Fise_tehnice],"Da")=1,1,0))</f>
        <v>0</v>
      </c>
      <c r="Y512" s="22" t="str">
        <f t="shared" si="44"/>
        <v/>
      </c>
      <c r="Z512" s="22"/>
      <c r="AA512" s="22"/>
    </row>
    <row r="513" spans="1:27" ht="15" customHeight="1">
      <c r="A513" s="23"/>
      <c r="B513" s="24"/>
      <c r="C513" s="23"/>
      <c r="D513" s="23"/>
      <c r="E513" s="23"/>
      <c r="F513" s="23" t="str">
        <f t="shared" si="40"/>
        <v/>
      </c>
      <c r="G513" s="23"/>
      <c r="H513" s="23"/>
      <c r="I513" s="23"/>
      <c r="J513" s="23" t="str">
        <f t="shared" si="41"/>
        <v/>
      </c>
      <c r="K513" s="23" t="str">
        <f t="shared" si="42"/>
        <v/>
      </c>
      <c r="L513" s="23"/>
      <c r="M513" s="23"/>
      <c r="N513" s="22"/>
      <c r="O513" s="25"/>
      <c r="P513" s="26"/>
      <c r="Q513" s="22"/>
      <c r="R513" s="22"/>
      <c r="S513" s="22" t="str">
        <f t="shared" si="43"/>
        <v/>
      </c>
      <c r="T513" s="22" t="str">
        <f>IF(C513="","",IF(COUNTIF(tTQMReguliDoc[Cheie_regula],S513)&lt;&gt;1,"REGULA NECONFIGURATA",IF(COUNTIFS(tTQMReguliDoc[Cheie_regula],S513,tTQMReguliDoc[Stare],"Confirmata")=1,"Confirmata","De confirmat")))</f>
        <v/>
      </c>
      <c r="U513" s="22">
        <f>IF(OR(C513="",T513&lt;&gt;"Confirmata"),0,IF(COUNTIFS(tTQMReguliDoc[Cheie_regula],S513,tTQMReguliDoc[Aviz],"Da")=1,1,0))</f>
        <v>0</v>
      </c>
      <c r="V513" s="22">
        <f>IF(OR(C513="",T513&lt;&gt;"Confirmata"),0,IF(COUNTIFS(tTQMReguliDoc[Cheie_regula],S513,tTQMReguliDoc[Decl_conformitate],"Da")=1,1,0))</f>
        <v>0</v>
      </c>
      <c r="W513" s="22">
        <f>IF(OR(C513="",T513&lt;&gt;"Confirmata"),0,IF(COUNTIFS(tTQMReguliDoc[Cheie_regula],S513,tTQMReguliDoc[Decl_producator],"Da")=1,1,0))</f>
        <v>0</v>
      </c>
      <c r="X513" s="22">
        <f>IF(OR(C513="",T513&lt;&gt;"Confirmata"),0,IF(COUNTIFS(tTQMReguliDoc[Cheie_regula],S513,tTQMReguliDoc[Fise_tehnice],"Da")=1,1,0))</f>
        <v>0</v>
      </c>
      <c r="Y513" s="22" t="str">
        <f t="shared" si="44"/>
        <v/>
      </c>
      <c r="Z513" s="22"/>
      <c r="AA513" s="22"/>
    </row>
  </sheetData>
  <autoFilter ref="A12:Z500" xr:uid="{00000000-0001-0000-0100-000000000000}"/>
  <mergeCells count="16">
    <mergeCell ref="A1:M1"/>
    <mergeCell ref="A2:M2"/>
    <mergeCell ref="A4:D4"/>
    <mergeCell ref="F4:M4"/>
    <mergeCell ref="B5:D5"/>
    <mergeCell ref="B11:D11"/>
    <mergeCell ref="F5:G7"/>
    <mergeCell ref="H5:I7"/>
    <mergeCell ref="J5:K7"/>
    <mergeCell ref="L5:M7"/>
    <mergeCell ref="F9:M9"/>
    <mergeCell ref="B6:D6"/>
    <mergeCell ref="B7:D7"/>
    <mergeCell ref="B8:D8"/>
    <mergeCell ref="B9:D9"/>
    <mergeCell ref="B10:D10"/>
  </mergeCells>
  <conditionalFormatting sqref="F501:F513">
    <cfRule type="containsText" dxfId="378" priority="1" operator="containsText" text="OBLIGATORIU AVIZ"/>
  </conditionalFormatting>
  <conditionalFormatting sqref="F501:I513">
    <cfRule type="containsText" dxfId="377" priority="2" operator="containsText" text="NU"/>
  </conditionalFormatting>
  <conditionalFormatting sqref="G501:I513">
    <cfRule type="containsText" dxfId="376" priority="3" operator="containsText" text="Lipsa"/>
    <cfRule type="containsText" dxfId="375" priority="4" operator="containsText" text="Primit"/>
    <cfRule type="containsText" dxfId="374" priority="5" operator="containsText" text="N/A"/>
  </conditionalFormatting>
  <conditionalFormatting sqref="J501:J513">
    <cfRule type="containsText" dxfId="373" priority="6" operator="containsText" text="DOSAR COMPLET"/>
    <cfRule type="containsText" dxfId="372" priority="7" operator="containsText" text="INCOMPLET"/>
  </conditionalFormatting>
  <conditionalFormatting sqref="K501:K513">
    <cfRule type="containsText" dxfId="371" priority="8" operator="containsText" text="Declaratie"/>
  </conditionalFormatting>
  <conditionalFormatting sqref="F13:F500">
    <cfRule type="containsText" dxfId="370" priority="9" stopIfTrue="1" operator="containsText" text="OBLIGATORIU AVIZ">
      <formula>NOT(ISERROR(SEARCH("OBLIGATORIU AVIZ",F13)))</formula>
    </cfRule>
  </conditionalFormatting>
  <conditionalFormatting sqref="F13:I500">
    <cfRule type="containsText" dxfId="369" priority="10" stopIfTrue="1" operator="containsText" text="NU">
      <formula>NOT(ISERROR(SEARCH("NU",F13)))</formula>
    </cfRule>
  </conditionalFormatting>
  <conditionalFormatting sqref="G13:I500">
    <cfRule type="containsText" dxfId="368" priority="11" stopIfTrue="1" operator="containsText" text="Lipsa">
      <formula>NOT(ISERROR(SEARCH("Lipsa",G13)))</formula>
    </cfRule>
    <cfRule type="containsText" dxfId="367" priority="12" stopIfTrue="1" operator="containsText" text="Primit">
      <formula>NOT(ISERROR(SEARCH("Primit",G13)))</formula>
    </cfRule>
    <cfRule type="containsText" dxfId="366" priority="13" stopIfTrue="1" operator="containsText" text="N/A">
      <formula>NOT(ISERROR(SEARCH("N/A",G13)))</formula>
    </cfRule>
  </conditionalFormatting>
  <conditionalFormatting sqref="J13:J500">
    <cfRule type="containsText" dxfId="365" priority="14" stopIfTrue="1" operator="containsText" text="DOSAR COMPLET">
      <formula>NOT(ISERROR(SEARCH("DOSAR COMPLET",J13)))</formula>
    </cfRule>
    <cfRule type="containsText" dxfId="364" priority="15" stopIfTrue="1" operator="containsText" text="INCOMPLET">
      <formula>NOT(ISERROR(SEARCH("INCOMPLET",J13)))</formula>
    </cfRule>
  </conditionalFormatting>
  <conditionalFormatting sqref="K13:K500">
    <cfRule type="containsText" dxfId="363" priority="16" stopIfTrue="1" operator="containsText" text="Declaratie">
      <formula>NOT(ISERROR(SEARCH("Declaratie",K13)))</formula>
    </cfRule>
  </conditionalFormatting>
  <dataValidations count="3">
    <dataValidation type="list" allowBlank="1" showInputMessage="1" showErrorMessage="1" error="Alegeti o valoare activa din lista." sqref="B6:D6" xr:uid="{B73B788D-BB8D-4A66-BF8C-BBA95472AD3F}">
      <formula1>TQM_SL_TIP_PARTENER_CONTROL</formula1>
    </dataValidation>
    <dataValidation type="list" allowBlank="1" showInputMessage="1" showErrorMessage="1" error="Alegeti o valoare activa din lista." sqref="B7:D7" xr:uid="{D40E8BD9-20BF-43FF-8D45-CF3E6FA5CF23}">
      <formula1>TQM_SL_TIP_INTRARE</formula1>
    </dataValidation>
    <dataValidation type="list" allowBlank="1" showInputMessage="1" showErrorMessage="1" error="Alegeti o valoare activa din lista." sqref="B8:D10" xr:uid="{832A8EB6-A314-4428-ADF6-A8FFE3B03230}">
      <formula1>TQM_SL_STATUT_DOCUMENT</formula1>
    </dataValidation>
  </dataValidation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F48"/>
  <sheetViews>
    <sheetView showGridLines="0" zoomScale="85" zoomScaleNormal="85" workbookViewId="0">
      <pane xSplit="2" ySplit="3" topLeftCell="C4" activePane="bottomRight" state="frozen"/>
      <selection pane="bottomRight" activeCell="C4" sqref="C4"/>
    </sheetView>
  </sheetViews>
  <sheetFormatPr defaultRowHeight="14.4"/>
  <cols>
    <col min="1" max="1" width="22.77734375" customWidth="1"/>
    <col min="2" max="2" width="15.77734375" customWidth="1"/>
    <col min="3" max="3" width="23.77734375" customWidth="1"/>
    <col min="4" max="4" width="15.77734375" customWidth="1"/>
    <col min="5" max="5" width="10.77734375" customWidth="1"/>
    <col min="6" max="6" width="14.77734375" customWidth="1"/>
    <col min="7" max="7" width="15.5546875" customWidth="1"/>
    <col min="8" max="8" width="15.77734375" customWidth="1"/>
    <col min="9" max="9" width="14.88671875" customWidth="1"/>
    <col min="10" max="10" width="16.88671875" customWidth="1"/>
    <col min="11" max="11" width="24.77734375" customWidth="1"/>
    <col min="12" max="12" width="28.77734375" customWidth="1"/>
    <col min="13" max="20" width="24.77734375" customWidth="1"/>
    <col min="21" max="21" width="20" hidden="1" customWidth="1"/>
    <col min="22" max="22" width="17.33203125" hidden="1" customWidth="1"/>
    <col min="23" max="23" width="14" hidden="1" customWidth="1"/>
    <col min="24" max="24" width="17.5546875" hidden="1" customWidth="1"/>
    <col min="25" max="26" width="12.77734375" hidden="1" customWidth="1"/>
    <col min="27" max="27" width="14" hidden="1" customWidth="1"/>
    <col min="28" max="28" width="12.77734375" hidden="1" customWidth="1"/>
    <col min="29" max="29" width="14" hidden="1" customWidth="1"/>
    <col min="30" max="33" width="0" hidden="1" customWidth="1"/>
  </cols>
  <sheetData>
    <row r="1" spans="1:32" ht="22.95" customHeight="1">
      <c r="A1" s="57"/>
      <c r="B1" s="57"/>
      <c r="C1" s="57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57"/>
      <c r="T1" s="57"/>
      <c r="U1" s="57"/>
      <c r="V1" s="57"/>
      <c r="W1" s="57"/>
      <c r="X1" s="57"/>
      <c r="Y1" s="57"/>
      <c r="Z1" s="57"/>
      <c r="AA1" s="57"/>
      <c r="AB1" s="57"/>
      <c r="AC1" s="57"/>
      <c r="AF1" t="s">
        <v>1196</v>
      </c>
    </row>
    <row r="2" spans="1:32" ht="34.049999999999997" customHeight="1">
      <c r="A2" s="161" t="s">
        <v>1182</v>
      </c>
      <c r="B2" s="161"/>
      <c r="C2" s="161"/>
      <c r="D2" s="161"/>
      <c r="E2" s="161"/>
      <c r="F2" s="161"/>
      <c r="G2" s="161"/>
      <c r="H2" s="161"/>
      <c r="I2" s="161"/>
      <c r="J2" s="161"/>
      <c r="K2" s="161"/>
      <c r="L2" s="161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</row>
    <row r="3" spans="1:32" ht="22.95" customHeight="1">
      <c r="A3" s="162"/>
      <c r="B3" s="162"/>
      <c r="C3" s="162"/>
      <c r="D3" s="162"/>
      <c r="E3" s="162"/>
      <c r="F3" s="162"/>
      <c r="G3" s="162"/>
      <c r="H3" s="162"/>
      <c r="I3" s="162"/>
      <c r="J3" s="162"/>
      <c r="K3" s="162"/>
      <c r="L3" s="162"/>
      <c r="M3" s="57"/>
      <c r="N3" s="57"/>
      <c r="O3" s="57"/>
      <c r="P3" s="57"/>
      <c r="Q3" s="57"/>
      <c r="R3" s="57"/>
      <c r="S3" s="57"/>
      <c r="T3" s="57"/>
      <c r="U3" s="57"/>
      <c r="V3" s="57"/>
      <c r="W3" s="57"/>
      <c r="X3" s="57"/>
      <c r="Y3" s="57"/>
      <c r="Z3" s="57"/>
      <c r="AA3" s="57"/>
      <c r="AB3" s="57"/>
      <c r="AC3" s="57"/>
    </row>
    <row r="4" spans="1:32" ht="22.95" customHeight="1">
      <c r="A4" s="57"/>
      <c r="B4" s="57"/>
      <c r="C4" s="57"/>
      <c r="D4" s="57"/>
      <c r="E4" s="57"/>
      <c r="F4" s="57"/>
      <c r="G4" s="57"/>
      <c r="H4" s="57"/>
      <c r="I4" s="57"/>
      <c r="J4" s="57"/>
      <c r="K4" s="57"/>
      <c r="L4" s="57"/>
      <c r="M4" s="57"/>
      <c r="N4" s="57"/>
      <c r="O4" s="57"/>
      <c r="P4" s="57"/>
      <c r="Q4" s="57"/>
      <c r="R4" s="57"/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</row>
    <row r="5" spans="1:32" ht="22.95" customHeight="1">
      <c r="A5" s="164" t="s">
        <v>1183</v>
      </c>
      <c r="B5" s="164"/>
      <c r="C5" s="164"/>
      <c r="D5" s="164" t="s">
        <v>1184</v>
      </c>
      <c r="E5" s="164"/>
      <c r="F5" s="164"/>
      <c r="G5" s="164" t="s">
        <v>1185</v>
      </c>
      <c r="H5" s="164"/>
      <c r="I5" s="164"/>
      <c r="J5" s="164" t="s">
        <v>1186</v>
      </c>
      <c r="K5" s="164"/>
      <c r="L5" s="164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</row>
    <row r="6" spans="1:32" ht="22.95" customHeight="1">
      <c r="A6" s="165">
        <f>COUNTIFS(tTQMCereri[Status],"DE OFERTAT")+COUNTIFS(tTQMCereri[Status],"DE APROBAT")+COUNTIFS(tTQMCereri[Status],"APROBATA")+COUNTIFS(tTQMCereri[Status],"RECONFIRMA APROBAREA")+COUNTIFS(tTQMCereri[Status],"ID CERERE DUPLICAT")</f>
        <v>0</v>
      </c>
      <c r="B6" s="165"/>
      <c r="C6" s="165"/>
      <c r="D6" s="165">
        <f>COUNTIFS(tTQMCereri[Status],"DE OFERTAT")</f>
        <v>0</v>
      </c>
      <c r="E6" s="165"/>
      <c r="F6" s="165"/>
      <c r="G6" s="165">
        <f>COUNTIFS(tTQMCereri[Status],"DE APROBAT")+COUNTIFS(tTQMCereri[Status],"RECONFIRMA APROBAREA")</f>
        <v>0</v>
      </c>
      <c r="H6" s="165"/>
      <c r="I6" s="165"/>
      <c r="J6" s="165">
        <f>COUNTIFS(tTQMCereri[Status],"APROBATA")</f>
        <v>0</v>
      </c>
      <c r="K6" s="165"/>
      <c r="L6" s="165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</row>
    <row r="7" spans="1:32" ht="22.95" customHeight="1">
      <c r="A7" s="165"/>
      <c r="B7" s="165"/>
      <c r="C7" s="165"/>
      <c r="D7" s="165"/>
      <c r="E7" s="165"/>
      <c r="F7" s="165"/>
      <c r="G7" s="165"/>
      <c r="H7" s="165"/>
      <c r="I7" s="165"/>
      <c r="J7" s="165"/>
      <c r="K7" s="165"/>
      <c r="L7" s="165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</row>
    <row r="8" spans="1:32" ht="22.95" customHeight="1">
      <c r="A8" s="57"/>
      <c r="B8" s="57"/>
      <c r="C8" s="57"/>
      <c r="D8" s="57"/>
      <c r="E8" s="57"/>
      <c r="F8" s="57"/>
      <c r="G8" s="57"/>
      <c r="H8" s="57"/>
      <c r="I8" s="57"/>
      <c r="J8" s="57"/>
      <c r="K8" s="57"/>
      <c r="L8" s="57"/>
      <c r="M8" s="57"/>
      <c r="N8" s="57"/>
      <c r="O8" s="57"/>
      <c r="P8" s="57"/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</row>
    <row r="9" spans="1:32" ht="22.95" customHeight="1">
      <c r="A9" s="141" t="s">
        <v>1187</v>
      </c>
      <c r="B9" s="141"/>
      <c r="C9" s="166"/>
      <c r="D9" s="166"/>
      <c r="E9" s="166"/>
      <c r="F9" s="166"/>
      <c r="G9" s="141" t="str">
        <f>IF($C$9="","Alegeti cererea pentru comparatie",IF(COUNTIFS(tTQMCereri[ID_cerere],$C$9)&lt;&gt;1,"ID cerere invalid / duplicat",INDEX(tTQMCereri[Proiect],MATCH($C$9,tTQMCereri[ID_cerere],0))&amp;" / "&amp;INDEX(tTQMCereri[Material],MATCH($C$9,tTQMCereri[ID_cerere],0))))</f>
        <v>Alegeti cererea pentru comparatie</v>
      </c>
      <c r="H9" s="141"/>
      <c r="I9" s="141"/>
      <c r="J9" s="141"/>
      <c r="K9" s="141"/>
      <c r="L9" s="141"/>
      <c r="M9" s="57"/>
      <c r="N9" s="57"/>
      <c r="O9" s="57"/>
      <c r="P9" s="57"/>
      <c r="Q9" s="57"/>
      <c r="R9" s="57"/>
      <c r="S9" s="57"/>
      <c r="T9" s="57"/>
      <c r="U9" s="57"/>
      <c r="V9" s="57"/>
      <c r="W9" s="57"/>
      <c r="X9" s="57"/>
      <c r="Y9" s="57"/>
      <c r="Z9" s="57"/>
      <c r="AA9" s="57"/>
      <c r="AB9" s="57"/>
      <c r="AC9" s="57"/>
    </row>
    <row r="10" spans="1:32" ht="22.95" customHeight="1">
      <c r="A10" s="163" t="s">
        <v>1188</v>
      </c>
      <c r="B10" s="163"/>
      <c r="C10" s="163"/>
      <c r="D10" s="163"/>
      <c r="E10" s="163"/>
      <c r="F10" s="163"/>
      <c r="G10" s="163"/>
      <c r="H10" s="163"/>
      <c r="I10" s="163"/>
      <c r="J10" s="163"/>
      <c r="K10" s="163"/>
      <c r="L10" s="163"/>
      <c r="M10" s="57"/>
      <c r="N10" s="57"/>
      <c r="O10" s="57"/>
      <c r="P10" s="57"/>
      <c r="Q10" s="57"/>
      <c r="R10" s="57"/>
      <c r="S10" s="57"/>
      <c r="T10" s="57"/>
      <c r="U10" s="57"/>
      <c r="V10" s="57"/>
      <c r="W10" s="57"/>
      <c r="X10" s="57"/>
      <c r="Y10" s="57"/>
      <c r="Z10" s="57"/>
      <c r="AA10" s="57"/>
      <c r="AB10" s="57"/>
      <c r="AC10" s="57"/>
    </row>
    <row r="11" spans="1:32" ht="22.95" customHeight="1">
      <c r="A11" s="57"/>
      <c r="B11" s="57"/>
      <c r="C11" s="57"/>
      <c r="D11" s="57"/>
      <c r="E11" s="57"/>
      <c r="F11" s="57"/>
      <c r="G11" s="57"/>
      <c r="H11" s="57"/>
      <c r="I11" s="57"/>
      <c r="J11" s="57"/>
      <c r="K11" s="57"/>
      <c r="L11" s="57"/>
      <c r="M11" s="57"/>
      <c r="N11" s="57"/>
      <c r="O11" s="57"/>
      <c r="P11" s="57"/>
      <c r="Q11" s="57"/>
      <c r="R11" s="57"/>
      <c r="S11" s="57"/>
      <c r="T11" s="57"/>
      <c r="U11" s="57"/>
      <c r="V11" s="57"/>
      <c r="W11" s="57"/>
      <c r="X11" s="57"/>
      <c r="Y11" s="57"/>
      <c r="Z11" s="57"/>
      <c r="AA11" s="57"/>
      <c r="AB11" s="57"/>
      <c r="AC11" s="57"/>
    </row>
    <row r="12" spans="1:32" ht="22.95" customHeight="1">
      <c r="A12" s="167" t="s">
        <v>1189</v>
      </c>
      <c r="B12" s="167"/>
      <c r="C12" s="167" t="s">
        <v>21</v>
      </c>
      <c r="D12" s="167"/>
      <c r="E12" s="167" t="s">
        <v>1190</v>
      </c>
      <c r="F12" s="167"/>
      <c r="G12" s="167" t="s">
        <v>68</v>
      </c>
      <c r="H12" s="167"/>
      <c r="I12" s="167" t="s">
        <v>1191</v>
      </c>
      <c r="J12" s="167"/>
      <c r="K12" s="167" t="s">
        <v>1192</v>
      </c>
      <c r="L12" s="167"/>
      <c r="M12" s="57"/>
      <c r="N12" s="57"/>
      <c r="O12" s="57"/>
      <c r="P12" s="57"/>
      <c r="Q12" s="57"/>
      <c r="R12" s="57"/>
      <c r="S12" s="57"/>
      <c r="T12" s="57"/>
      <c r="U12" s="57"/>
      <c r="V12" s="57"/>
      <c r="W12" s="57"/>
      <c r="X12" s="57"/>
      <c r="Y12" s="57"/>
      <c r="Z12" s="57"/>
      <c r="AA12" s="57"/>
      <c r="AB12" s="57"/>
      <c r="AC12" s="57"/>
    </row>
    <row r="13" spans="1:32" ht="37.950000000000003" customHeight="1">
      <c r="A13" s="139" t="str">
        <f>IF(OR($C$9="",COUNTIFS(tTQMOferte[Cheie_cost],$C$9&amp;"#1")&lt;&gt;1),"",INDEX(tTQMOferte[ID_oferta],MATCH($C$9&amp;"#1",tTQMOferte[Cheie_cost],0)))</f>
        <v/>
      </c>
      <c r="B13" s="139"/>
      <c r="C13" s="139" t="str">
        <f>IF(OR($C$9="",COUNTIFS(tTQMOferte[Cheie_cost],$C$9&amp;"#1")&lt;&gt;1),"",INDEX(tTQMOferte[Furnizor],MATCH($C$9&amp;"#1",tTQMOferte[Cheie_cost],0)))</f>
        <v/>
      </c>
      <c r="D13" s="139"/>
      <c r="E13" s="168" t="str">
        <f>IF(OR($C$9="",COUNTIFS(tTQMOferte[Cheie_cost],$C$9&amp;"#1")&lt;&gt;1),"",INDEX(tTQMOferte[Total_RON],MATCH($C$9&amp;"#1",tTQMOferte[Cheie_cost],0)))</f>
        <v/>
      </c>
      <c r="F13" s="168"/>
      <c r="G13" s="169" t="str">
        <f>IF(OR($C$9="",COUNTIFS(tTQMOferte[Cheie_cost],$C$9&amp;"#1")&lt;&gt;1),"",INDEX(tTQMOferte[Data_livrare],MATCH($C$9&amp;"#1",tTQMOferte[Cheie_cost],0)))</f>
        <v/>
      </c>
      <c r="H13" s="169"/>
      <c r="I13" s="139" t="str">
        <f>IF(OR($C$9="",COUNTIFS(tTQMOferte[Cheie_cost],$C$9&amp;"#1")&lt;&gt;1),"",IF(INDEX(tTQMOferte[Eligibila],MATCH($C$9&amp;"#1",tTQMOferte[Cheie_cost],0))=1,"DA","NU"))</f>
        <v/>
      </c>
      <c r="J13" s="139"/>
      <c r="K13" s="139" t="str">
        <f>IF(OR($C$9="",COUNTIFS(tTQMOferte[Cheie_cost],$C$9&amp;"#1")&lt;&gt;1),"",IF(INDEX(tTQMOferte[Eligibila],MATCH($C$9&amp;"#1",tTQMOferte[Cheie_cost],0))=0,INDEX(tTQMOferte[Motiv],MATCH($C$9&amp;"#1",tTQMOferte[Cheie_cost],0)),IF(INDEX(tTQMOferte[Rang_eligibil],MATCH($C$9&amp;"#1",tTQMOferte[Cheie_cost],0))=1,"Cost minim eligibil","Comparabila")))</f>
        <v/>
      </c>
      <c r="L13" s="139"/>
      <c r="M13" s="57"/>
      <c r="N13" s="57"/>
      <c r="O13" s="57"/>
      <c r="P13" s="57"/>
      <c r="Q13" s="57"/>
      <c r="R13" s="57"/>
      <c r="S13" s="57"/>
      <c r="T13" s="57"/>
      <c r="U13" s="57"/>
      <c r="V13" s="57"/>
      <c r="W13" s="57"/>
      <c r="X13" s="57"/>
      <c r="Y13" s="57"/>
      <c r="Z13" s="57"/>
      <c r="AA13" s="57"/>
      <c r="AB13" s="57"/>
      <c r="AC13" s="57"/>
    </row>
    <row r="14" spans="1:32" ht="37.950000000000003" customHeight="1">
      <c r="A14" s="141" t="str">
        <f>IF(OR($C$9="",COUNTIFS(tTQMOferte[Cheie_cost],$C$9&amp;"#2")&lt;&gt;1),"",INDEX(tTQMOferte[ID_oferta],MATCH($C$9&amp;"#2",tTQMOferte[Cheie_cost],0)))</f>
        <v/>
      </c>
      <c r="B14" s="141"/>
      <c r="C14" s="141" t="str">
        <f>IF(OR($C$9="",COUNTIFS(tTQMOferte[Cheie_cost],$C$9&amp;"#2")&lt;&gt;1),"",INDEX(tTQMOferte[Furnizor],MATCH($C$9&amp;"#2",tTQMOferte[Cheie_cost],0)))</f>
        <v/>
      </c>
      <c r="D14" s="141"/>
      <c r="E14" s="170" t="str">
        <f>IF(OR($C$9="",COUNTIFS(tTQMOferte[Cheie_cost],$C$9&amp;"#2")&lt;&gt;1),"",INDEX(tTQMOferte[Total_RON],MATCH($C$9&amp;"#2",tTQMOferte[Cheie_cost],0)))</f>
        <v/>
      </c>
      <c r="F14" s="170"/>
      <c r="G14" s="171" t="str">
        <f>IF(OR($C$9="",COUNTIFS(tTQMOferte[Cheie_cost],$C$9&amp;"#2")&lt;&gt;1),"",INDEX(tTQMOferte[Data_livrare],MATCH($C$9&amp;"#2",tTQMOferte[Cheie_cost],0)))</f>
        <v/>
      </c>
      <c r="H14" s="171"/>
      <c r="I14" s="141" t="str">
        <f>IF(OR($C$9="",COUNTIFS(tTQMOferte[Cheie_cost],$C$9&amp;"#2")&lt;&gt;1),"",IF(INDEX(tTQMOferte[Eligibila],MATCH($C$9&amp;"#2",tTQMOferte[Cheie_cost],0))=1,"DA","NU"))</f>
        <v/>
      </c>
      <c r="J14" s="141"/>
      <c r="K14" s="141" t="str">
        <f>IF(OR($C$9="",COUNTIFS(tTQMOferte[Cheie_cost],$C$9&amp;"#2")&lt;&gt;1),"",IF(INDEX(tTQMOferte[Eligibila],MATCH($C$9&amp;"#2",tTQMOferte[Cheie_cost],0))=0,INDEX(tTQMOferte[Motiv],MATCH($C$9&amp;"#2",tTQMOferte[Cheie_cost],0)),IF(INDEX(tTQMOferte[Rang_eligibil],MATCH($C$9&amp;"#2",tTQMOferte[Cheie_cost],0))=1,"Cost minim eligibil","Comparabila")))</f>
        <v/>
      </c>
      <c r="L14" s="141"/>
      <c r="M14" s="57"/>
      <c r="N14" s="57"/>
      <c r="O14" s="57"/>
      <c r="P14" s="57"/>
      <c r="Q14" s="57"/>
      <c r="R14" s="57"/>
      <c r="S14" s="57"/>
      <c r="T14" s="57"/>
      <c r="U14" s="57"/>
      <c r="V14" s="57"/>
      <c r="W14" s="57"/>
      <c r="X14" s="57"/>
      <c r="Y14" s="57"/>
      <c r="Z14" s="57"/>
      <c r="AA14" s="57"/>
      <c r="AB14" s="57"/>
      <c r="AC14" s="57"/>
    </row>
    <row r="15" spans="1:32" ht="37.950000000000003" customHeight="1">
      <c r="A15" s="139" t="str">
        <f>IF(OR($C$9="",COUNTIFS(tTQMOferte[Cheie_cost],$C$9&amp;"#3")&lt;&gt;1),"",INDEX(tTQMOferte[ID_oferta],MATCH($C$9&amp;"#3",tTQMOferte[Cheie_cost],0)))</f>
        <v/>
      </c>
      <c r="B15" s="139"/>
      <c r="C15" s="139" t="str">
        <f>IF(OR($C$9="",COUNTIFS(tTQMOferte[Cheie_cost],$C$9&amp;"#3")&lt;&gt;1),"",INDEX(tTQMOferte[Furnizor],MATCH($C$9&amp;"#3",tTQMOferte[Cheie_cost],0)))</f>
        <v/>
      </c>
      <c r="D15" s="139"/>
      <c r="E15" s="168" t="str">
        <f>IF(OR($C$9="",COUNTIFS(tTQMOferte[Cheie_cost],$C$9&amp;"#3")&lt;&gt;1),"",INDEX(tTQMOferte[Total_RON],MATCH($C$9&amp;"#3",tTQMOferte[Cheie_cost],0)))</f>
        <v/>
      </c>
      <c r="F15" s="168"/>
      <c r="G15" s="169" t="str">
        <f>IF(OR($C$9="",COUNTIFS(tTQMOferte[Cheie_cost],$C$9&amp;"#3")&lt;&gt;1),"",INDEX(tTQMOferte[Data_livrare],MATCH($C$9&amp;"#3",tTQMOferte[Cheie_cost],0)))</f>
        <v/>
      </c>
      <c r="H15" s="169"/>
      <c r="I15" s="139" t="str">
        <f>IF(OR($C$9="",COUNTIFS(tTQMOferte[Cheie_cost],$C$9&amp;"#3")&lt;&gt;1),"",IF(INDEX(tTQMOferte[Eligibila],MATCH($C$9&amp;"#3",tTQMOferte[Cheie_cost],0))=1,"DA","NU"))</f>
        <v/>
      </c>
      <c r="J15" s="139"/>
      <c r="K15" s="139" t="str">
        <f>IF(OR($C$9="",COUNTIFS(tTQMOferte[Cheie_cost],$C$9&amp;"#3")&lt;&gt;1),"",IF(INDEX(tTQMOferte[Eligibila],MATCH($C$9&amp;"#3",tTQMOferte[Cheie_cost],0))=0,INDEX(tTQMOferte[Motiv],MATCH($C$9&amp;"#3",tTQMOferte[Cheie_cost],0)),IF(INDEX(tTQMOferte[Rang_eligibil],MATCH($C$9&amp;"#3",tTQMOferte[Cheie_cost],0))=1,"Cost minim eligibil","Comparabila")))</f>
        <v/>
      </c>
      <c r="L15" s="139"/>
      <c r="M15" s="57"/>
      <c r="N15" s="57"/>
      <c r="O15" s="57"/>
      <c r="P15" s="57"/>
      <c r="Q15" s="57"/>
      <c r="R15" s="57"/>
      <c r="S15" s="57"/>
      <c r="T15" s="57"/>
      <c r="U15" s="57"/>
      <c r="V15" s="57"/>
      <c r="W15" s="57"/>
      <c r="X15" s="57"/>
      <c r="Y15" s="57"/>
      <c r="Z15" s="57"/>
      <c r="AA15" s="57"/>
      <c r="AB15" s="57"/>
      <c r="AC15" s="57"/>
    </row>
    <row r="16" spans="1:32" ht="37.950000000000003" customHeight="1">
      <c r="A16" s="141" t="str">
        <f>IF(OR($C$9="",COUNTIFS(tTQMOferte[Cheie_cost],$C$9&amp;"#4")&lt;&gt;1),"",INDEX(tTQMOferte[ID_oferta],MATCH($C$9&amp;"#4",tTQMOferte[Cheie_cost],0)))</f>
        <v/>
      </c>
      <c r="B16" s="141"/>
      <c r="C16" s="141" t="str">
        <f>IF(OR($C$9="",COUNTIFS(tTQMOferte[Cheie_cost],$C$9&amp;"#4")&lt;&gt;1),"",INDEX(tTQMOferte[Furnizor],MATCH($C$9&amp;"#4",tTQMOferte[Cheie_cost],0)))</f>
        <v/>
      </c>
      <c r="D16" s="141"/>
      <c r="E16" s="170" t="str">
        <f>IF(OR($C$9="",COUNTIFS(tTQMOferte[Cheie_cost],$C$9&amp;"#4")&lt;&gt;1),"",INDEX(tTQMOferte[Total_RON],MATCH($C$9&amp;"#4",tTQMOferte[Cheie_cost],0)))</f>
        <v/>
      </c>
      <c r="F16" s="170"/>
      <c r="G16" s="171" t="str">
        <f>IF(OR($C$9="",COUNTIFS(tTQMOferte[Cheie_cost],$C$9&amp;"#4")&lt;&gt;1),"",INDEX(tTQMOferte[Data_livrare],MATCH($C$9&amp;"#4",tTQMOferte[Cheie_cost],0)))</f>
        <v/>
      </c>
      <c r="H16" s="171"/>
      <c r="I16" s="141" t="str">
        <f>IF(OR($C$9="",COUNTIFS(tTQMOferte[Cheie_cost],$C$9&amp;"#4")&lt;&gt;1),"",IF(INDEX(tTQMOferte[Eligibila],MATCH($C$9&amp;"#4",tTQMOferte[Cheie_cost],0))=1,"DA","NU"))</f>
        <v/>
      </c>
      <c r="J16" s="141"/>
      <c r="K16" s="141" t="str">
        <f>IF(OR($C$9="",COUNTIFS(tTQMOferte[Cheie_cost],$C$9&amp;"#4")&lt;&gt;1),"",IF(INDEX(tTQMOferte[Eligibila],MATCH($C$9&amp;"#4",tTQMOferte[Cheie_cost],0))=0,INDEX(tTQMOferte[Motiv],MATCH($C$9&amp;"#4",tTQMOferte[Cheie_cost],0)),IF(INDEX(tTQMOferte[Rang_eligibil],MATCH($C$9&amp;"#4",tTQMOferte[Cheie_cost],0))=1,"Cost minim eligibil","Comparabila")))</f>
        <v/>
      </c>
      <c r="L16" s="141"/>
      <c r="M16" s="57"/>
      <c r="N16" s="57"/>
      <c r="O16" s="57"/>
      <c r="P16" s="57"/>
      <c r="Q16" s="57"/>
      <c r="R16" s="57"/>
      <c r="S16" s="57"/>
      <c r="T16" s="57"/>
      <c r="U16" s="57"/>
      <c r="V16" s="57"/>
      <c r="W16" s="57"/>
      <c r="X16" s="57"/>
      <c r="Y16" s="57"/>
      <c r="Z16" s="57"/>
      <c r="AA16" s="57"/>
      <c r="AB16" s="57"/>
      <c r="AC16" s="57"/>
    </row>
    <row r="17" spans="1:29" ht="37.950000000000003" customHeight="1">
      <c r="A17" s="139" t="str">
        <f>IF(OR($C$9="",COUNTIFS(tTQMOferte[Cheie_cost],$C$9&amp;"#5")&lt;&gt;1),"",INDEX(tTQMOferte[ID_oferta],MATCH($C$9&amp;"#5",tTQMOferte[Cheie_cost],0)))</f>
        <v/>
      </c>
      <c r="B17" s="139"/>
      <c r="C17" s="139" t="str">
        <f>IF(OR($C$9="",COUNTIFS(tTQMOferte[Cheie_cost],$C$9&amp;"#5")&lt;&gt;1),"",INDEX(tTQMOferte[Furnizor],MATCH($C$9&amp;"#5",tTQMOferte[Cheie_cost],0)))</f>
        <v/>
      </c>
      <c r="D17" s="139"/>
      <c r="E17" s="168" t="str">
        <f>IF(OR($C$9="",COUNTIFS(tTQMOferte[Cheie_cost],$C$9&amp;"#5")&lt;&gt;1),"",INDEX(tTQMOferte[Total_RON],MATCH($C$9&amp;"#5",tTQMOferte[Cheie_cost],0)))</f>
        <v/>
      </c>
      <c r="F17" s="168"/>
      <c r="G17" s="169" t="str">
        <f>IF(OR($C$9="",COUNTIFS(tTQMOferte[Cheie_cost],$C$9&amp;"#5")&lt;&gt;1),"",INDEX(tTQMOferte[Data_livrare],MATCH($C$9&amp;"#5",tTQMOferte[Cheie_cost],0)))</f>
        <v/>
      </c>
      <c r="H17" s="169"/>
      <c r="I17" s="139" t="str">
        <f>IF(OR($C$9="",COUNTIFS(tTQMOferte[Cheie_cost],$C$9&amp;"#5")&lt;&gt;1),"",IF(INDEX(tTQMOferte[Eligibila],MATCH($C$9&amp;"#5",tTQMOferte[Cheie_cost],0))=1,"DA","NU"))</f>
        <v/>
      </c>
      <c r="J17" s="139"/>
      <c r="K17" s="139" t="str">
        <f>IF(OR($C$9="",COUNTIFS(tTQMOferte[Cheie_cost],$C$9&amp;"#5")&lt;&gt;1),"",IF(INDEX(tTQMOferte[Eligibila],MATCH($C$9&amp;"#5",tTQMOferte[Cheie_cost],0))=0,INDEX(tTQMOferte[Motiv],MATCH($C$9&amp;"#5",tTQMOferte[Cheie_cost],0)),IF(INDEX(tTQMOferte[Rang_eligibil],MATCH($C$9&amp;"#5",tTQMOferte[Cheie_cost],0))=1,"Cost minim eligibil","Comparabila")))</f>
        <v/>
      </c>
      <c r="L17" s="139"/>
      <c r="M17" s="57"/>
      <c r="N17" s="57"/>
      <c r="O17" s="57"/>
      <c r="P17" s="57"/>
      <c r="Q17" s="57"/>
      <c r="R17" s="57"/>
      <c r="S17" s="57"/>
      <c r="T17" s="57"/>
      <c r="U17" s="57"/>
      <c r="V17" s="57"/>
      <c r="W17" s="57"/>
      <c r="X17" s="57"/>
      <c r="Y17" s="57"/>
      <c r="Z17" s="57"/>
      <c r="AA17" s="57"/>
      <c r="AB17" s="57"/>
      <c r="AC17" s="57"/>
    </row>
    <row r="18" spans="1:29" ht="37.950000000000003" customHeight="1">
      <c r="A18" s="141" t="str">
        <f>IF(OR($C$9="",COUNTIFS(tTQMOferte[Cheie_cost],$C$9&amp;"#6")&lt;&gt;1),"",INDEX(tTQMOferte[ID_oferta],MATCH($C$9&amp;"#6",tTQMOferte[Cheie_cost],0)))</f>
        <v/>
      </c>
      <c r="B18" s="141"/>
      <c r="C18" s="141" t="str">
        <f>IF(OR($C$9="",COUNTIFS(tTQMOferte[Cheie_cost],$C$9&amp;"#6")&lt;&gt;1),"",INDEX(tTQMOferte[Furnizor],MATCH($C$9&amp;"#6",tTQMOferte[Cheie_cost],0)))</f>
        <v/>
      </c>
      <c r="D18" s="141"/>
      <c r="E18" s="170" t="str">
        <f>IF(OR($C$9="",COUNTIFS(tTQMOferte[Cheie_cost],$C$9&amp;"#6")&lt;&gt;1),"",INDEX(tTQMOferte[Total_RON],MATCH($C$9&amp;"#6",tTQMOferte[Cheie_cost],0)))</f>
        <v/>
      </c>
      <c r="F18" s="170"/>
      <c r="G18" s="171" t="str">
        <f>IF(OR($C$9="",COUNTIFS(tTQMOferte[Cheie_cost],$C$9&amp;"#6")&lt;&gt;1),"",INDEX(tTQMOferte[Data_livrare],MATCH($C$9&amp;"#6",tTQMOferte[Cheie_cost],0)))</f>
        <v/>
      </c>
      <c r="H18" s="171"/>
      <c r="I18" s="141" t="str">
        <f>IF(OR($C$9="",COUNTIFS(tTQMOferte[Cheie_cost],$C$9&amp;"#6")&lt;&gt;1),"",IF(INDEX(tTQMOferte[Eligibila],MATCH($C$9&amp;"#6",tTQMOferte[Cheie_cost],0))=1,"DA","NU"))</f>
        <v/>
      </c>
      <c r="J18" s="141"/>
      <c r="K18" s="141" t="str">
        <f>IF(OR($C$9="",COUNTIFS(tTQMOferte[Cheie_cost],$C$9&amp;"#6")&lt;&gt;1),"",IF(INDEX(tTQMOferte[Eligibila],MATCH($C$9&amp;"#6",tTQMOferte[Cheie_cost],0))=0,INDEX(tTQMOferte[Motiv],MATCH($C$9&amp;"#6",tTQMOferte[Cheie_cost],0)),IF(INDEX(tTQMOferte[Rang_eligibil],MATCH($C$9&amp;"#6",tTQMOferte[Cheie_cost],0))=1,"Cost minim eligibil","Comparabila")))</f>
        <v/>
      </c>
      <c r="L18" s="141"/>
      <c r="M18" s="57"/>
      <c r="N18" s="57"/>
      <c r="O18" s="57"/>
      <c r="P18" s="57"/>
      <c r="Q18" s="57"/>
      <c r="R18" s="57"/>
      <c r="S18" s="57"/>
      <c r="T18" s="57"/>
      <c r="U18" s="57"/>
      <c r="V18" s="57"/>
      <c r="W18" s="57"/>
      <c r="X18" s="57"/>
      <c r="Y18" s="57"/>
      <c r="Z18" s="57"/>
      <c r="AA18" s="57"/>
      <c r="AB18" s="57"/>
      <c r="AC18" s="57"/>
    </row>
    <row r="19" spans="1:29" ht="22.95" customHeight="1">
      <c r="A19" s="57"/>
      <c r="B19" s="57"/>
      <c r="C19" s="57"/>
      <c r="D19" s="57"/>
      <c r="E19" s="57"/>
      <c r="F19" s="57"/>
      <c r="G19" s="57"/>
      <c r="H19" s="57"/>
      <c r="I19" s="57"/>
      <c r="J19" s="57"/>
      <c r="K19" s="57"/>
      <c r="L19" s="57"/>
      <c r="M19" s="57"/>
      <c r="N19" s="57"/>
      <c r="O19" s="57"/>
      <c r="P19" s="57"/>
      <c r="Q19" s="57"/>
      <c r="R19" s="57"/>
      <c r="S19" s="57"/>
      <c r="T19" s="57"/>
      <c r="U19" s="57"/>
      <c r="V19" s="57"/>
      <c r="W19" s="57"/>
      <c r="X19" s="57"/>
      <c r="Y19" s="57"/>
      <c r="Z19" s="57"/>
      <c r="AA19" s="57"/>
      <c r="AB19" s="57"/>
      <c r="AC19" s="57"/>
    </row>
    <row r="20" spans="1:29" ht="22.95" customHeight="1">
      <c r="A20" s="163" t="s">
        <v>1193</v>
      </c>
      <c r="B20" s="163"/>
      <c r="C20" s="163"/>
      <c r="D20" s="163"/>
      <c r="E20" s="163"/>
      <c r="F20" s="163"/>
      <c r="G20" s="163"/>
      <c r="H20" s="163"/>
      <c r="I20" s="163"/>
      <c r="J20" s="163"/>
      <c r="K20" s="163"/>
      <c r="L20" s="163"/>
      <c r="M20" s="57"/>
      <c r="N20" s="57"/>
      <c r="O20" s="57"/>
      <c r="P20" s="57"/>
      <c r="Q20" s="57"/>
      <c r="R20" s="57"/>
      <c r="S20" s="57"/>
      <c r="T20" s="57"/>
      <c r="U20" s="57"/>
      <c r="V20" s="57"/>
      <c r="W20" s="57"/>
      <c r="X20" s="57"/>
      <c r="Y20" s="57"/>
      <c r="Z20" s="57"/>
      <c r="AA20" s="57"/>
      <c r="AB20" s="57"/>
      <c r="AC20" s="57"/>
    </row>
    <row r="21" spans="1:29" ht="22.95" customHeight="1">
      <c r="A21" s="57"/>
      <c r="B21" s="57"/>
      <c r="C21" s="57"/>
      <c r="D21" s="57"/>
      <c r="E21" s="57"/>
      <c r="F21" s="57"/>
      <c r="G21" s="57"/>
      <c r="H21" s="57"/>
      <c r="I21" s="57"/>
      <c r="J21" s="57"/>
      <c r="K21" s="57"/>
      <c r="L21" s="57"/>
      <c r="M21" s="57"/>
      <c r="N21" s="57"/>
      <c r="O21" s="57"/>
      <c r="P21" s="57"/>
      <c r="Q21" s="57"/>
      <c r="R21" s="57"/>
      <c r="S21" s="57"/>
      <c r="T21" s="57"/>
      <c r="U21" s="57"/>
      <c r="V21" s="57"/>
      <c r="W21" s="57"/>
      <c r="X21" s="57"/>
      <c r="Y21" s="57"/>
      <c r="Z21" s="57"/>
      <c r="AA21" s="57"/>
      <c r="AB21" s="57"/>
      <c r="AC21" s="57"/>
    </row>
    <row r="22" spans="1:29" ht="22.95" customHeight="1">
      <c r="A22" s="172" t="s">
        <v>1194</v>
      </c>
      <c r="B22" s="172"/>
      <c r="C22" s="172"/>
      <c r="D22" s="172"/>
      <c r="E22" s="172"/>
      <c r="F22" s="172"/>
      <c r="G22" s="172"/>
      <c r="H22" s="172"/>
      <c r="I22" s="172"/>
      <c r="J22" s="172"/>
      <c r="K22" s="172"/>
      <c r="L22" s="172"/>
      <c r="M22" s="57"/>
      <c r="N22" s="57"/>
      <c r="O22" s="57"/>
      <c r="P22" s="57"/>
      <c r="Q22" s="57"/>
      <c r="R22" s="57"/>
      <c r="S22" s="57"/>
      <c r="T22" s="57"/>
      <c r="U22" s="57"/>
      <c r="V22" s="57"/>
      <c r="W22" s="57"/>
      <c r="X22" s="57"/>
      <c r="Y22" s="57"/>
      <c r="Z22" s="57"/>
      <c r="AA22" s="57"/>
      <c r="AB22" s="57"/>
      <c r="AC22" s="57"/>
    </row>
    <row r="23" spans="1:29" ht="34.950000000000003" customHeight="1">
      <c r="A23" s="58" t="s">
        <v>91</v>
      </c>
      <c r="B23" s="58" t="s">
        <v>1197</v>
      </c>
      <c r="C23" s="58" t="s">
        <v>60</v>
      </c>
      <c r="D23" s="58" t="s">
        <v>79</v>
      </c>
      <c r="E23" s="58" t="s">
        <v>81</v>
      </c>
      <c r="F23" s="58" t="s">
        <v>95</v>
      </c>
      <c r="G23" s="58" t="s">
        <v>1198</v>
      </c>
      <c r="H23" s="58" t="s">
        <v>1199</v>
      </c>
      <c r="I23" s="58" t="s">
        <v>1200</v>
      </c>
      <c r="J23" s="58" t="s">
        <v>1201</v>
      </c>
      <c r="K23" s="58" t="s">
        <v>1202</v>
      </c>
      <c r="L23" s="58" t="s">
        <v>1203</v>
      </c>
      <c r="M23" s="58" t="s">
        <v>80</v>
      </c>
      <c r="N23" s="58" t="s">
        <v>1204</v>
      </c>
      <c r="O23" s="58" t="s">
        <v>1205</v>
      </c>
      <c r="P23" s="58" t="s">
        <v>1206</v>
      </c>
      <c r="Q23" s="58" t="s">
        <v>1034</v>
      </c>
      <c r="R23" s="58" t="s">
        <v>1207</v>
      </c>
      <c r="S23" s="58" t="s">
        <v>1208</v>
      </c>
      <c r="T23" s="58" t="s">
        <v>13</v>
      </c>
      <c r="U23" s="58" t="s">
        <v>1209</v>
      </c>
      <c r="V23" s="58" t="s">
        <v>97</v>
      </c>
      <c r="W23" s="58" t="s">
        <v>76</v>
      </c>
      <c r="X23" s="58" t="s">
        <v>1210</v>
      </c>
      <c r="Y23" s="57"/>
      <c r="Z23" s="57"/>
      <c r="AA23" s="57"/>
      <c r="AB23" s="57"/>
      <c r="AC23" s="57"/>
    </row>
    <row r="24" spans="1:29" ht="43.95" customHeight="1">
      <c r="A24" s="61"/>
      <c r="B24" s="62"/>
      <c r="C24" s="61"/>
      <c r="D24" s="61"/>
      <c r="E24" s="61"/>
      <c r="F24" s="61"/>
      <c r="G24" s="62"/>
      <c r="H24" s="61"/>
      <c r="I24" s="59" t="str">
        <f>IF(IF(ISBLANK(tTQMCereri[[#This Row],[ID_cerere]]),"",tTQMCereri[[#This Row],[ID_cerere]])="","",COUNTIFS(tTQMOferte[ID_cerere],IF(ISBLANK(tTQMCereri[[#This Row],[ID_cerere]]),"",tTQMCereri[[#This Row],[ID_cerere]]),tTQMOferte[Eligibila],1))</f>
        <v/>
      </c>
      <c r="J24" s="60" t="str">
        <f>IF(OR(IF(ISBLANK(tTQMCereri[[#This Row],[ID_cerere]]),"",tTQMCereri[[#This Row],[ID_cerere]])="",tTQMCereri[[#This Row],[Oferte_valide]]=0),"",INDEX(tTQMOferte[Total_RON],MATCH(IF(ISBLANK(tTQMCereri[[#This Row],[ID_cerere]]),"",tTQMCereri[[#This Row],[ID_cerere]]),tTQMOferte[Cheie_min],0)))</f>
        <v/>
      </c>
      <c r="K24" s="59" t="str">
        <f>IF(OR(IF(ISBLANK(tTQMCereri[[#This Row],[ID_cerere]]),"",tTQMCereri[[#This Row],[ID_cerere]])="",tTQMCereri[[#This Row],[Oferte_valide]]=0),"",INDEX(tTQMOferte[Furnizor],MATCH(IF(ISBLANK(tTQMCereri[[#This Row],[ID_cerere]]),"",tTQMCereri[[#This Row],[ID_cerere]]),tTQMOferte[Cheie_min],0)))</f>
        <v/>
      </c>
      <c r="L24" s="59" t="str">
        <f>IF(IF(ISBLANK(tTQMCereri[[#This Row],[ID_cerere]]),"",tTQMCereri[[#This Row],[ID_cerere]])="","",IF(COUNTIFS(tTQMCereri[ID_cerere],IF(ISBLANK(tTQMCereri[[#This Row],[ID_cerere]]),"",tTQMCereri[[#This Row],[ID_cerere]]))&lt;&gt;1,"ID CERERE DUPLICAT",IF(IF(ISBLANK(tTQMCereri[[#This Row],[ID_oferta_aprobata]]),"",tTQMCereri[[#This Row],[ID_oferta_aprobata]])="",IF(tTQMCereri[[#This Row],[Oferte_valide]]=0,"DE OFERTAT","DE APROBAT"),IF(COUNTIFS(tTQMOferte[ID_oferta],IF(ISBLANK(tTQMCereri[[#This Row],[ID_oferta_aprobata]]),"",tTQMCereri[[#This Row],[ID_oferta_aprobata]]),tTQMOferte[ID_cerere],IF(ISBLANK(tTQMCereri[[#This Row],[ID_cerere]]),"",tTQMCereri[[#This Row],[ID_cerere]]))&lt;&gt;1,"RECONFIRMA APROBAREA",IF(AND(tTQMCereri[[#This Row],[Aprobat_de]]&lt;&gt;"",ISNUMBER(tTQMCereri[[#This Row],[Data_aprobarii]]),tTQMCereri[[#This Row],[Amprenta_aprobarii]]&lt;&gt;"",tTQMCereri[[#This Row],[Amprenta_aprobarii]]=INDEX(tTQMOferte[Amprenta_oferta],IF(COUNTIFS(tTQMOferte[ID_oferta],IF(ISBLANK(tTQMCereri[[#This Row],[ID_oferta_aprobata]]),"",tTQMCereri[[#This Row],[ID_oferta_aprobata]]))=1,MATCH(IF(ISBLANK(tTQMCereri[[#This Row],[ID_oferta_aprobata]]),"",tTQMCereri[[#This Row],[ID_oferta_aprobata]]),tTQMOferte[ID_oferta],0),1)),INDEX(tTQMOferte[Eligibila],IF(COUNTIFS(tTQMOferte[ID_oferta],IF(ISBLANK(tTQMCereri[[#This Row],[ID_oferta_aprobata]]),"",tTQMCereri[[#This Row],[ID_oferta_aprobata]]))=1,MATCH(IF(ISBLANK(tTQMCereri[[#This Row],[ID_oferta_aprobata]]),"",tTQMCereri[[#This Row],[ID_oferta_aprobata]]),tTQMOferte[ID_oferta],0),1))=1),"APROBATA","RECONFIRMA APROBAREA")))))</f>
        <v/>
      </c>
      <c r="M24" s="61"/>
      <c r="N24" s="61"/>
      <c r="O24" s="63"/>
      <c r="P24" s="61"/>
      <c r="Q24" s="61"/>
      <c r="R24" s="65"/>
      <c r="S24" s="61"/>
      <c r="T24" s="61"/>
      <c r="U24" s="59"/>
      <c r="V24" s="59"/>
      <c r="W24" s="66"/>
      <c r="X24" s="59" t="str">
        <f>IF(IF(ISBLANK(tTQMCereri[[#This Row],[ID_cerere]]),"",tTQMCereri[[#This Row],[ID_cerere]])="","",LEN(IF(ISBLANK(tTQMCereri[[#This Row],[ID_cerere]]),"",tTQMCereri[[#This Row],[ID_cerere]])&amp;"")&amp;":"&amp;IF(ISBLANK(tTQMCereri[[#This Row],[ID_cerere]]),"",tTQMCereri[[#This Row],[ID_cerere]])&amp;"|"&amp;LEN(IF(ISBLANK(tTQMCereri[[#This Row],[Data_cerere]]),"",tTQMCereri[[#This Row],[Data_cerere]])&amp;"")&amp;":"&amp;IF(ISBLANK(tTQMCereri[[#This Row],[Data_cerere]]),"",tTQMCereri[[#This Row],[Data_cerere]])&amp;"|"&amp;LEN(IF(ISBLANK(tTQMCereri[[#This Row],[Proiect]]),"",tTQMCereri[[#This Row],[Proiect]])&amp;"")&amp;":"&amp;IF(ISBLANK(tTQMCereri[[#This Row],[Proiect]]),"",tTQMCereri[[#This Row],[Proiect]])&amp;"|"&amp;LEN(IF(ISBLANK(tTQMCereri[[#This Row],[Material]]),"",tTQMCereri[[#This Row],[Material]])&amp;"")&amp;":"&amp;IF(ISBLANK(tTQMCereri[[#This Row],[Material]]),"",tTQMCereri[[#This Row],[Material]])&amp;"|"&amp;LEN(IF(ISBLANK(tTQMCereri[[#This Row],[UM]]),"",tTQMCereri[[#This Row],[UM]])&amp;"")&amp;":"&amp;IF(ISBLANK(tTQMCereri[[#This Row],[UM]]),"",tTQMCereri[[#This Row],[UM]])&amp;"|"&amp;LEN(IF(ISBLANK(tTQMCereri[[#This Row],[Cantitate]]),"",tTQMCereri[[#This Row],[Cantitate]])&amp;"")&amp;":"&amp;IF(ISBLANK(tTQMCereri[[#This Row],[Cantitate]]),"",tTQMCereri[[#This Row],[Cantitate]])&amp;"|"&amp;LEN(IF(ISBLANK(tTQMCereri[[#This Row],[Data_necesara]]),"",tTQMCereri[[#This Row],[Data_necesara]])&amp;"")&amp;":"&amp;IF(ISBLANK(tTQMCereri[[#This Row],[Data_necesara]]),"",tTQMCereri[[#This Row],[Data_necesara]])&amp;"|"&amp;LEN(IF(ISBLANK(tTQMCereri[[#This Row],[Prioritate]]),"",tTQMCereri[[#This Row],[Prioritate]])&amp;"")&amp;":"&amp;IF(ISBLANK(tTQMCereri[[#This Row],[Prioritate]]),"",tTQMCereri[[#This Row],[Prioritate]])&amp;"|"&amp;LEN(IF(ISBLANK(tTQMCereri[[#This Row],[Specificatie]]),"",tTQMCereri[[#This Row],[Specificatie]])&amp;"")&amp;":"&amp;IF(ISBLANK(tTQMCereri[[#This Row],[Specificatie]]),"",tTQMCereri[[#This Row],[Specificatie]])&amp;"|"&amp;LEN(IF(ISBLANK(tTQMCereri[[#This Row],[Solicitant]]),"",tTQMCereri[[#This Row],[Solicitant]])&amp;"")&amp;":"&amp;IF(ISBLANK(tTQMCereri[[#This Row],[Solicitant]]),"",tTQMCereri[[#This Row],[Solicitant]])&amp;"|"&amp;LEN(IF(ISBLANK(tTQMCereri[[#This Row],[Buget_RON]]),"",tTQMCereri[[#This Row],[Buget_RON]])&amp;"")&amp;":"&amp;IF(ISBLANK(tTQMCereri[[#This Row],[Buget_RON]]),"",tTQMCereri[[#This Row],[Buget_RON]])&amp;"|"&amp;LEN(IF(ISBLANK(tTQMCereri[[#This Row],[Observatii]]),"",tTQMCereri[[#This Row],[Observatii]])&amp;"")&amp;":"&amp;IF(ISBLANK(tTQMCereri[[#This Row],[Observatii]]),"",tTQMCereri[[#This Row],[Observatii]]))</f>
        <v/>
      </c>
      <c r="Y24" s="57"/>
      <c r="Z24" s="57"/>
      <c r="AA24" s="57"/>
      <c r="AB24" s="57"/>
      <c r="AC24" s="57"/>
    </row>
    <row r="25" spans="1:29" ht="43.95" customHeight="1">
      <c r="A25" s="61"/>
      <c r="B25" s="62"/>
      <c r="C25" s="61"/>
      <c r="D25" s="61"/>
      <c r="E25" s="61"/>
      <c r="F25" s="61"/>
      <c r="G25" s="62"/>
      <c r="H25" s="61"/>
      <c r="I25" s="59" t="str">
        <f>IF(IF(ISBLANK(tTQMCereri[[#This Row],[ID_cerere]]),"",tTQMCereri[[#This Row],[ID_cerere]])="","",COUNTIFS(tTQMOferte[ID_cerere],IF(ISBLANK(tTQMCereri[[#This Row],[ID_cerere]]),"",tTQMCereri[[#This Row],[ID_cerere]]),tTQMOferte[Eligibila],1))</f>
        <v/>
      </c>
      <c r="J25" s="60" t="str">
        <f>IF(OR(IF(ISBLANK(tTQMCereri[[#This Row],[ID_cerere]]),"",tTQMCereri[[#This Row],[ID_cerere]])="",tTQMCereri[[#This Row],[Oferte_valide]]=0),"",INDEX(tTQMOferte[Total_RON],MATCH(IF(ISBLANK(tTQMCereri[[#This Row],[ID_cerere]]),"",tTQMCereri[[#This Row],[ID_cerere]]),tTQMOferte[Cheie_min],0)))</f>
        <v/>
      </c>
      <c r="K25" s="59" t="str">
        <f>IF(OR(IF(ISBLANK(tTQMCereri[[#This Row],[ID_cerere]]),"",tTQMCereri[[#This Row],[ID_cerere]])="",tTQMCereri[[#This Row],[Oferte_valide]]=0),"",INDEX(tTQMOferte[Furnizor],MATCH(IF(ISBLANK(tTQMCereri[[#This Row],[ID_cerere]]),"",tTQMCereri[[#This Row],[ID_cerere]]),tTQMOferte[Cheie_min],0)))</f>
        <v/>
      </c>
      <c r="L25" s="59" t="str">
        <f>IF(IF(ISBLANK(tTQMCereri[[#This Row],[ID_cerere]]),"",tTQMCereri[[#This Row],[ID_cerere]])="","",IF(COUNTIFS(tTQMCereri[ID_cerere],IF(ISBLANK(tTQMCereri[[#This Row],[ID_cerere]]),"",tTQMCereri[[#This Row],[ID_cerere]]))&lt;&gt;1,"ID CERERE DUPLICAT",IF(IF(ISBLANK(tTQMCereri[[#This Row],[ID_oferta_aprobata]]),"",tTQMCereri[[#This Row],[ID_oferta_aprobata]])="",IF(tTQMCereri[[#This Row],[Oferte_valide]]=0,"DE OFERTAT","DE APROBAT"),IF(COUNTIFS(tTQMOferte[ID_oferta],IF(ISBLANK(tTQMCereri[[#This Row],[ID_oferta_aprobata]]),"",tTQMCereri[[#This Row],[ID_oferta_aprobata]]),tTQMOferte[ID_cerere],IF(ISBLANK(tTQMCereri[[#This Row],[ID_cerere]]),"",tTQMCereri[[#This Row],[ID_cerere]]))&lt;&gt;1,"RECONFIRMA APROBAREA",IF(AND(tTQMCereri[[#This Row],[Aprobat_de]]&lt;&gt;"",ISNUMBER(tTQMCereri[[#This Row],[Data_aprobarii]]),tTQMCereri[[#This Row],[Amprenta_aprobarii]]&lt;&gt;"",tTQMCereri[[#This Row],[Amprenta_aprobarii]]=INDEX(tTQMOferte[Amprenta_oferta],IF(COUNTIFS(tTQMOferte[ID_oferta],IF(ISBLANK(tTQMCereri[[#This Row],[ID_oferta_aprobata]]),"",tTQMCereri[[#This Row],[ID_oferta_aprobata]]))=1,MATCH(IF(ISBLANK(tTQMCereri[[#This Row],[ID_oferta_aprobata]]),"",tTQMCereri[[#This Row],[ID_oferta_aprobata]]),tTQMOferte[ID_oferta],0),1)),INDEX(tTQMOferte[Eligibila],IF(COUNTIFS(tTQMOferte[ID_oferta],IF(ISBLANK(tTQMCereri[[#This Row],[ID_oferta_aprobata]]),"",tTQMCereri[[#This Row],[ID_oferta_aprobata]]))=1,MATCH(IF(ISBLANK(tTQMCereri[[#This Row],[ID_oferta_aprobata]]),"",tTQMCereri[[#This Row],[ID_oferta_aprobata]]),tTQMOferte[ID_oferta],0),1))=1),"APROBATA","RECONFIRMA APROBAREA")))))</f>
        <v/>
      </c>
      <c r="M25" s="61"/>
      <c r="N25" s="61"/>
      <c r="O25" s="63"/>
      <c r="P25" s="61"/>
      <c r="Q25" s="61"/>
      <c r="R25" s="65"/>
      <c r="S25" s="61"/>
      <c r="T25" s="61"/>
      <c r="U25" s="59"/>
      <c r="V25" s="59"/>
      <c r="W25" s="66"/>
      <c r="X25" s="59" t="str">
        <f>IF(IF(ISBLANK(tTQMCereri[[#This Row],[ID_cerere]]),"",tTQMCereri[[#This Row],[ID_cerere]])="","",LEN(IF(ISBLANK(tTQMCereri[[#This Row],[ID_cerere]]),"",tTQMCereri[[#This Row],[ID_cerere]])&amp;"")&amp;":"&amp;IF(ISBLANK(tTQMCereri[[#This Row],[ID_cerere]]),"",tTQMCereri[[#This Row],[ID_cerere]])&amp;"|"&amp;LEN(IF(ISBLANK(tTQMCereri[[#This Row],[Data_cerere]]),"",tTQMCereri[[#This Row],[Data_cerere]])&amp;"")&amp;":"&amp;IF(ISBLANK(tTQMCereri[[#This Row],[Data_cerere]]),"",tTQMCereri[[#This Row],[Data_cerere]])&amp;"|"&amp;LEN(IF(ISBLANK(tTQMCereri[[#This Row],[Proiect]]),"",tTQMCereri[[#This Row],[Proiect]])&amp;"")&amp;":"&amp;IF(ISBLANK(tTQMCereri[[#This Row],[Proiect]]),"",tTQMCereri[[#This Row],[Proiect]])&amp;"|"&amp;LEN(IF(ISBLANK(tTQMCereri[[#This Row],[Material]]),"",tTQMCereri[[#This Row],[Material]])&amp;"")&amp;":"&amp;IF(ISBLANK(tTQMCereri[[#This Row],[Material]]),"",tTQMCereri[[#This Row],[Material]])&amp;"|"&amp;LEN(IF(ISBLANK(tTQMCereri[[#This Row],[UM]]),"",tTQMCereri[[#This Row],[UM]])&amp;"")&amp;":"&amp;IF(ISBLANK(tTQMCereri[[#This Row],[UM]]),"",tTQMCereri[[#This Row],[UM]])&amp;"|"&amp;LEN(IF(ISBLANK(tTQMCereri[[#This Row],[Cantitate]]),"",tTQMCereri[[#This Row],[Cantitate]])&amp;"")&amp;":"&amp;IF(ISBLANK(tTQMCereri[[#This Row],[Cantitate]]),"",tTQMCereri[[#This Row],[Cantitate]])&amp;"|"&amp;LEN(IF(ISBLANK(tTQMCereri[[#This Row],[Data_necesara]]),"",tTQMCereri[[#This Row],[Data_necesara]])&amp;"")&amp;":"&amp;IF(ISBLANK(tTQMCereri[[#This Row],[Data_necesara]]),"",tTQMCereri[[#This Row],[Data_necesara]])&amp;"|"&amp;LEN(IF(ISBLANK(tTQMCereri[[#This Row],[Prioritate]]),"",tTQMCereri[[#This Row],[Prioritate]])&amp;"")&amp;":"&amp;IF(ISBLANK(tTQMCereri[[#This Row],[Prioritate]]),"",tTQMCereri[[#This Row],[Prioritate]])&amp;"|"&amp;LEN(IF(ISBLANK(tTQMCereri[[#This Row],[Specificatie]]),"",tTQMCereri[[#This Row],[Specificatie]])&amp;"")&amp;":"&amp;IF(ISBLANK(tTQMCereri[[#This Row],[Specificatie]]),"",tTQMCereri[[#This Row],[Specificatie]])&amp;"|"&amp;LEN(IF(ISBLANK(tTQMCereri[[#This Row],[Solicitant]]),"",tTQMCereri[[#This Row],[Solicitant]])&amp;"")&amp;":"&amp;IF(ISBLANK(tTQMCereri[[#This Row],[Solicitant]]),"",tTQMCereri[[#This Row],[Solicitant]])&amp;"|"&amp;LEN(IF(ISBLANK(tTQMCereri[[#This Row],[Buget_RON]]),"",tTQMCereri[[#This Row],[Buget_RON]])&amp;"")&amp;":"&amp;IF(ISBLANK(tTQMCereri[[#This Row],[Buget_RON]]),"",tTQMCereri[[#This Row],[Buget_RON]])&amp;"|"&amp;LEN(IF(ISBLANK(tTQMCereri[[#This Row],[Observatii]]),"",tTQMCereri[[#This Row],[Observatii]])&amp;"")&amp;":"&amp;IF(ISBLANK(tTQMCereri[[#This Row],[Observatii]]),"",tTQMCereri[[#This Row],[Observatii]]))</f>
        <v/>
      </c>
      <c r="Y25" s="57"/>
      <c r="Z25" s="57"/>
      <c r="AA25" s="57"/>
      <c r="AB25" s="57"/>
      <c r="AC25" s="57"/>
    </row>
    <row r="26" spans="1:29" ht="43.95" customHeight="1">
      <c r="A26" s="61"/>
      <c r="B26" s="62"/>
      <c r="C26" s="61"/>
      <c r="D26" s="61"/>
      <c r="E26" s="61"/>
      <c r="F26" s="61"/>
      <c r="G26" s="62"/>
      <c r="H26" s="61"/>
      <c r="I26" s="59" t="str">
        <f>IF(IF(ISBLANK(tTQMCereri[[#This Row],[ID_cerere]]),"",tTQMCereri[[#This Row],[ID_cerere]])="","",COUNTIFS(tTQMOferte[ID_cerere],IF(ISBLANK(tTQMCereri[[#This Row],[ID_cerere]]),"",tTQMCereri[[#This Row],[ID_cerere]]),tTQMOferte[Eligibila],1))</f>
        <v/>
      </c>
      <c r="J26" s="60" t="str">
        <f>IF(OR(IF(ISBLANK(tTQMCereri[[#This Row],[ID_cerere]]),"",tTQMCereri[[#This Row],[ID_cerere]])="",tTQMCereri[[#This Row],[Oferte_valide]]=0),"",INDEX(tTQMOferte[Total_RON],MATCH(IF(ISBLANK(tTQMCereri[[#This Row],[ID_cerere]]),"",tTQMCereri[[#This Row],[ID_cerere]]),tTQMOferte[Cheie_min],0)))</f>
        <v/>
      </c>
      <c r="K26" s="59" t="str">
        <f>IF(OR(IF(ISBLANK(tTQMCereri[[#This Row],[ID_cerere]]),"",tTQMCereri[[#This Row],[ID_cerere]])="",tTQMCereri[[#This Row],[Oferte_valide]]=0),"",INDEX(tTQMOferte[Furnizor],MATCH(IF(ISBLANK(tTQMCereri[[#This Row],[ID_cerere]]),"",tTQMCereri[[#This Row],[ID_cerere]]),tTQMOferte[Cheie_min],0)))</f>
        <v/>
      </c>
      <c r="L26" s="59" t="str">
        <f>IF(IF(ISBLANK(tTQMCereri[[#This Row],[ID_cerere]]),"",tTQMCereri[[#This Row],[ID_cerere]])="","",IF(COUNTIFS(tTQMCereri[ID_cerere],IF(ISBLANK(tTQMCereri[[#This Row],[ID_cerere]]),"",tTQMCereri[[#This Row],[ID_cerere]]))&lt;&gt;1,"ID CERERE DUPLICAT",IF(IF(ISBLANK(tTQMCereri[[#This Row],[ID_oferta_aprobata]]),"",tTQMCereri[[#This Row],[ID_oferta_aprobata]])="",IF(tTQMCereri[[#This Row],[Oferte_valide]]=0,"DE OFERTAT","DE APROBAT"),IF(COUNTIFS(tTQMOferte[ID_oferta],IF(ISBLANK(tTQMCereri[[#This Row],[ID_oferta_aprobata]]),"",tTQMCereri[[#This Row],[ID_oferta_aprobata]]),tTQMOferte[ID_cerere],IF(ISBLANK(tTQMCereri[[#This Row],[ID_cerere]]),"",tTQMCereri[[#This Row],[ID_cerere]]))&lt;&gt;1,"RECONFIRMA APROBAREA",IF(AND(tTQMCereri[[#This Row],[Aprobat_de]]&lt;&gt;"",ISNUMBER(tTQMCereri[[#This Row],[Data_aprobarii]]),tTQMCereri[[#This Row],[Amprenta_aprobarii]]&lt;&gt;"",tTQMCereri[[#This Row],[Amprenta_aprobarii]]=INDEX(tTQMOferte[Amprenta_oferta],IF(COUNTIFS(tTQMOferte[ID_oferta],IF(ISBLANK(tTQMCereri[[#This Row],[ID_oferta_aprobata]]),"",tTQMCereri[[#This Row],[ID_oferta_aprobata]]))=1,MATCH(IF(ISBLANK(tTQMCereri[[#This Row],[ID_oferta_aprobata]]),"",tTQMCereri[[#This Row],[ID_oferta_aprobata]]),tTQMOferte[ID_oferta],0),1)),INDEX(tTQMOferte[Eligibila],IF(COUNTIFS(tTQMOferte[ID_oferta],IF(ISBLANK(tTQMCereri[[#This Row],[ID_oferta_aprobata]]),"",tTQMCereri[[#This Row],[ID_oferta_aprobata]]))=1,MATCH(IF(ISBLANK(tTQMCereri[[#This Row],[ID_oferta_aprobata]]),"",tTQMCereri[[#This Row],[ID_oferta_aprobata]]),tTQMOferte[ID_oferta],0),1))=1),"APROBATA","RECONFIRMA APROBAREA")))))</f>
        <v/>
      </c>
      <c r="M26" s="61"/>
      <c r="N26" s="61"/>
      <c r="O26" s="63"/>
      <c r="P26" s="61"/>
      <c r="Q26" s="61"/>
      <c r="R26" s="65"/>
      <c r="S26" s="61"/>
      <c r="T26" s="61"/>
      <c r="U26" s="59"/>
      <c r="V26" s="59"/>
      <c r="W26" s="66"/>
      <c r="X26" s="59" t="str">
        <f>IF(IF(ISBLANK(tTQMCereri[[#This Row],[ID_cerere]]),"",tTQMCereri[[#This Row],[ID_cerere]])="","",LEN(IF(ISBLANK(tTQMCereri[[#This Row],[ID_cerere]]),"",tTQMCereri[[#This Row],[ID_cerere]])&amp;"")&amp;":"&amp;IF(ISBLANK(tTQMCereri[[#This Row],[ID_cerere]]),"",tTQMCereri[[#This Row],[ID_cerere]])&amp;"|"&amp;LEN(IF(ISBLANK(tTQMCereri[[#This Row],[Data_cerere]]),"",tTQMCereri[[#This Row],[Data_cerere]])&amp;"")&amp;":"&amp;IF(ISBLANK(tTQMCereri[[#This Row],[Data_cerere]]),"",tTQMCereri[[#This Row],[Data_cerere]])&amp;"|"&amp;LEN(IF(ISBLANK(tTQMCereri[[#This Row],[Proiect]]),"",tTQMCereri[[#This Row],[Proiect]])&amp;"")&amp;":"&amp;IF(ISBLANK(tTQMCereri[[#This Row],[Proiect]]),"",tTQMCereri[[#This Row],[Proiect]])&amp;"|"&amp;LEN(IF(ISBLANK(tTQMCereri[[#This Row],[Material]]),"",tTQMCereri[[#This Row],[Material]])&amp;"")&amp;":"&amp;IF(ISBLANK(tTQMCereri[[#This Row],[Material]]),"",tTQMCereri[[#This Row],[Material]])&amp;"|"&amp;LEN(IF(ISBLANK(tTQMCereri[[#This Row],[UM]]),"",tTQMCereri[[#This Row],[UM]])&amp;"")&amp;":"&amp;IF(ISBLANK(tTQMCereri[[#This Row],[UM]]),"",tTQMCereri[[#This Row],[UM]])&amp;"|"&amp;LEN(IF(ISBLANK(tTQMCereri[[#This Row],[Cantitate]]),"",tTQMCereri[[#This Row],[Cantitate]])&amp;"")&amp;":"&amp;IF(ISBLANK(tTQMCereri[[#This Row],[Cantitate]]),"",tTQMCereri[[#This Row],[Cantitate]])&amp;"|"&amp;LEN(IF(ISBLANK(tTQMCereri[[#This Row],[Data_necesara]]),"",tTQMCereri[[#This Row],[Data_necesara]])&amp;"")&amp;":"&amp;IF(ISBLANK(tTQMCereri[[#This Row],[Data_necesara]]),"",tTQMCereri[[#This Row],[Data_necesara]])&amp;"|"&amp;LEN(IF(ISBLANK(tTQMCereri[[#This Row],[Prioritate]]),"",tTQMCereri[[#This Row],[Prioritate]])&amp;"")&amp;":"&amp;IF(ISBLANK(tTQMCereri[[#This Row],[Prioritate]]),"",tTQMCereri[[#This Row],[Prioritate]])&amp;"|"&amp;LEN(IF(ISBLANK(tTQMCereri[[#This Row],[Specificatie]]),"",tTQMCereri[[#This Row],[Specificatie]])&amp;"")&amp;":"&amp;IF(ISBLANK(tTQMCereri[[#This Row],[Specificatie]]),"",tTQMCereri[[#This Row],[Specificatie]])&amp;"|"&amp;LEN(IF(ISBLANK(tTQMCereri[[#This Row],[Solicitant]]),"",tTQMCereri[[#This Row],[Solicitant]])&amp;"")&amp;":"&amp;IF(ISBLANK(tTQMCereri[[#This Row],[Solicitant]]),"",tTQMCereri[[#This Row],[Solicitant]])&amp;"|"&amp;LEN(IF(ISBLANK(tTQMCereri[[#This Row],[Buget_RON]]),"",tTQMCereri[[#This Row],[Buget_RON]])&amp;"")&amp;":"&amp;IF(ISBLANK(tTQMCereri[[#This Row],[Buget_RON]]),"",tTQMCereri[[#This Row],[Buget_RON]])&amp;"|"&amp;LEN(IF(ISBLANK(tTQMCereri[[#This Row],[Observatii]]),"",tTQMCereri[[#This Row],[Observatii]])&amp;"")&amp;":"&amp;IF(ISBLANK(tTQMCereri[[#This Row],[Observatii]]),"",tTQMCereri[[#This Row],[Observatii]]))</f>
        <v/>
      </c>
      <c r="Y26" s="57"/>
      <c r="Z26" s="57"/>
      <c r="AA26" s="57"/>
      <c r="AB26" s="57"/>
      <c r="AC26" s="57"/>
    </row>
    <row r="27" spans="1:29" ht="43.95" customHeight="1">
      <c r="A27" s="61"/>
      <c r="B27" s="62"/>
      <c r="C27" s="61"/>
      <c r="D27" s="61"/>
      <c r="E27" s="61"/>
      <c r="F27" s="61"/>
      <c r="G27" s="62"/>
      <c r="H27" s="61"/>
      <c r="I27" s="59" t="str">
        <f>IF(IF(ISBLANK(tTQMCereri[[#This Row],[ID_cerere]]),"",tTQMCereri[[#This Row],[ID_cerere]])="","",COUNTIFS(tTQMOferte[ID_cerere],IF(ISBLANK(tTQMCereri[[#This Row],[ID_cerere]]),"",tTQMCereri[[#This Row],[ID_cerere]]),tTQMOferte[Eligibila],1))</f>
        <v/>
      </c>
      <c r="J27" s="60" t="str">
        <f>IF(OR(IF(ISBLANK(tTQMCereri[[#This Row],[ID_cerere]]),"",tTQMCereri[[#This Row],[ID_cerere]])="",tTQMCereri[[#This Row],[Oferte_valide]]=0),"",INDEX(tTQMOferte[Total_RON],MATCH(IF(ISBLANK(tTQMCereri[[#This Row],[ID_cerere]]),"",tTQMCereri[[#This Row],[ID_cerere]]),tTQMOferte[Cheie_min],0)))</f>
        <v/>
      </c>
      <c r="K27" s="59" t="str">
        <f>IF(OR(IF(ISBLANK(tTQMCereri[[#This Row],[ID_cerere]]),"",tTQMCereri[[#This Row],[ID_cerere]])="",tTQMCereri[[#This Row],[Oferte_valide]]=0),"",INDEX(tTQMOferte[Furnizor],MATCH(IF(ISBLANK(tTQMCereri[[#This Row],[ID_cerere]]),"",tTQMCereri[[#This Row],[ID_cerere]]),tTQMOferte[Cheie_min],0)))</f>
        <v/>
      </c>
      <c r="L27" s="59" t="str">
        <f>IF(IF(ISBLANK(tTQMCereri[[#This Row],[ID_cerere]]),"",tTQMCereri[[#This Row],[ID_cerere]])="","",IF(COUNTIFS(tTQMCereri[ID_cerere],IF(ISBLANK(tTQMCereri[[#This Row],[ID_cerere]]),"",tTQMCereri[[#This Row],[ID_cerere]]))&lt;&gt;1,"ID CERERE DUPLICAT",IF(IF(ISBLANK(tTQMCereri[[#This Row],[ID_oferta_aprobata]]),"",tTQMCereri[[#This Row],[ID_oferta_aprobata]])="",IF(tTQMCereri[[#This Row],[Oferte_valide]]=0,"DE OFERTAT","DE APROBAT"),IF(COUNTIFS(tTQMOferte[ID_oferta],IF(ISBLANK(tTQMCereri[[#This Row],[ID_oferta_aprobata]]),"",tTQMCereri[[#This Row],[ID_oferta_aprobata]]),tTQMOferte[ID_cerere],IF(ISBLANK(tTQMCereri[[#This Row],[ID_cerere]]),"",tTQMCereri[[#This Row],[ID_cerere]]))&lt;&gt;1,"RECONFIRMA APROBAREA",IF(AND(tTQMCereri[[#This Row],[Aprobat_de]]&lt;&gt;"",ISNUMBER(tTQMCereri[[#This Row],[Data_aprobarii]]),tTQMCereri[[#This Row],[Amprenta_aprobarii]]&lt;&gt;"",tTQMCereri[[#This Row],[Amprenta_aprobarii]]=INDEX(tTQMOferte[Amprenta_oferta],IF(COUNTIFS(tTQMOferte[ID_oferta],IF(ISBLANK(tTQMCereri[[#This Row],[ID_oferta_aprobata]]),"",tTQMCereri[[#This Row],[ID_oferta_aprobata]]))=1,MATCH(IF(ISBLANK(tTQMCereri[[#This Row],[ID_oferta_aprobata]]),"",tTQMCereri[[#This Row],[ID_oferta_aprobata]]),tTQMOferte[ID_oferta],0),1)),INDEX(tTQMOferte[Eligibila],IF(COUNTIFS(tTQMOferte[ID_oferta],IF(ISBLANK(tTQMCereri[[#This Row],[ID_oferta_aprobata]]),"",tTQMCereri[[#This Row],[ID_oferta_aprobata]]))=1,MATCH(IF(ISBLANK(tTQMCereri[[#This Row],[ID_oferta_aprobata]]),"",tTQMCereri[[#This Row],[ID_oferta_aprobata]]),tTQMOferte[ID_oferta],0),1))=1),"APROBATA","RECONFIRMA APROBAREA")))))</f>
        <v/>
      </c>
      <c r="M27" s="61"/>
      <c r="N27" s="61"/>
      <c r="O27" s="63"/>
      <c r="P27" s="61"/>
      <c r="Q27" s="61"/>
      <c r="R27" s="65"/>
      <c r="S27" s="61"/>
      <c r="T27" s="61"/>
      <c r="U27" s="59"/>
      <c r="V27" s="59"/>
      <c r="W27" s="66"/>
      <c r="X27" s="59" t="str">
        <f>IF(IF(ISBLANK(tTQMCereri[[#This Row],[ID_cerere]]),"",tTQMCereri[[#This Row],[ID_cerere]])="","",LEN(IF(ISBLANK(tTQMCereri[[#This Row],[ID_cerere]]),"",tTQMCereri[[#This Row],[ID_cerere]])&amp;"")&amp;":"&amp;IF(ISBLANK(tTQMCereri[[#This Row],[ID_cerere]]),"",tTQMCereri[[#This Row],[ID_cerere]])&amp;"|"&amp;LEN(IF(ISBLANK(tTQMCereri[[#This Row],[Data_cerere]]),"",tTQMCereri[[#This Row],[Data_cerere]])&amp;"")&amp;":"&amp;IF(ISBLANK(tTQMCereri[[#This Row],[Data_cerere]]),"",tTQMCereri[[#This Row],[Data_cerere]])&amp;"|"&amp;LEN(IF(ISBLANK(tTQMCereri[[#This Row],[Proiect]]),"",tTQMCereri[[#This Row],[Proiect]])&amp;"")&amp;":"&amp;IF(ISBLANK(tTQMCereri[[#This Row],[Proiect]]),"",tTQMCereri[[#This Row],[Proiect]])&amp;"|"&amp;LEN(IF(ISBLANK(tTQMCereri[[#This Row],[Material]]),"",tTQMCereri[[#This Row],[Material]])&amp;"")&amp;":"&amp;IF(ISBLANK(tTQMCereri[[#This Row],[Material]]),"",tTQMCereri[[#This Row],[Material]])&amp;"|"&amp;LEN(IF(ISBLANK(tTQMCereri[[#This Row],[UM]]),"",tTQMCereri[[#This Row],[UM]])&amp;"")&amp;":"&amp;IF(ISBLANK(tTQMCereri[[#This Row],[UM]]),"",tTQMCereri[[#This Row],[UM]])&amp;"|"&amp;LEN(IF(ISBLANK(tTQMCereri[[#This Row],[Cantitate]]),"",tTQMCereri[[#This Row],[Cantitate]])&amp;"")&amp;":"&amp;IF(ISBLANK(tTQMCereri[[#This Row],[Cantitate]]),"",tTQMCereri[[#This Row],[Cantitate]])&amp;"|"&amp;LEN(IF(ISBLANK(tTQMCereri[[#This Row],[Data_necesara]]),"",tTQMCereri[[#This Row],[Data_necesara]])&amp;"")&amp;":"&amp;IF(ISBLANK(tTQMCereri[[#This Row],[Data_necesara]]),"",tTQMCereri[[#This Row],[Data_necesara]])&amp;"|"&amp;LEN(IF(ISBLANK(tTQMCereri[[#This Row],[Prioritate]]),"",tTQMCereri[[#This Row],[Prioritate]])&amp;"")&amp;":"&amp;IF(ISBLANK(tTQMCereri[[#This Row],[Prioritate]]),"",tTQMCereri[[#This Row],[Prioritate]])&amp;"|"&amp;LEN(IF(ISBLANK(tTQMCereri[[#This Row],[Specificatie]]),"",tTQMCereri[[#This Row],[Specificatie]])&amp;"")&amp;":"&amp;IF(ISBLANK(tTQMCereri[[#This Row],[Specificatie]]),"",tTQMCereri[[#This Row],[Specificatie]])&amp;"|"&amp;LEN(IF(ISBLANK(tTQMCereri[[#This Row],[Solicitant]]),"",tTQMCereri[[#This Row],[Solicitant]])&amp;"")&amp;":"&amp;IF(ISBLANK(tTQMCereri[[#This Row],[Solicitant]]),"",tTQMCereri[[#This Row],[Solicitant]])&amp;"|"&amp;LEN(IF(ISBLANK(tTQMCereri[[#This Row],[Buget_RON]]),"",tTQMCereri[[#This Row],[Buget_RON]])&amp;"")&amp;":"&amp;IF(ISBLANK(tTQMCereri[[#This Row],[Buget_RON]]),"",tTQMCereri[[#This Row],[Buget_RON]])&amp;"|"&amp;LEN(IF(ISBLANK(tTQMCereri[[#This Row],[Observatii]]),"",tTQMCereri[[#This Row],[Observatii]])&amp;"")&amp;":"&amp;IF(ISBLANK(tTQMCereri[[#This Row],[Observatii]]),"",tTQMCereri[[#This Row],[Observatii]]))</f>
        <v/>
      </c>
      <c r="Y27" s="57"/>
      <c r="Z27" s="57"/>
      <c r="AA27" s="57"/>
      <c r="AB27" s="57"/>
      <c r="AC27" s="57"/>
    </row>
    <row r="28" spans="1:29" ht="43.95" customHeight="1">
      <c r="A28" s="61"/>
      <c r="B28" s="62"/>
      <c r="C28" s="61"/>
      <c r="D28" s="61"/>
      <c r="E28" s="61"/>
      <c r="F28" s="61"/>
      <c r="G28" s="62"/>
      <c r="H28" s="61"/>
      <c r="I28" s="59" t="str">
        <f>IF(IF(ISBLANK(tTQMCereri[[#This Row],[ID_cerere]]),"",tTQMCereri[[#This Row],[ID_cerere]])="","",COUNTIFS(tTQMOferte[ID_cerere],IF(ISBLANK(tTQMCereri[[#This Row],[ID_cerere]]),"",tTQMCereri[[#This Row],[ID_cerere]]),tTQMOferte[Eligibila],1))</f>
        <v/>
      </c>
      <c r="J28" s="60" t="str">
        <f>IF(OR(IF(ISBLANK(tTQMCereri[[#This Row],[ID_cerere]]),"",tTQMCereri[[#This Row],[ID_cerere]])="",tTQMCereri[[#This Row],[Oferte_valide]]=0),"",INDEX(tTQMOferte[Total_RON],MATCH(IF(ISBLANK(tTQMCereri[[#This Row],[ID_cerere]]),"",tTQMCereri[[#This Row],[ID_cerere]]),tTQMOferte[Cheie_min],0)))</f>
        <v/>
      </c>
      <c r="K28" s="59" t="str">
        <f>IF(OR(IF(ISBLANK(tTQMCereri[[#This Row],[ID_cerere]]),"",tTQMCereri[[#This Row],[ID_cerere]])="",tTQMCereri[[#This Row],[Oferte_valide]]=0),"",INDEX(tTQMOferte[Furnizor],MATCH(IF(ISBLANK(tTQMCereri[[#This Row],[ID_cerere]]),"",tTQMCereri[[#This Row],[ID_cerere]]),tTQMOferte[Cheie_min],0)))</f>
        <v/>
      </c>
      <c r="L28" s="59" t="str">
        <f>IF(IF(ISBLANK(tTQMCereri[[#This Row],[ID_cerere]]),"",tTQMCereri[[#This Row],[ID_cerere]])="","",IF(COUNTIFS(tTQMCereri[ID_cerere],IF(ISBLANK(tTQMCereri[[#This Row],[ID_cerere]]),"",tTQMCereri[[#This Row],[ID_cerere]]))&lt;&gt;1,"ID CERERE DUPLICAT",IF(IF(ISBLANK(tTQMCereri[[#This Row],[ID_oferta_aprobata]]),"",tTQMCereri[[#This Row],[ID_oferta_aprobata]])="",IF(tTQMCereri[[#This Row],[Oferte_valide]]=0,"DE OFERTAT","DE APROBAT"),IF(COUNTIFS(tTQMOferte[ID_oferta],IF(ISBLANK(tTQMCereri[[#This Row],[ID_oferta_aprobata]]),"",tTQMCereri[[#This Row],[ID_oferta_aprobata]]),tTQMOferte[ID_cerere],IF(ISBLANK(tTQMCereri[[#This Row],[ID_cerere]]),"",tTQMCereri[[#This Row],[ID_cerere]]))&lt;&gt;1,"RECONFIRMA APROBAREA",IF(AND(tTQMCereri[[#This Row],[Aprobat_de]]&lt;&gt;"",ISNUMBER(tTQMCereri[[#This Row],[Data_aprobarii]]),tTQMCereri[[#This Row],[Amprenta_aprobarii]]&lt;&gt;"",tTQMCereri[[#This Row],[Amprenta_aprobarii]]=INDEX(tTQMOferte[Amprenta_oferta],IF(COUNTIFS(tTQMOferte[ID_oferta],IF(ISBLANK(tTQMCereri[[#This Row],[ID_oferta_aprobata]]),"",tTQMCereri[[#This Row],[ID_oferta_aprobata]]))=1,MATCH(IF(ISBLANK(tTQMCereri[[#This Row],[ID_oferta_aprobata]]),"",tTQMCereri[[#This Row],[ID_oferta_aprobata]]),tTQMOferte[ID_oferta],0),1)),INDEX(tTQMOferte[Eligibila],IF(COUNTIFS(tTQMOferte[ID_oferta],IF(ISBLANK(tTQMCereri[[#This Row],[ID_oferta_aprobata]]),"",tTQMCereri[[#This Row],[ID_oferta_aprobata]]))=1,MATCH(IF(ISBLANK(tTQMCereri[[#This Row],[ID_oferta_aprobata]]),"",tTQMCereri[[#This Row],[ID_oferta_aprobata]]),tTQMOferte[ID_oferta],0),1))=1),"APROBATA","RECONFIRMA APROBAREA")))))</f>
        <v/>
      </c>
      <c r="M28" s="61"/>
      <c r="N28" s="61"/>
      <c r="O28" s="63"/>
      <c r="P28" s="61"/>
      <c r="Q28" s="61"/>
      <c r="R28" s="65"/>
      <c r="S28" s="61"/>
      <c r="T28" s="61"/>
      <c r="U28" s="59"/>
      <c r="V28" s="59"/>
      <c r="W28" s="66"/>
      <c r="X28" s="59" t="str">
        <f>IF(IF(ISBLANK(tTQMCereri[[#This Row],[ID_cerere]]),"",tTQMCereri[[#This Row],[ID_cerere]])="","",LEN(IF(ISBLANK(tTQMCereri[[#This Row],[ID_cerere]]),"",tTQMCereri[[#This Row],[ID_cerere]])&amp;"")&amp;":"&amp;IF(ISBLANK(tTQMCereri[[#This Row],[ID_cerere]]),"",tTQMCereri[[#This Row],[ID_cerere]])&amp;"|"&amp;LEN(IF(ISBLANK(tTQMCereri[[#This Row],[Data_cerere]]),"",tTQMCereri[[#This Row],[Data_cerere]])&amp;"")&amp;":"&amp;IF(ISBLANK(tTQMCereri[[#This Row],[Data_cerere]]),"",tTQMCereri[[#This Row],[Data_cerere]])&amp;"|"&amp;LEN(IF(ISBLANK(tTQMCereri[[#This Row],[Proiect]]),"",tTQMCereri[[#This Row],[Proiect]])&amp;"")&amp;":"&amp;IF(ISBLANK(tTQMCereri[[#This Row],[Proiect]]),"",tTQMCereri[[#This Row],[Proiect]])&amp;"|"&amp;LEN(IF(ISBLANK(tTQMCereri[[#This Row],[Material]]),"",tTQMCereri[[#This Row],[Material]])&amp;"")&amp;":"&amp;IF(ISBLANK(tTQMCereri[[#This Row],[Material]]),"",tTQMCereri[[#This Row],[Material]])&amp;"|"&amp;LEN(IF(ISBLANK(tTQMCereri[[#This Row],[UM]]),"",tTQMCereri[[#This Row],[UM]])&amp;"")&amp;":"&amp;IF(ISBLANK(tTQMCereri[[#This Row],[UM]]),"",tTQMCereri[[#This Row],[UM]])&amp;"|"&amp;LEN(IF(ISBLANK(tTQMCereri[[#This Row],[Cantitate]]),"",tTQMCereri[[#This Row],[Cantitate]])&amp;"")&amp;":"&amp;IF(ISBLANK(tTQMCereri[[#This Row],[Cantitate]]),"",tTQMCereri[[#This Row],[Cantitate]])&amp;"|"&amp;LEN(IF(ISBLANK(tTQMCereri[[#This Row],[Data_necesara]]),"",tTQMCereri[[#This Row],[Data_necesara]])&amp;"")&amp;":"&amp;IF(ISBLANK(tTQMCereri[[#This Row],[Data_necesara]]),"",tTQMCereri[[#This Row],[Data_necesara]])&amp;"|"&amp;LEN(IF(ISBLANK(tTQMCereri[[#This Row],[Prioritate]]),"",tTQMCereri[[#This Row],[Prioritate]])&amp;"")&amp;":"&amp;IF(ISBLANK(tTQMCereri[[#This Row],[Prioritate]]),"",tTQMCereri[[#This Row],[Prioritate]])&amp;"|"&amp;LEN(IF(ISBLANK(tTQMCereri[[#This Row],[Specificatie]]),"",tTQMCereri[[#This Row],[Specificatie]])&amp;"")&amp;":"&amp;IF(ISBLANK(tTQMCereri[[#This Row],[Specificatie]]),"",tTQMCereri[[#This Row],[Specificatie]])&amp;"|"&amp;LEN(IF(ISBLANK(tTQMCereri[[#This Row],[Solicitant]]),"",tTQMCereri[[#This Row],[Solicitant]])&amp;"")&amp;":"&amp;IF(ISBLANK(tTQMCereri[[#This Row],[Solicitant]]),"",tTQMCereri[[#This Row],[Solicitant]])&amp;"|"&amp;LEN(IF(ISBLANK(tTQMCereri[[#This Row],[Buget_RON]]),"",tTQMCereri[[#This Row],[Buget_RON]])&amp;"")&amp;":"&amp;IF(ISBLANK(tTQMCereri[[#This Row],[Buget_RON]]),"",tTQMCereri[[#This Row],[Buget_RON]])&amp;"|"&amp;LEN(IF(ISBLANK(tTQMCereri[[#This Row],[Observatii]]),"",tTQMCereri[[#This Row],[Observatii]])&amp;"")&amp;":"&amp;IF(ISBLANK(tTQMCereri[[#This Row],[Observatii]]),"",tTQMCereri[[#This Row],[Observatii]]))</f>
        <v/>
      </c>
      <c r="Y28" s="57"/>
      <c r="Z28" s="57"/>
      <c r="AA28" s="57"/>
      <c r="AB28" s="57"/>
      <c r="AC28" s="57"/>
    </row>
    <row r="29" spans="1:29" ht="22.95" customHeight="1">
      <c r="A29" s="57"/>
      <c r="B29" s="57"/>
      <c r="C29" s="57"/>
      <c r="D29" s="57"/>
      <c r="E29" s="57"/>
      <c r="F29" s="57"/>
      <c r="G29" s="57"/>
      <c r="H29" s="57"/>
      <c r="I29" s="57"/>
      <c r="J29" s="57"/>
      <c r="K29" s="57"/>
      <c r="L29" s="57"/>
      <c r="M29" s="57"/>
      <c r="N29" s="57"/>
      <c r="O29" s="57"/>
      <c r="P29" s="57"/>
      <c r="Q29" s="57"/>
      <c r="R29" s="57"/>
      <c r="S29" s="57"/>
      <c r="T29" s="57"/>
      <c r="U29" s="57"/>
      <c r="V29" s="57"/>
      <c r="W29" s="57"/>
      <c r="X29" s="57"/>
      <c r="Y29" s="57"/>
      <c r="Z29" s="57"/>
      <c r="AA29" s="57"/>
      <c r="AB29" s="57"/>
      <c r="AC29" s="57"/>
    </row>
    <row r="30" spans="1:29" ht="22.95" customHeight="1">
      <c r="A30" s="57"/>
      <c r="B30" s="57"/>
      <c r="C30" s="57"/>
      <c r="D30" s="57"/>
      <c r="E30" s="57"/>
      <c r="F30" s="57"/>
      <c r="G30" s="57"/>
      <c r="H30" s="57"/>
      <c r="I30" s="57"/>
      <c r="J30" s="57"/>
      <c r="K30" s="57"/>
      <c r="L30" s="57"/>
      <c r="M30" s="57"/>
      <c r="N30" s="57"/>
      <c r="O30" s="57"/>
      <c r="P30" s="57"/>
      <c r="Q30" s="57"/>
      <c r="R30" s="57"/>
      <c r="S30" s="57"/>
      <c r="T30" s="57"/>
      <c r="U30" s="57"/>
      <c r="V30" s="57"/>
      <c r="W30" s="57"/>
      <c r="X30" s="57"/>
      <c r="Y30" s="57"/>
      <c r="Z30" s="57"/>
      <c r="AA30" s="57"/>
      <c r="AB30" s="57"/>
      <c r="AC30" s="57"/>
    </row>
    <row r="31" spans="1:29" ht="22.95" customHeight="1">
      <c r="A31" s="57"/>
      <c r="B31" s="57"/>
      <c r="C31" s="57"/>
      <c r="D31" s="57"/>
      <c r="E31" s="57"/>
      <c r="F31" s="57"/>
      <c r="G31" s="57"/>
      <c r="H31" s="57"/>
      <c r="I31" s="57"/>
      <c r="J31" s="57"/>
      <c r="K31" s="57"/>
      <c r="L31" s="57"/>
      <c r="M31" s="57"/>
      <c r="N31" s="57"/>
      <c r="O31" s="57"/>
      <c r="P31" s="57"/>
      <c r="Q31" s="57"/>
      <c r="R31" s="57"/>
      <c r="S31" s="57"/>
      <c r="T31" s="57"/>
      <c r="U31" s="57"/>
      <c r="V31" s="57"/>
      <c r="W31" s="57"/>
      <c r="X31" s="57"/>
      <c r="Y31" s="57"/>
      <c r="Z31" s="57"/>
      <c r="AA31" s="57"/>
      <c r="AB31" s="57"/>
      <c r="AC31" s="57"/>
    </row>
    <row r="32" spans="1:29" ht="22.95" customHeight="1">
      <c r="A32" s="57"/>
      <c r="B32" s="57"/>
      <c r="C32" s="57"/>
      <c r="D32" s="57"/>
      <c r="E32" s="57"/>
      <c r="F32" s="57"/>
      <c r="G32" s="57"/>
      <c r="H32" s="57"/>
      <c r="I32" s="57"/>
      <c r="J32" s="57"/>
      <c r="K32" s="57"/>
      <c r="L32" s="57"/>
      <c r="M32" s="57"/>
      <c r="N32" s="57"/>
      <c r="O32" s="57"/>
      <c r="P32" s="57"/>
      <c r="Q32" s="57"/>
      <c r="R32" s="57"/>
      <c r="S32" s="57"/>
      <c r="T32" s="57"/>
      <c r="U32" s="57"/>
      <c r="V32" s="57"/>
      <c r="W32" s="57"/>
      <c r="X32" s="57"/>
      <c r="Y32" s="57"/>
      <c r="Z32" s="57"/>
      <c r="AA32" s="57"/>
      <c r="AB32" s="57"/>
      <c r="AC32" s="57"/>
    </row>
    <row r="33" spans="1:29" ht="22.95" customHeight="1">
      <c r="A33" s="57"/>
      <c r="B33" s="57"/>
      <c r="C33" s="57"/>
      <c r="D33" s="57"/>
      <c r="E33" s="57"/>
      <c r="F33" s="57"/>
      <c r="G33" s="57"/>
      <c r="H33" s="57"/>
      <c r="I33" s="57"/>
      <c r="J33" s="57"/>
      <c r="K33" s="57"/>
      <c r="L33" s="57"/>
      <c r="M33" s="57"/>
      <c r="N33" s="57"/>
      <c r="O33" s="57"/>
      <c r="P33" s="57"/>
      <c r="Q33" s="57"/>
      <c r="R33" s="57"/>
      <c r="S33" s="57"/>
      <c r="T33" s="57"/>
      <c r="U33" s="57"/>
      <c r="V33" s="57"/>
      <c r="W33" s="57"/>
      <c r="X33" s="57"/>
      <c r="Y33" s="57"/>
      <c r="Z33" s="57"/>
      <c r="AA33" s="57"/>
      <c r="AB33" s="57"/>
      <c r="AC33" s="57"/>
    </row>
    <row r="34" spans="1:29" ht="22.95" customHeight="1">
      <c r="A34" s="172" t="s">
        <v>1195</v>
      </c>
      <c r="B34" s="172"/>
      <c r="C34" s="172"/>
      <c r="D34" s="172"/>
      <c r="E34" s="172"/>
      <c r="F34" s="172"/>
      <c r="G34" s="172"/>
      <c r="H34" s="172"/>
      <c r="I34" s="172"/>
      <c r="J34" s="172"/>
      <c r="K34" s="172"/>
      <c r="L34" s="172"/>
      <c r="M34" s="57"/>
      <c r="N34" s="57"/>
      <c r="O34" s="57"/>
      <c r="P34" s="57"/>
      <c r="Q34" s="57"/>
      <c r="R34" s="57"/>
      <c r="S34" s="57"/>
      <c r="T34" s="57"/>
      <c r="U34" s="57"/>
      <c r="V34" s="57"/>
      <c r="W34" s="57"/>
      <c r="X34" s="57"/>
      <c r="Y34" s="57"/>
      <c r="Z34" s="57"/>
      <c r="AA34" s="57"/>
      <c r="AB34" s="57"/>
      <c r="AC34" s="57"/>
    </row>
    <row r="35" spans="1:29" ht="22.95" customHeight="1">
      <c r="A35" s="57"/>
      <c r="B35" s="57"/>
      <c r="C35" s="57"/>
      <c r="D35" s="57"/>
      <c r="E35" s="57"/>
      <c r="F35" s="57"/>
      <c r="G35" s="57"/>
      <c r="H35" s="57"/>
      <c r="I35" s="57"/>
      <c r="J35" s="57"/>
      <c r="K35" s="57"/>
      <c r="L35" s="57"/>
      <c r="M35" s="57"/>
      <c r="N35" s="57"/>
      <c r="O35" s="57"/>
      <c r="P35" s="57"/>
      <c r="Q35" s="57"/>
      <c r="R35" s="57"/>
      <c r="S35" s="57"/>
      <c r="T35" s="57"/>
      <c r="U35" s="57"/>
      <c r="V35" s="57"/>
      <c r="W35" s="57"/>
      <c r="X35" s="57"/>
      <c r="Y35" s="57"/>
      <c r="Z35" s="57"/>
      <c r="AA35" s="57"/>
      <c r="AB35" s="57"/>
      <c r="AC35" s="57"/>
    </row>
    <row r="36" spans="1:29" ht="34.950000000000003" customHeight="1">
      <c r="A36" s="58" t="s">
        <v>92</v>
      </c>
      <c r="B36" s="58" t="s">
        <v>91</v>
      </c>
      <c r="C36" s="58" t="s">
        <v>21</v>
      </c>
      <c r="D36" s="58" t="s">
        <v>95</v>
      </c>
      <c r="E36" s="58" t="s">
        <v>81</v>
      </c>
      <c r="F36" s="58" t="s">
        <v>83</v>
      </c>
      <c r="G36" s="58" t="s">
        <v>126</v>
      </c>
      <c r="H36" s="58" t="s">
        <v>1211</v>
      </c>
      <c r="I36" s="58" t="s">
        <v>1212</v>
      </c>
      <c r="J36" s="58" t="s">
        <v>1213</v>
      </c>
      <c r="K36" s="58" t="s">
        <v>1214</v>
      </c>
      <c r="L36" s="58" t="s">
        <v>1035</v>
      </c>
      <c r="M36" s="58" t="s">
        <v>1215</v>
      </c>
      <c r="N36" s="58" t="s">
        <v>1216</v>
      </c>
      <c r="O36" s="58" t="s">
        <v>84</v>
      </c>
      <c r="P36" s="58" t="s">
        <v>70</v>
      </c>
      <c r="Q36" s="58" t="s">
        <v>71</v>
      </c>
      <c r="R36" s="58" t="s">
        <v>1217</v>
      </c>
      <c r="S36" s="58" t="s">
        <v>1218</v>
      </c>
      <c r="T36" s="58" t="s">
        <v>1219</v>
      </c>
      <c r="U36" s="58" t="s">
        <v>13</v>
      </c>
      <c r="V36" s="58" t="s">
        <v>1220</v>
      </c>
      <c r="W36" s="58" t="s">
        <v>97</v>
      </c>
      <c r="X36" s="58" t="s">
        <v>76</v>
      </c>
      <c r="Y36" s="58" t="s">
        <v>1221</v>
      </c>
      <c r="Z36" s="58" t="s">
        <v>1222</v>
      </c>
      <c r="AA36" s="58" t="s">
        <v>1223</v>
      </c>
      <c r="AB36" s="58" t="s">
        <v>1224</v>
      </c>
      <c r="AC36" s="58" t="s">
        <v>1225</v>
      </c>
    </row>
    <row r="37" spans="1:29" ht="43.95" customHeight="1">
      <c r="A37" s="61"/>
      <c r="B37" s="61"/>
      <c r="C37" s="61"/>
      <c r="D37" s="61"/>
      <c r="E37" s="61"/>
      <c r="F37" s="63"/>
      <c r="G37" s="60" t="str">
        <f>IF(IF(ISBLANK(tTQMOferte[[#This Row],[ID_oferta]]),"",tTQMOferte[[#This Row],[ID_oferta]])="","",IF(AND(ISNUMBER(tTQMOferte[[#This Row],[Cantitate]]),N(tTQMOferte[[#This Row],[Cantitate]])&gt;0,ISNUMBER(tTQMOferte[[#This Row],[Pret_unitar]]),N(tTQMOferte[[#This Row],[Pret_unitar]])&gt;=0,ISNUMBER(tTQMOferte[[#This Row],[Discount_pct]]),N(tTQMOferte[[#This Row],[Discount_pct]])&gt;=0,N(tTQMOferte[[#This Row],[Discount_pct]])&lt;=1,ISNUMBER(tTQMOferte[[#This Row],[Transport_RON]]),N(tTQMOferte[[#This Row],[Transport_RON]])&gt;=0,ISNUMBER(tTQMOferte[[#This Row],[Alte_costuri_RON]]),N(tTQMOferte[[#This Row],[Alte_costuri_RON]])&gt;=0),ROUND(tTQMOferte[[#This Row],[Cantitate]]*tTQMOferte[[#This Row],[Pret_unitar]]*(1-tTQMOferte[[#This Row],[Discount_pct]])+tTQMOferte[[#This Row],[Transport_RON]]+tTQMOferte[[#This Row],[Alte_costuri_RON]],2),"DATE INVALIDE"))</f>
        <v/>
      </c>
      <c r="H37" s="62"/>
      <c r="I37" s="62"/>
      <c r="J37" s="61"/>
      <c r="K37" s="59" t="str">
        <f>IF(IF(ISBLANK(tTQMOferte[[#This Row],[ID_oferta]]),"",tTQMOferte[[#This Row],[ID_oferta]])="","",IF(tTQMOferte[[#This Row],[Motiv]]="OK",1,0))</f>
        <v/>
      </c>
      <c r="L37" s="59" t="str">
        <f ca="1">IF(IF(ISBLANK(tTQMOferte[[#This Row],[ID_oferta]]),"",tTQMOferte[[#This Row],[ID_oferta]])="","",IF(COUNTIFS(tTQMOferte[ID_oferta],IF(ISBLANK(tTQMOferte[[#This Row],[ID_oferta]]),"",tTQMOferte[[#This Row],[ID_oferta]]))&lt;&gt;1,"ID oferta duplicat",IF(COUNTIFS(tTQMCereri[ID_cerere],IF(ISBLANK(tTQMOferte[[#This Row],[ID_cerere]]),"",tTQMOferte[[#This Row],[ID_cerere]]))&lt;&gt;1,"Cerere inexistenta / duplicata",IF(NOT(AND(ISNUMBER(tTQMOferte[[#This Row],[Total_RON]]),LEN(IF(ISBLANK(tTQMOferte[[#This Row],[Furnizor]]),"",tTQMOferte[[#This Row],[Furnizor]])&amp;"")&gt;0,ISNUMBER(tTQMOferte[[#This Row],[Data_oferta]]),ISNUMBER(tTQMOferte[[#This Row],[Valabila_pana]]),ISNUMBER(tTQMOferte[[#This Row],[Data_livrare]]),N(tTQMOferte[[#This Row],[Data_oferta]])&lt;=TODAY(),N(tTQMOferte[[#This Row],[Valabila_pana]])&gt;=N(tTQMOferte[[#This Row],[Data_oferta]]),N(tTQMOferte[[#This Row],[Data_livrare]])&gt;=N(tTQMOferte[[#This Row],[Data_oferta]]))),"Date / costuri invalide",IF(OR(NOT(ISNUMBER(INDEX(tTQMCereri[Cantitate],MATCH(tTQMOferte[[#This Row],[ID_cerere]],tTQMCereri[ID_cerere],0)))),NOT(ISNUMBER(INDEX(tTQMCereri[Data_necesara],MATCH(tTQMOferte[[#This Row],[ID_cerere]],tTQMCereri[ID_cerere],0))))),"Cerere incompleta",IF(OR(tTQMOferte[[#This Row],[Cantitate]]&lt;&gt;INDEX(tTQMCereri[Cantitate],MATCH(tTQMOferte[[#This Row],[ID_cerere]],tTQMCereri[ID_cerere],0)),tTQMOferte[[#This Row],[UM]]&lt;&gt;INDEX(tTQMCereri[UM],MATCH(tTQMOferte[[#This Row],[ID_cerere]],tTQMCereri[ID_cerere],0))),"Cantitate / UM diferite",IF(IF(ISBLANK(tTQMOferte[[#This Row],[Conform_tehnic]]),"",tTQMOferte[[#This Row],[Conform_tehnic]])&lt;&gt;"Da",IF(IF(ISBLANK(tTQMOferte[[#This Row],[Conform_tehnic]]),"",tTQMOferte[[#This Row],[Conform_tehnic]])="Nu","Neconform tehnic","Conformitate de verificat"),IF(tTQMOferte[[#This Row],[Valabila_pana]]&lt;TODAY(),"Oferta expirata",IF(tTQMOferte[[#This Row],[Data_livrare]]&lt;TODAY(),"Livrarea a trecut",IF(tTQMOferte[[#This Row],[Data_livrare]]&gt;INDEX(tTQMCereri[Data_necesara],MATCH(tTQMOferte[[#This Row],[ID_cerere]],tTQMCereri[ID_cerere],0)),"Livrare intarziata","OK"))))))))))</f>
        <v/>
      </c>
      <c r="M37" s="61"/>
      <c r="N37" s="62"/>
      <c r="O37" s="64"/>
      <c r="P37" s="63"/>
      <c r="Q37" s="63"/>
      <c r="R37" s="61"/>
      <c r="S37" s="61"/>
      <c r="T37" s="61"/>
      <c r="U37" s="61"/>
      <c r="V37" s="59" t="str">
        <f>IF(OR(IF(ISBLANK(tTQMOferte[[#This Row],[ID_oferta]]),"",tTQMOferte[[#This Row],[ID_oferta]])="",COUNTIFS(tTQMCereri[ID_cerere],IF(ISBLANK(tTQMOferte[[#This Row],[ID_cerere]]),"",tTQMOferte[[#This Row],[ID_cerere]]))&lt;&gt;1),"",LEN(IF(ISBLANK(tTQMOferte[[#This Row],[ID_oferta]]),"",tTQMOferte[[#This Row],[ID_oferta]])&amp;"")&amp;":"&amp;IF(ISBLANK(tTQMOferte[[#This Row],[ID_oferta]]),"",tTQMOferte[[#This Row],[ID_oferta]])&amp;"|"&amp;LEN(IF(ISBLANK(tTQMOferte[[#This Row],[ID_cerere]]),"",tTQMOferte[[#This Row],[ID_cerere]])&amp;"")&amp;":"&amp;IF(ISBLANK(tTQMOferte[[#This Row],[ID_cerere]]),"",tTQMOferte[[#This Row],[ID_cerere]])&amp;"|"&amp;LEN(IF(ISBLANK(tTQMOferte[[#This Row],[Furnizor]]),"",tTQMOferte[[#This Row],[Furnizor]])&amp;"")&amp;":"&amp;IF(ISBLANK(tTQMOferte[[#This Row],[Furnizor]]),"",tTQMOferte[[#This Row],[Furnizor]])&amp;"|"&amp;LEN(IF(ISBLANK(tTQMOferte[[#This Row],[Cantitate]]),"",tTQMOferte[[#This Row],[Cantitate]])&amp;"")&amp;":"&amp;IF(ISBLANK(tTQMOferte[[#This Row],[Cantitate]]),"",tTQMOferte[[#This Row],[Cantitate]])&amp;"|"&amp;LEN(IF(ISBLANK(tTQMOferte[[#This Row],[UM]]),"",tTQMOferte[[#This Row],[UM]])&amp;"")&amp;":"&amp;IF(ISBLANK(tTQMOferte[[#This Row],[UM]]),"",tTQMOferte[[#This Row],[UM]])&amp;"|"&amp;LEN(IF(ISBLANK(tTQMOferte[[#This Row],[Pret_unitar]]),"",tTQMOferte[[#This Row],[Pret_unitar]])&amp;"")&amp;":"&amp;IF(ISBLANK(tTQMOferte[[#This Row],[Pret_unitar]]),"",tTQMOferte[[#This Row],[Pret_unitar]])&amp;"|"&amp;LEN(IF(ISBLANK(tTQMOferte[[#This Row],[Data_livrare]]),"",tTQMOferte[[#This Row],[Data_livrare]])&amp;"")&amp;":"&amp;IF(ISBLANK(tTQMOferte[[#This Row],[Data_livrare]]),"",tTQMOferte[[#This Row],[Data_livrare]])&amp;"|"&amp;LEN(IF(ISBLANK(tTQMOferte[[#This Row],[Valabila_pana]]),"",tTQMOferte[[#This Row],[Valabila_pana]])&amp;"")&amp;":"&amp;IF(ISBLANK(tTQMOferte[[#This Row],[Valabila_pana]]),"",tTQMOferte[[#This Row],[Valabila_pana]])&amp;"|"&amp;LEN(IF(ISBLANK(tTQMOferte[[#This Row],[Conform_tehnic]]),"",tTQMOferte[[#This Row],[Conform_tehnic]])&amp;"")&amp;":"&amp;IF(ISBLANK(tTQMOferte[[#This Row],[Conform_tehnic]]),"",tTQMOferte[[#This Row],[Conform_tehnic]])&amp;"|"&amp;LEN(IF(ISBLANK(tTQMOferte[[#This Row],[Nr_oferta]]),"",tTQMOferte[[#This Row],[Nr_oferta]])&amp;"")&amp;":"&amp;IF(ISBLANK(tTQMOferte[[#This Row],[Nr_oferta]]),"",tTQMOferte[[#This Row],[Nr_oferta]])&amp;"|"&amp;LEN(IF(ISBLANK(tTQMOferte[[#This Row],[Data_oferta]]),"",tTQMOferte[[#This Row],[Data_oferta]])&amp;"")&amp;":"&amp;IF(ISBLANK(tTQMOferte[[#This Row],[Data_oferta]]),"",tTQMOferte[[#This Row],[Data_oferta]])&amp;"|"&amp;LEN(IF(ISBLANK(tTQMOferte[[#This Row],[Discount_pct]]),"",tTQMOferte[[#This Row],[Discount_pct]])&amp;"")&amp;":"&amp;IF(ISBLANK(tTQMOferte[[#This Row],[Discount_pct]]),"",tTQMOferte[[#This Row],[Discount_pct]])&amp;"|"&amp;LEN(IF(ISBLANK(tTQMOferte[[#This Row],[Transport_RON]]),"",tTQMOferte[[#This Row],[Transport_RON]])&amp;"")&amp;":"&amp;IF(ISBLANK(tTQMOferte[[#This Row],[Transport_RON]]),"",tTQMOferte[[#This Row],[Transport_RON]])&amp;"|"&amp;LEN(IF(ISBLANK(tTQMOferte[[#This Row],[Alte_costuri_RON]]),"",tTQMOferte[[#This Row],[Alte_costuri_RON]])&amp;"")&amp;":"&amp;IF(ISBLANK(tTQMOferte[[#This Row],[Alte_costuri_RON]]),"",tTQMOferte[[#This Row],[Alte_costuri_RON]])&amp;"|"&amp;LEN(IF(ISBLANK(tTQMOferte[[#This Row],[Conditii_plata]]),"",tTQMOferte[[#This Row],[Conditii_plata]])&amp;"")&amp;":"&amp;IF(ISBLANK(tTQMOferte[[#This Row],[Conditii_plata]]),"",tTQMOferte[[#This Row],[Conditii_plata]])&amp;"|"&amp;LEN(IF(ISBLANK(tTQMOferte[[#This Row],[Garantie]]),"",tTQMOferte[[#This Row],[Garantie]])&amp;"")&amp;":"&amp;IF(ISBLANK(tTQMOferte[[#This Row],[Garantie]]),"",tTQMOferte[[#This Row],[Garantie]])&amp;"|"&amp;LEN(IF(ISBLANK(tTQMOferte[[#This Row],[Link_oferta]]),"",tTQMOferte[[#This Row],[Link_oferta]])&amp;"")&amp;":"&amp;IF(ISBLANK(tTQMOferte[[#This Row],[Link_oferta]]),"",tTQMOferte[[#This Row],[Link_oferta]])&amp;"|"&amp;LEN(IF(ISBLANK(INDEX(tTQMCereri[Proiect],MATCH(tTQMOferte[[#This Row],[ID_cerere]],tTQMCereri[ID_cerere],0))),"",INDEX(tTQMCereri[Proiect],MATCH(tTQMOferte[[#This Row],[ID_cerere]],tTQMCereri[ID_cerere],0)))&amp;"")&amp;":"&amp;IF(ISBLANK(INDEX(tTQMCereri[Proiect],MATCH(tTQMOferte[[#This Row],[ID_cerere]],tTQMCereri[ID_cerere],0))),"",INDEX(tTQMCereri[Proiect],MATCH(tTQMOferte[[#This Row],[ID_cerere]],tTQMCereri[ID_cerere],0)))&amp;"|"&amp;LEN(IF(ISBLANK(INDEX(tTQMCereri[Material],MATCH(tTQMOferte[[#This Row],[ID_cerere]],tTQMCereri[ID_cerere],0))),"",INDEX(tTQMCereri[Material],MATCH(tTQMOferte[[#This Row],[ID_cerere]],tTQMCereri[ID_cerere],0)))&amp;"")&amp;":"&amp;IF(ISBLANK(INDEX(tTQMCereri[Material],MATCH(tTQMOferte[[#This Row],[ID_cerere]],tTQMCereri[ID_cerere],0))),"",INDEX(tTQMCereri[Material],MATCH(tTQMOferte[[#This Row],[ID_cerere]],tTQMCereri[ID_cerere],0)))&amp;"|"&amp;LEN(IF(ISBLANK(INDEX(tTQMCereri[UM],MATCH(tTQMOferte[[#This Row],[ID_cerere]],tTQMCereri[ID_cerere],0))),"",INDEX(tTQMCereri[UM],MATCH(tTQMOferte[[#This Row],[ID_cerere]],tTQMCereri[ID_cerere],0)))&amp;"")&amp;":"&amp;IF(ISBLANK(INDEX(tTQMCereri[UM],MATCH(tTQMOferte[[#This Row],[ID_cerere]],tTQMCereri[ID_cerere],0))),"",INDEX(tTQMCereri[UM],MATCH(tTQMOferte[[#This Row],[ID_cerere]],tTQMCereri[ID_cerere],0)))&amp;"|"&amp;LEN(IF(ISBLANK(INDEX(tTQMCereri[Cantitate],MATCH(tTQMOferte[[#This Row],[ID_cerere]],tTQMCereri[ID_cerere],0))),"",INDEX(tTQMCereri[Cantitate],MATCH(tTQMOferte[[#This Row],[ID_cerere]],tTQMCereri[ID_cerere],0)))&amp;"")&amp;":"&amp;IF(ISBLANK(INDEX(tTQMCereri[Cantitate],MATCH(tTQMOferte[[#This Row],[ID_cerere]],tTQMCereri[ID_cerere],0))),"",INDEX(tTQMCereri[Cantitate],MATCH(tTQMOferte[[#This Row],[ID_cerere]],tTQMCereri[ID_cerere],0)))&amp;"|"&amp;LEN(IF(ISBLANK(INDEX(tTQMCereri[Data_necesara],MATCH(tTQMOferte[[#This Row],[ID_cerere]],tTQMCereri[ID_cerere],0))),"",INDEX(tTQMCereri[Data_necesara],MATCH(tTQMOferte[[#This Row],[ID_cerere]],tTQMCereri[ID_cerere],0)))&amp;"")&amp;":"&amp;IF(ISBLANK(INDEX(tTQMCereri[Data_necesara],MATCH(tTQMOferte[[#This Row],[ID_cerere]],tTQMCereri[ID_cerere],0))),"",INDEX(tTQMCereri[Data_necesara],MATCH(tTQMOferte[[#This Row],[ID_cerere]],tTQMCereri[ID_cerere],0)))&amp;"|"&amp;LEN(IF(ISBLANK(INDEX(tTQMCereri[Specificatie],MATCH(tTQMOferte[[#This Row],[ID_cerere]],tTQMCereri[ID_cerere],0))),"",INDEX(tTQMCereri[Specificatie],MATCH(tTQMOferte[[#This Row],[ID_cerere]],tTQMCereri[ID_cerere],0)))&amp;"")&amp;":"&amp;IF(ISBLANK(INDEX(tTQMCereri[Specificatie],MATCH(tTQMOferte[[#This Row],[ID_cerere]],tTQMCereri[ID_cerere],0))),"",INDEX(tTQMCereri[Specificatie],MATCH(tTQMOferte[[#This Row],[ID_cerere]],tTQMCereri[ID_cerere],0)))&amp;"|"&amp;LEN(IF(ISBLANK(INDEX(tTQMCereri[Buget_RON],MATCH(tTQMOferte[[#This Row],[ID_cerere]],tTQMCereri[ID_cerere],0))),"",INDEX(tTQMCereri[Buget_RON],MATCH(tTQMOferte[[#This Row],[ID_cerere]],tTQMCereri[ID_cerere],0)))&amp;"")&amp;":"&amp;IF(ISBLANK(INDEX(tTQMCereri[Buget_RON],MATCH(tTQMOferte[[#This Row],[ID_cerere]],tTQMCereri[ID_cerere],0))),"",INDEX(tTQMCereri[Buget_RON],MATCH(tTQMOferte[[#This Row],[ID_cerere]],tTQMCereri[ID_cerere],0))))</f>
        <v/>
      </c>
      <c r="W37" s="59"/>
      <c r="X37" s="66"/>
      <c r="Y37" s="59">
        <f>IF(IF(ISBLANK(tTQMOferte[[#This Row],[ID_oferta]]),"",tTQMOferte[[#This Row],[ID_oferta]])="",0,COUNTIFS(tTQMOferte[ID_cerere],IF(ISBLANK(tTQMOferte[[#This Row],[ID_cerere]]),"",tTQMOferte[[#This Row],[ID_cerere]]),tTQMOferte[Cost_sortare],"&lt;"&amp;tTQMOferte[[#This Row],[Cost_sortare]])+COUNTIFS($B$37:B37,IF(ISBLANK(tTQMOferte[[#This Row],[ID_cerere]]),"",tTQMOferte[[#This Row],[ID_cerere]]),$AC$37:AC37,tTQMOferte[[#This Row],[Cost_sortare]]))</f>
        <v>0</v>
      </c>
      <c r="Z37" s="59" t="str">
        <f>IF(IF(ISBLANK(tTQMOferte[[#This Row],[ID_oferta]]),"",tTQMOferte[[#This Row],[ID_oferta]])="","",tTQMOferte[[#This Row],[ID_cerere]]&amp;"#"&amp;tTQMOferte[[#This Row],[Rang_cost]])</f>
        <v/>
      </c>
      <c r="AA37" s="59">
        <f>IF(tTQMOferte[[#This Row],[Eligibila]]&lt;&gt;1,0,COUNTIFS(tTQMOferte[ID_cerere],IF(ISBLANK(tTQMOferte[[#This Row],[ID_cerere]]),"",tTQMOferte[[#This Row],[ID_cerere]]),tTQMOferte[Eligibila],1,tTQMOferte[Total_RON],"&lt;"&amp;tTQMOferte[[#This Row],[Total_RON]])+COUNTIFS($B$37:B37,IF(ISBLANK(tTQMOferte[[#This Row],[ID_cerere]]),"",tTQMOferte[[#This Row],[ID_cerere]]),$K$37:K37,1,$G$37:G37,tTQMOferte[[#This Row],[Total_RON]]))</f>
        <v>0</v>
      </c>
      <c r="AB37" s="59" t="str">
        <f>IF(tTQMOferte[[#This Row],[Rang_eligibil]]=1,tTQMOferte[[#This Row],[ID_cerere]],"")</f>
        <v/>
      </c>
      <c r="AC37" s="59">
        <f>IF(ISNUMBER(tTQMOferte[[#This Row],[Total_RON]]),tTQMOferte[[#This Row],[Total_RON]],1E+99)</f>
        <v>9.9999999999999997E+98</v>
      </c>
    </row>
    <row r="38" spans="1:29" ht="43.95" customHeight="1">
      <c r="A38" s="61"/>
      <c r="B38" s="61"/>
      <c r="C38" s="61"/>
      <c r="D38" s="61"/>
      <c r="E38" s="61"/>
      <c r="F38" s="63"/>
      <c r="G38" s="60" t="str">
        <f>IF(IF(ISBLANK(tTQMOferte[[#This Row],[ID_oferta]]),"",tTQMOferte[[#This Row],[ID_oferta]])="","",IF(AND(ISNUMBER(tTQMOferte[[#This Row],[Cantitate]]),N(tTQMOferte[[#This Row],[Cantitate]])&gt;0,ISNUMBER(tTQMOferte[[#This Row],[Pret_unitar]]),N(tTQMOferte[[#This Row],[Pret_unitar]])&gt;=0,ISNUMBER(tTQMOferte[[#This Row],[Discount_pct]]),N(tTQMOferte[[#This Row],[Discount_pct]])&gt;=0,N(tTQMOferte[[#This Row],[Discount_pct]])&lt;=1,ISNUMBER(tTQMOferte[[#This Row],[Transport_RON]]),N(tTQMOferte[[#This Row],[Transport_RON]])&gt;=0,ISNUMBER(tTQMOferte[[#This Row],[Alte_costuri_RON]]),N(tTQMOferte[[#This Row],[Alte_costuri_RON]])&gt;=0),ROUND(tTQMOferte[[#This Row],[Cantitate]]*tTQMOferte[[#This Row],[Pret_unitar]]*(1-tTQMOferte[[#This Row],[Discount_pct]])+tTQMOferte[[#This Row],[Transport_RON]]+tTQMOferte[[#This Row],[Alte_costuri_RON]],2),"DATE INVALIDE"))</f>
        <v/>
      </c>
      <c r="H38" s="62"/>
      <c r="I38" s="62"/>
      <c r="J38" s="61"/>
      <c r="K38" s="59" t="str">
        <f>IF(IF(ISBLANK(tTQMOferte[[#This Row],[ID_oferta]]),"",tTQMOferte[[#This Row],[ID_oferta]])="","",IF(tTQMOferte[[#This Row],[Motiv]]="OK",1,0))</f>
        <v/>
      </c>
      <c r="L38" s="59" t="str">
        <f ca="1">IF(IF(ISBLANK(tTQMOferte[[#This Row],[ID_oferta]]),"",tTQMOferte[[#This Row],[ID_oferta]])="","",IF(COUNTIFS(tTQMOferte[ID_oferta],IF(ISBLANK(tTQMOferte[[#This Row],[ID_oferta]]),"",tTQMOferte[[#This Row],[ID_oferta]]))&lt;&gt;1,"ID oferta duplicat",IF(COUNTIFS(tTQMCereri[ID_cerere],IF(ISBLANK(tTQMOferte[[#This Row],[ID_cerere]]),"",tTQMOferte[[#This Row],[ID_cerere]]))&lt;&gt;1,"Cerere inexistenta / duplicata",IF(NOT(AND(ISNUMBER(tTQMOferte[[#This Row],[Total_RON]]),LEN(IF(ISBLANK(tTQMOferte[[#This Row],[Furnizor]]),"",tTQMOferte[[#This Row],[Furnizor]])&amp;"")&gt;0,ISNUMBER(tTQMOferte[[#This Row],[Data_oferta]]),ISNUMBER(tTQMOferte[[#This Row],[Valabila_pana]]),ISNUMBER(tTQMOferte[[#This Row],[Data_livrare]]),N(tTQMOferte[[#This Row],[Data_oferta]])&lt;=TODAY(),N(tTQMOferte[[#This Row],[Valabila_pana]])&gt;=N(tTQMOferte[[#This Row],[Data_oferta]]),N(tTQMOferte[[#This Row],[Data_livrare]])&gt;=N(tTQMOferte[[#This Row],[Data_oferta]]))),"Date / costuri invalide",IF(OR(NOT(ISNUMBER(INDEX(tTQMCereri[Cantitate],MATCH(tTQMOferte[[#This Row],[ID_cerere]],tTQMCereri[ID_cerere],0)))),NOT(ISNUMBER(INDEX(tTQMCereri[Data_necesara],MATCH(tTQMOferte[[#This Row],[ID_cerere]],tTQMCereri[ID_cerere],0))))),"Cerere incompleta",IF(OR(tTQMOferte[[#This Row],[Cantitate]]&lt;&gt;INDEX(tTQMCereri[Cantitate],MATCH(tTQMOferte[[#This Row],[ID_cerere]],tTQMCereri[ID_cerere],0)),tTQMOferte[[#This Row],[UM]]&lt;&gt;INDEX(tTQMCereri[UM],MATCH(tTQMOferte[[#This Row],[ID_cerere]],tTQMCereri[ID_cerere],0))),"Cantitate / UM diferite",IF(IF(ISBLANK(tTQMOferte[[#This Row],[Conform_tehnic]]),"",tTQMOferte[[#This Row],[Conform_tehnic]])&lt;&gt;"Da",IF(IF(ISBLANK(tTQMOferte[[#This Row],[Conform_tehnic]]),"",tTQMOferte[[#This Row],[Conform_tehnic]])="Nu","Neconform tehnic","Conformitate de verificat"),IF(tTQMOferte[[#This Row],[Valabila_pana]]&lt;TODAY(),"Oferta expirata",IF(tTQMOferte[[#This Row],[Data_livrare]]&lt;TODAY(),"Livrarea a trecut",IF(tTQMOferte[[#This Row],[Data_livrare]]&gt;INDEX(tTQMCereri[Data_necesara],MATCH(tTQMOferte[[#This Row],[ID_cerere]],tTQMCereri[ID_cerere],0)),"Livrare intarziata","OK"))))))))))</f>
        <v/>
      </c>
      <c r="M38" s="61"/>
      <c r="N38" s="62"/>
      <c r="O38" s="64"/>
      <c r="P38" s="63"/>
      <c r="Q38" s="63"/>
      <c r="R38" s="61"/>
      <c r="S38" s="61"/>
      <c r="T38" s="61"/>
      <c r="U38" s="61"/>
      <c r="V38" s="59" t="str">
        <f>IF(OR(IF(ISBLANK(tTQMOferte[[#This Row],[ID_oferta]]),"",tTQMOferte[[#This Row],[ID_oferta]])="",COUNTIFS(tTQMCereri[ID_cerere],IF(ISBLANK(tTQMOferte[[#This Row],[ID_cerere]]),"",tTQMOferte[[#This Row],[ID_cerere]]))&lt;&gt;1),"",LEN(IF(ISBLANK(tTQMOferte[[#This Row],[ID_oferta]]),"",tTQMOferte[[#This Row],[ID_oferta]])&amp;"")&amp;":"&amp;IF(ISBLANK(tTQMOferte[[#This Row],[ID_oferta]]),"",tTQMOferte[[#This Row],[ID_oferta]])&amp;"|"&amp;LEN(IF(ISBLANK(tTQMOferte[[#This Row],[ID_cerere]]),"",tTQMOferte[[#This Row],[ID_cerere]])&amp;"")&amp;":"&amp;IF(ISBLANK(tTQMOferte[[#This Row],[ID_cerere]]),"",tTQMOferte[[#This Row],[ID_cerere]])&amp;"|"&amp;LEN(IF(ISBLANK(tTQMOferte[[#This Row],[Furnizor]]),"",tTQMOferte[[#This Row],[Furnizor]])&amp;"")&amp;":"&amp;IF(ISBLANK(tTQMOferte[[#This Row],[Furnizor]]),"",tTQMOferte[[#This Row],[Furnizor]])&amp;"|"&amp;LEN(IF(ISBLANK(tTQMOferte[[#This Row],[Cantitate]]),"",tTQMOferte[[#This Row],[Cantitate]])&amp;"")&amp;":"&amp;IF(ISBLANK(tTQMOferte[[#This Row],[Cantitate]]),"",tTQMOferte[[#This Row],[Cantitate]])&amp;"|"&amp;LEN(IF(ISBLANK(tTQMOferte[[#This Row],[UM]]),"",tTQMOferte[[#This Row],[UM]])&amp;"")&amp;":"&amp;IF(ISBLANK(tTQMOferte[[#This Row],[UM]]),"",tTQMOferte[[#This Row],[UM]])&amp;"|"&amp;LEN(IF(ISBLANK(tTQMOferte[[#This Row],[Pret_unitar]]),"",tTQMOferte[[#This Row],[Pret_unitar]])&amp;"")&amp;":"&amp;IF(ISBLANK(tTQMOferte[[#This Row],[Pret_unitar]]),"",tTQMOferte[[#This Row],[Pret_unitar]])&amp;"|"&amp;LEN(IF(ISBLANK(tTQMOferte[[#This Row],[Data_livrare]]),"",tTQMOferte[[#This Row],[Data_livrare]])&amp;"")&amp;":"&amp;IF(ISBLANK(tTQMOferte[[#This Row],[Data_livrare]]),"",tTQMOferte[[#This Row],[Data_livrare]])&amp;"|"&amp;LEN(IF(ISBLANK(tTQMOferte[[#This Row],[Valabila_pana]]),"",tTQMOferte[[#This Row],[Valabila_pana]])&amp;"")&amp;":"&amp;IF(ISBLANK(tTQMOferte[[#This Row],[Valabila_pana]]),"",tTQMOferte[[#This Row],[Valabila_pana]])&amp;"|"&amp;LEN(IF(ISBLANK(tTQMOferte[[#This Row],[Conform_tehnic]]),"",tTQMOferte[[#This Row],[Conform_tehnic]])&amp;"")&amp;":"&amp;IF(ISBLANK(tTQMOferte[[#This Row],[Conform_tehnic]]),"",tTQMOferte[[#This Row],[Conform_tehnic]])&amp;"|"&amp;LEN(IF(ISBLANK(tTQMOferte[[#This Row],[Nr_oferta]]),"",tTQMOferte[[#This Row],[Nr_oferta]])&amp;"")&amp;":"&amp;IF(ISBLANK(tTQMOferte[[#This Row],[Nr_oferta]]),"",tTQMOferte[[#This Row],[Nr_oferta]])&amp;"|"&amp;LEN(IF(ISBLANK(tTQMOferte[[#This Row],[Data_oferta]]),"",tTQMOferte[[#This Row],[Data_oferta]])&amp;"")&amp;":"&amp;IF(ISBLANK(tTQMOferte[[#This Row],[Data_oferta]]),"",tTQMOferte[[#This Row],[Data_oferta]])&amp;"|"&amp;LEN(IF(ISBLANK(tTQMOferte[[#This Row],[Discount_pct]]),"",tTQMOferte[[#This Row],[Discount_pct]])&amp;"")&amp;":"&amp;IF(ISBLANK(tTQMOferte[[#This Row],[Discount_pct]]),"",tTQMOferte[[#This Row],[Discount_pct]])&amp;"|"&amp;LEN(IF(ISBLANK(tTQMOferte[[#This Row],[Transport_RON]]),"",tTQMOferte[[#This Row],[Transport_RON]])&amp;"")&amp;":"&amp;IF(ISBLANK(tTQMOferte[[#This Row],[Transport_RON]]),"",tTQMOferte[[#This Row],[Transport_RON]])&amp;"|"&amp;LEN(IF(ISBLANK(tTQMOferte[[#This Row],[Alte_costuri_RON]]),"",tTQMOferte[[#This Row],[Alte_costuri_RON]])&amp;"")&amp;":"&amp;IF(ISBLANK(tTQMOferte[[#This Row],[Alte_costuri_RON]]),"",tTQMOferte[[#This Row],[Alte_costuri_RON]])&amp;"|"&amp;LEN(IF(ISBLANK(tTQMOferte[[#This Row],[Conditii_plata]]),"",tTQMOferte[[#This Row],[Conditii_plata]])&amp;"")&amp;":"&amp;IF(ISBLANK(tTQMOferte[[#This Row],[Conditii_plata]]),"",tTQMOferte[[#This Row],[Conditii_plata]])&amp;"|"&amp;LEN(IF(ISBLANK(tTQMOferte[[#This Row],[Garantie]]),"",tTQMOferte[[#This Row],[Garantie]])&amp;"")&amp;":"&amp;IF(ISBLANK(tTQMOferte[[#This Row],[Garantie]]),"",tTQMOferte[[#This Row],[Garantie]])&amp;"|"&amp;LEN(IF(ISBLANK(tTQMOferte[[#This Row],[Link_oferta]]),"",tTQMOferte[[#This Row],[Link_oferta]])&amp;"")&amp;":"&amp;IF(ISBLANK(tTQMOferte[[#This Row],[Link_oferta]]),"",tTQMOferte[[#This Row],[Link_oferta]])&amp;"|"&amp;LEN(IF(ISBLANK(INDEX(tTQMCereri[Proiect],MATCH(tTQMOferte[[#This Row],[ID_cerere]],tTQMCereri[ID_cerere],0))),"",INDEX(tTQMCereri[Proiect],MATCH(tTQMOferte[[#This Row],[ID_cerere]],tTQMCereri[ID_cerere],0)))&amp;"")&amp;":"&amp;IF(ISBLANK(INDEX(tTQMCereri[Proiect],MATCH(tTQMOferte[[#This Row],[ID_cerere]],tTQMCereri[ID_cerere],0))),"",INDEX(tTQMCereri[Proiect],MATCH(tTQMOferte[[#This Row],[ID_cerere]],tTQMCereri[ID_cerere],0)))&amp;"|"&amp;LEN(IF(ISBLANK(INDEX(tTQMCereri[Material],MATCH(tTQMOferte[[#This Row],[ID_cerere]],tTQMCereri[ID_cerere],0))),"",INDEX(tTQMCereri[Material],MATCH(tTQMOferte[[#This Row],[ID_cerere]],tTQMCereri[ID_cerere],0)))&amp;"")&amp;":"&amp;IF(ISBLANK(INDEX(tTQMCereri[Material],MATCH(tTQMOferte[[#This Row],[ID_cerere]],tTQMCereri[ID_cerere],0))),"",INDEX(tTQMCereri[Material],MATCH(tTQMOferte[[#This Row],[ID_cerere]],tTQMCereri[ID_cerere],0)))&amp;"|"&amp;LEN(IF(ISBLANK(INDEX(tTQMCereri[UM],MATCH(tTQMOferte[[#This Row],[ID_cerere]],tTQMCereri[ID_cerere],0))),"",INDEX(tTQMCereri[UM],MATCH(tTQMOferte[[#This Row],[ID_cerere]],tTQMCereri[ID_cerere],0)))&amp;"")&amp;":"&amp;IF(ISBLANK(INDEX(tTQMCereri[UM],MATCH(tTQMOferte[[#This Row],[ID_cerere]],tTQMCereri[ID_cerere],0))),"",INDEX(tTQMCereri[UM],MATCH(tTQMOferte[[#This Row],[ID_cerere]],tTQMCereri[ID_cerere],0)))&amp;"|"&amp;LEN(IF(ISBLANK(INDEX(tTQMCereri[Cantitate],MATCH(tTQMOferte[[#This Row],[ID_cerere]],tTQMCereri[ID_cerere],0))),"",INDEX(tTQMCereri[Cantitate],MATCH(tTQMOferte[[#This Row],[ID_cerere]],tTQMCereri[ID_cerere],0)))&amp;"")&amp;":"&amp;IF(ISBLANK(INDEX(tTQMCereri[Cantitate],MATCH(tTQMOferte[[#This Row],[ID_cerere]],tTQMCereri[ID_cerere],0))),"",INDEX(tTQMCereri[Cantitate],MATCH(tTQMOferte[[#This Row],[ID_cerere]],tTQMCereri[ID_cerere],0)))&amp;"|"&amp;LEN(IF(ISBLANK(INDEX(tTQMCereri[Data_necesara],MATCH(tTQMOferte[[#This Row],[ID_cerere]],tTQMCereri[ID_cerere],0))),"",INDEX(tTQMCereri[Data_necesara],MATCH(tTQMOferte[[#This Row],[ID_cerere]],tTQMCereri[ID_cerere],0)))&amp;"")&amp;":"&amp;IF(ISBLANK(INDEX(tTQMCereri[Data_necesara],MATCH(tTQMOferte[[#This Row],[ID_cerere]],tTQMCereri[ID_cerere],0))),"",INDEX(tTQMCereri[Data_necesara],MATCH(tTQMOferte[[#This Row],[ID_cerere]],tTQMCereri[ID_cerere],0)))&amp;"|"&amp;LEN(IF(ISBLANK(INDEX(tTQMCereri[Specificatie],MATCH(tTQMOferte[[#This Row],[ID_cerere]],tTQMCereri[ID_cerere],0))),"",INDEX(tTQMCereri[Specificatie],MATCH(tTQMOferte[[#This Row],[ID_cerere]],tTQMCereri[ID_cerere],0)))&amp;"")&amp;":"&amp;IF(ISBLANK(INDEX(tTQMCereri[Specificatie],MATCH(tTQMOferte[[#This Row],[ID_cerere]],tTQMCereri[ID_cerere],0))),"",INDEX(tTQMCereri[Specificatie],MATCH(tTQMOferte[[#This Row],[ID_cerere]],tTQMCereri[ID_cerere],0)))&amp;"|"&amp;LEN(IF(ISBLANK(INDEX(tTQMCereri[Buget_RON],MATCH(tTQMOferte[[#This Row],[ID_cerere]],tTQMCereri[ID_cerere],0))),"",INDEX(tTQMCereri[Buget_RON],MATCH(tTQMOferte[[#This Row],[ID_cerere]],tTQMCereri[ID_cerere],0)))&amp;"")&amp;":"&amp;IF(ISBLANK(INDEX(tTQMCereri[Buget_RON],MATCH(tTQMOferte[[#This Row],[ID_cerere]],tTQMCereri[ID_cerere],0))),"",INDEX(tTQMCereri[Buget_RON],MATCH(tTQMOferte[[#This Row],[ID_cerere]],tTQMCereri[ID_cerere],0))))</f>
        <v/>
      </c>
      <c r="W38" s="59"/>
      <c r="X38" s="66"/>
      <c r="Y38" s="59">
        <f>IF(IF(ISBLANK(tTQMOferte[[#This Row],[ID_oferta]]),"",tTQMOferte[[#This Row],[ID_oferta]])="",0,COUNTIFS(tTQMOferte[ID_cerere],IF(ISBLANK(tTQMOferte[[#This Row],[ID_cerere]]),"",tTQMOferte[[#This Row],[ID_cerere]]),tTQMOferte[Cost_sortare],"&lt;"&amp;tTQMOferte[[#This Row],[Cost_sortare]])+COUNTIFS($B$37:B38,IF(ISBLANK(tTQMOferte[[#This Row],[ID_cerere]]),"",tTQMOferte[[#This Row],[ID_cerere]]),$AC$37:AC38,tTQMOferte[[#This Row],[Cost_sortare]]))</f>
        <v>0</v>
      </c>
      <c r="Z38" s="59" t="str">
        <f>IF(IF(ISBLANK(tTQMOferte[[#This Row],[ID_oferta]]),"",tTQMOferte[[#This Row],[ID_oferta]])="","",tTQMOferte[[#This Row],[ID_cerere]]&amp;"#"&amp;tTQMOferte[[#This Row],[Rang_cost]])</f>
        <v/>
      </c>
      <c r="AA38" s="59">
        <f>IF(tTQMOferte[[#This Row],[Eligibila]]&lt;&gt;1,0,COUNTIFS(tTQMOferte[ID_cerere],IF(ISBLANK(tTQMOferte[[#This Row],[ID_cerere]]),"",tTQMOferte[[#This Row],[ID_cerere]]),tTQMOferte[Eligibila],1,tTQMOferte[Total_RON],"&lt;"&amp;tTQMOferte[[#This Row],[Total_RON]])+COUNTIFS($B$37:B38,IF(ISBLANK(tTQMOferte[[#This Row],[ID_cerere]]),"",tTQMOferte[[#This Row],[ID_cerere]]),$K$37:K38,1,$G$37:G38,tTQMOferte[[#This Row],[Total_RON]]))</f>
        <v>0</v>
      </c>
      <c r="AB38" s="59" t="str">
        <f>IF(tTQMOferte[[#This Row],[Rang_eligibil]]=1,tTQMOferte[[#This Row],[ID_cerere]],"")</f>
        <v/>
      </c>
      <c r="AC38" s="59">
        <f>IF(ISNUMBER(tTQMOferte[[#This Row],[Total_RON]]),tTQMOferte[[#This Row],[Total_RON]],1E+99)</f>
        <v>9.9999999999999997E+98</v>
      </c>
    </row>
    <row r="39" spans="1:29" ht="43.95" customHeight="1">
      <c r="A39" s="61"/>
      <c r="B39" s="61"/>
      <c r="C39" s="61"/>
      <c r="D39" s="61"/>
      <c r="E39" s="61"/>
      <c r="F39" s="63"/>
      <c r="G39" s="60" t="str">
        <f>IF(IF(ISBLANK(tTQMOferte[[#This Row],[ID_oferta]]),"",tTQMOferte[[#This Row],[ID_oferta]])="","",IF(AND(ISNUMBER(tTQMOferte[[#This Row],[Cantitate]]),N(tTQMOferte[[#This Row],[Cantitate]])&gt;0,ISNUMBER(tTQMOferte[[#This Row],[Pret_unitar]]),N(tTQMOferte[[#This Row],[Pret_unitar]])&gt;=0,ISNUMBER(tTQMOferte[[#This Row],[Discount_pct]]),N(tTQMOferte[[#This Row],[Discount_pct]])&gt;=0,N(tTQMOferte[[#This Row],[Discount_pct]])&lt;=1,ISNUMBER(tTQMOferte[[#This Row],[Transport_RON]]),N(tTQMOferte[[#This Row],[Transport_RON]])&gt;=0,ISNUMBER(tTQMOferte[[#This Row],[Alte_costuri_RON]]),N(tTQMOferte[[#This Row],[Alte_costuri_RON]])&gt;=0),ROUND(tTQMOferte[[#This Row],[Cantitate]]*tTQMOferte[[#This Row],[Pret_unitar]]*(1-tTQMOferte[[#This Row],[Discount_pct]])+tTQMOferte[[#This Row],[Transport_RON]]+tTQMOferte[[#This Row],[Alte_costuri_RON]],2),"DATE INVALIDE"))</f>
        <v/>
      </c>
      <c r="H39" s="62"/>
      <c r="I39" s="62"/>
      <c r="J39" s="61"/>
      <c r="K39" s="59" t="str">
        <f>IF(IF(ISBLANK(tTQMOferte[[#This Row],[ID_oferta]]),"",tTQMOferte[[#This Row],[ID_oferta]])="","",IF(tTQMOferte[[#This Row],[Motiv]]="OK",1,0))</f>
        <v/>
      </c>
      <c r="L39" s="59" t="str">
        <f ca="1">IF(IF(ISBLANK(tTQMOferte[[#This Row],[ID_oferta]]),"",tTQMOferte[[#This Row],[ID_oferta]])="","",IF(COUNTIFS(tTQMOferte[ID_oferta],IF(ISBLANK(tTQMOferte[[#This Row],[ID_oferta]]),"",tTQMOferte[[#This Row],[ID_oferta]]))&lt;&gt;1,"ID oferta duplicat",IF(COUNTIFS(tTQMCereri[ID_cerere],IF(ISBLANK(tTQMOferte[[#This Row],[ID_cerere]]),"",tTQMOferte[[#This Row],[ID_cerere]]))&lt;&gt;1,"Cerere inexistenta / duplicata",IF(NOT(AND(ISNUMBER(tTQMOferte[[#This Row],[Total_RON]]),LEN(IF(ISBLANK(tTQMOferte[[#This Row],[Furnizor]]),"",tTQMOferte[[#This Row],[Furnizor]])&amp;"")&gt;0,ISNUMBER(tTQMOferte[[#This Row],[Data_oferta]]),ISNUMBER(tTQMOferte[[#This Row],[Valabila_pana]]),ISNUMBER(tTQMOferte[[#This Row],[Data_livrare]]),N(tTQMOferte[[#This Row],[Data_oferta]])&lt;=TODAY(),N(tTQMOferte[[#This Row],[Valabila_pana]])&gt;=N(tTQMOferte[[#This Row],[Data_oferta]]),N(tTQMOferte[[#This Row],[Data_livrare]])&gt;=N(tTQMOferte[[#This Row],[Data_oferta]]))),"Date / costuri invalide",IF(OR(NOT(ISNUMBER(INDEX(tTQMCereri[Cantitate],MATCH(tTQMOferte[[#This Row],[ID_cerere]],tTQMCereri[ID_cerere],0)))),NOT(ISNUMBER(INDEX(tTQMCereri[Data_necesara],MATCH(tTQMOferte[[#This Row],[ID_cerere]],tTQMCereri[ID_cerere],0))))),"Cerere incompleta",IF(OR(tTQMOferte[[#This Row],[Cantitate]]&lt;&gt;INDEX(tTQMCereri[Cantitate],MATCH(tTQMOferte[[#This Row],[ID_cerere]],tTQMCereri[ID_cerere],0)),tTQMOferte[[#This Row],[UM]]&lt;&gt;INDEX(tTQMCereri[UM],MATCH(tTQMOferte[[#This Row],[ID_cerere]],tTQMCereri[ID_cerere],0))),"Cantitate / UM diferite",IF(IF(ISBLANK(tTQMOferte[[#This Row],[Conform_tehnic]]),"",tTQMOferte[[#This Row],[Conform_tehnic]])&lt;&gt;"Da",IF(IF(ISBLANK(tTQMOferte[[#This Row],[Conform_tehnic]]),"",tTQMOferte[[#This Row],[Conform_tehnic]])="Nu","Neconform tehnic","Conformitate de verificat"),IF(tTQMOferte[[#This Row],[Valabila_pana]]&lt;TODAY(),"Oferta expirata",IF(tTQMOferte[[#This Row],[Data_livrare]]&lt;TODAY(),"Livrarea a trecut",IF(tTQMOferte[[#This Row],[Data_livrare]]&gt;INDEX(tTQMCereri[Data_necesara],MATCH(tTQMOferte[[#This Row],[ID_cerere]],tTQMCereri[ID_cerere],0)),"Livrare intarziata","OK"))))))))))</f>
        <v/>
      </c>
      <c r="M39" s="61"/>
      <c r="N39" s="62"/>
      <c r="O39" s="64"/>
      <c r="P39" s="63"/>
      <c r="Q39" s="63"/>
      <c r="R39" s="61"/>
      <c r="S39" s="61"/>
      <c r="T39" s="61"/>
      <c r="U39" s="61"/>
      <c r="V39" s="59" t="str">
        <f>IF(OR(IF(ISBLANK(tTQMOferte[[#This Row],[ID_oferta]]),"",tTQMOferte[[#This Row],[ID_oferta]])="",COUNTIFS(tTQMCereri[ID_cerere],IF(ISBLANK(tTQMOferte[[#This Row],[ID_cerere]]),"",tTQMOferte[[#This Row],[ID_cerere]]))&lt;&gt;1),"",LEN(IF(ISBLANK(tTQMOferte[[#This Row],[ID_oferta]]),"",tTQMOferte[[#This Row],[ID_oferta]])&amp;"")&amp;":"&amp;IF(ISBLANK(tTQMOferte[[#This Row],[ID_oferta]]),"",tTQMOferte[[#This Row],[ID_oferta]])&amp;"|"&amp;LEN(IF(ISBLANK(tTQMOferte[[#This Row],[ID_cerere]]),"",tTQMOferte[[#This Row],[ID_cerere]])&amp;"")&amp;":"&amp;IF(ISBLANK(tTQMOferte[[#This Row],[ID_cerere]]),"",tTQMOferte[[#This Row],[ID_cerere]])&amp;"|"&amp;LEN(IF(ISBLANK(tTQMOferte[[#This Row],[Furnizor]]),"",tTQMOferte[[#This Row],[Furnizor]])&amp;"")&amp;":"&amp;IF(ISBLANK(tTQMOferte[[#This Row],[Furnizor]]),"",tTQMOferte[[#This Row],[Furnizor]])&amp;"|"&amp;LEN(IF(ISBLANK(tTQMOferte[[#This Row],[Cantitate]]),"",tTQMOferte[[#This Row],[Cantitate]])&amp;"")&amp;":"&amp;IF(ISBLANK(tTQMOferte[[#This Row],[Cantitate]]),"",tTQMOferte[[#This Row],[Cantitate]])&amp;"|"&amp;LEN(IF(ISBLANK(tTQMOferte[[#This Row],[UM]]),"",tTQMOferte[[#This Row],[UM]])&amp;"")&amp;":"&amp;IF(ISBLANK(tTQMOferte[[#This Row],[UM]]),"",tTQMOferte[[#This Row],[UM]])&amp;"|"&amp;LEN(IF(ISBLANK(tTQMOferte[[#This Row],[Pret_unitar]]),"",tTQMOferte[[#This Row],[Pret_unitar]])&amp;"")&amp;":"&amp;IF(ISBLANK(tTQMOferte[[#This Row],[Pret_unitar]]),"",tTQMOferte[[#This Row],[Pret_unitar]])&amp;"|"&amp;LEN(IF(ISBLANK(tTQMOferte[[#This Row],[Data_livrare]]),"",tTQMOferte[[#This Row],[Data_livrare]])&amp;"")&amp;":"&amp;IF(ISBLANK(tTQMOferte[[#This Row],[Data_livrare]]),"",tTQMOferte[[#This Row],[Data_livrare]])&amp;"|"&amp;LEN(IF(ISBLANK(tTQMOferte[[#This Row],[Valabila_pana]]),"",tTQMOferte[[#This Row],[Valabila_pana]])&amp;"")&amp;":"&amp;IF(ISBLANK(tTQMOferte[[#This Row],[Valabila_pana]]),"",tTQMOferte[[#This Row],[Valabila_pana]])&amp;"|"&amp;LEN(IF(ISBLANK(tTQMOferte[[#This Row],[Conform_tehnic]]),"",tTQMOferte[[#This Row],[Conform_tehnic]])&amp;"")&amp;":"&amp;IF(ISBLANK(tTQMOferte[[#This Row],[Conform_tehnic]]),"",tTQMOferte[[#This Row],[Conform_tehnic]])&amp;"|"&amp;LEN(IF(ISBLANK(tTQMOferte[[#This Row],[Nr_oferta]]),"",tTQMOferte[[#This Row],[Nr_oferta]])&amp;"")&amp;":"&amp;IF(ISBLANK(tTQMOferte[[#This Row],[Nr_oferta]]),"",tTQMOferte[[#This Row],[Nr_oferta]])&amp;"|"&amp;LEN(IF(ISBLANK(tTQMOferte[[#This Row],[Data_oferta]]),"",tTQMOferte[[#This Row],[Data_oferta]])&amp;"")&amp;":"&amp;IF(ISBLANK(tTQMOferte[[#This Row],[Data_oferta]]),"",tTQMOferte[[#This Row],[Data_oferta]])&amp;"|"&amp;LEN(IF(ISBLANK(tTQMOferte[[#This Row],[Discount_pct]]),"",tTQMOferte[[#This Row],[Discount_pct]])&amp;"")&amp;":"&amp;IF(ISBLANK(tTQMOferte[[#This Row],[Discount_pct]]),"",tTQMOferte[[#This Row],[Discount_pct]])&amp;"|"&amp;LEN(IF(ISBLANK(tTQMOferte[[#This Row],[Transport_RON]]),"",tTQMOferte[[#This Row],[Transport_RON]])&amp;"")&amp;":"&amp;IF(ISBLANK(tTQMOferte[[#This Row],[Transport_RON]]),"",tTQMOferte[[#This Row],[Transport_RON]])&amp;"|"&amp;LEN(IF(ISBLANK(tTQMOferte[[#This Row],[Alte_costuri_RON]]),"",tTQMOferte[[#This Row],[Alte_costuri_RON]])&amp;"")&amp;":"&amp;IF(ISBLANK(tTQMOferte[[#This Row],[Alte_costuri_RON]]),"",tTQMOferte[[#This Row],[Alte_costuri_RON]])&amp;"|"&amp;LEN(IF(ISBLANK(tTQMOferte[[#This Row],[Conditii_plata]]),"",tTQMOferte[[#This Row],[Conditii_plata]])&amp;"")&amp;":"&amp;IF(ISBLANK(tTQMOferte[[#This Row],[Conditii_plata]]),"",tTQMOferte[[#This Row],[Conditii_plata]])&amp;"|"&amp;LEN(IF(ISBLANK(tTQMOferte[[#This Row],[Garantie]]),"",tTQMOferte[[#This Row],[Garantie]])&amp;"")&amp;":"&amp;IF(ISBLANK(tTQMOferte[[#This Row],[Garantie]]),"",tTQMOferte[[#This Row],[Garantie]])&amp;"|"&amp;LEN(IF(ISBLANK(tTQMOferte[[#This Row],[Link_oferta]]),"",tTQMOferte[[#This Row],[Link_oferta]])&amp;"")&amp;":"&amp;IF(ISBLANK(tTQMOferte[[#This Row],[Link_oferta]]),"",tTQMOferte[[#This Row],[Link_oferta]])&amp;"|"&amp;LEN(IF(ISBLANK(INDEX(tTQMCereri[Proiect],MATCH(tTQMOferte[[#This Row],[ID_cerere]],tTQMCereri[ID_cerere],0))),"",INDEX(tTQMCereri[Proiect],MATCH(tTQMOferte[[#This Row],[ID_cerere]],tTQMCereri[ID_cerere],0)))&amp;"")&amp;":"&amp;IF(ISBLANK(INDEX(tTQMCereri[Proiect],MATCH(tTQMOferte[[#This Row],[ID_cerere]],tTQMCereri[ID_cerere],0))),"",INDEX(tTQMCereri[Proiect],MATCH(tTQMOferte[[#This Row],[ID_cerere]],tTQMCereri[ID_cerere],0)))&amp;"|"&amp;LEN(IF(ISBLANK(INDEX(tTQMCereri[Material],MATCH(tTQMOferte[[#This Row],[ID_cerere]],tTQMCereri[ID_cerere],0))),"",INDEX(tTQMCereri[Material],MATCH(tTQMOferte[[#This Row],[ID_cerere]],tTQMCereri[ID_cerere],0)))&amp;"")&amp;":"&amp;IF(ISBLANK(INDEX(tTQMCereri[Material],MATCH(tTQMOferte[[#This Row],[ID_cerere]],tTQMCereri[ID_cerere],0))),"",INDEX(tTQMCereri[Material],MATCH(tTQMOferte[[#This Row],[ID_cerere]],tTQMCereri[ID_cerere],0)))&amp;"|"&amp;LEN(IF(ISBLANK(INDEX(tTQMCereri[UM],MATCH(tTQMOferte[[#This Row],[ID_cerere]],tTQMCereri[ID_cerere],0))),"",INDEX(tTQMCereri[UM],MATCH(tTQMOferte[[#This Row],[ID_cerere]],tTQMCereri[ID_cerere],0)))&amp;"")&amp;":"&amp;IF(ISBLANK(INDEX(tTQMCereri[UM],MATCH(tTQMOferte[[#This Row],[ID_cerere]],tTQMCereri[ID_cerere],0))),"",INDEX(tTQMCereri[UM],MATCH(tTQMOferte[[#This Row],[ID_cerere]],tTQMCereri[ID_cerere],0)))&amp;"|"&amp;LEN(IF(ISBLANK(INDEX(tTQMCereri[Cantitate],MATCH(tTQMOferte[[#This Row],[ID_cerere]],tTQMCereri[ID_cerere],0))),"",INDEX(tTQMCereri[Cantitate],MATCH(tTQMOferte[[#This Row],[ID_cerere]],tTQMCereri[ID_cerere],0)))&amp;"")&amp;":"&amp;IF(ISBLANK(INDEX(tTQMCereri[Cantitate],MATCH(tTQMOferte[[#This Row],[ID_cerere]],tTQMCereri[ID_cerere],0))),"",INDEX(tTQMCereri[Cantitate],MATCH(tTQMOferte[[#This Row],[ID_cerere]],tTQMCereri[ID_cerere],0)))&amp;"|"&amp;LEN(IF(ISBLANK(INDEX(tTQMCereri[Data_necesara],MATCH(tTQMOferte[[#This Row],[ID_cerere]],tTQMCereri[ID_cerere],0))),"",INDEX(tTQMCereri[Data_necesara],MATCH(tTQMOferte[[#This Row],[ID_cerere]],tTQMCereri[ID_cerere],0)))&amp;"")&amp;":"&amp;IF(ISBLANK(INDEX(tTQMCereri[Data_necesara],MATCH(tTQMOferte[[#This Row],[ID_cerere]],tTQMCereri[ID_cerere],0))),"",INDEX(tTQMCereri[Data_necesara],MATCH(tTQMOferte[[#This Row],[ID_cerere]],tTQMCereri[ID_cerere],0)))&amp;"|"&amp;LEN(IF(ISBLANK(INDEX(tTQMCereri[Specificatie],MATCH(tTQMOferte[[#This Row],[ID_cerere]],tTQMCereri[ID_cerere],0))),"",INDEX(tTQMCereri[Specificatie],MATCH(tTQMOferte[[#This Row],[ID_cerere]],tTQMCereri[ID_cerere],0)))&amp;"")&amp;":"&amp;IF(ISBLANK(INDEX(tTQMCereri[Specificatie],MATCH(tTQMOferte[[#This Row],[ID_cerere]],tTQMCereri[ID_cerere],0))),"",INDEX(tTQMCereri[Specificatie],MATCH(tTQMOferte[[#This Row],[ID_cerere]],tTQMCereri[ID_cerere],0)))&amp;"|"&amp;LEN(IF(ISBLANK(INDEX(tTQMCereri[Buget_RON],MATCH(tTQMOferte[[#This Row],[ID_cerere]],tTQMCereri[ID_cerere],0))),"",INDEX(tTQMCereri[Buget_RON],MATCH(tTQMOferte[[#This Row],[ID_cerere]],tTQMCereri[ID_cerere],0)))&amp;"")&amp;":"&amp;IF(ISBLANK(INDEX(tTQMCereri[Buget_RON],MATCH(tTQMOferte[[#This Row],[ID_cerere]],tTQMCereri[ID_cerere],0))),"",INDEX(tTQMCereri[Buget_RON],MATCH(tTQMOferte[[#This Row],[ID_cerere]],tTQMCereri[ID_cerere],0))))</f>
        <v/>
      </c>
      <c r="W39" s="59"/>
      <c r="X39" s="66"/>
      <c r="Y39" s="59">
        <f>IF(IF(ISBLANK(tTQMOferte[[#This Row],[ID_oferta]]),"",tTQMOferte[[#This Row],[ID_oferta]])="",0,COUNTIFS(tTQMOferte[ID_cerere],IF(ISBLANK(tTQMOferte[[#This Row],[ID_cerere]]),"",tTQMOferte[[#This Row],[ID_cerere]]),tTQMOferte[Cost_sortare],"&lt;"&amp;tTQMOferte[[#This Row],[Cost_sortare]])+COUNTIFS($B$37:B39,IF(ISBLANK(tTQMOferte[[#This Row],[ID_cerere]]),"",tTQMOferte[[#This Row],[ID_cerere]]),$AC$37:AC39,tTQMOferte[[#This Row],[Cost_sortare]]))</f>
        <v>0</v>
      </c>
      <c r="Z39" s="59" t="str">
        <f>IF(IF(ISBLANK(tTQMOferte[[#This Row],[ID_oferta]]),"",tTQMOferte[[#This Row],[ID_oferta]])="","",tTQMOferte[[#This Row],[ID_cerere]]&amp;"#"&amp;tTQMOferte[[#This Row],[Rang_cost]])</f>
        <v/>
      </c>
      <c r="AA39" s="59">
        <f>IF(tTQMOferte[[#This Row],[Eligibila]]&lt;&gt;1,0,COUNTIFS(tTQMOferte[ID_cerere],IF(ISBLANK(tTQMOferte[[#This Row],[ID_cerere]]),"",tTQMOferte[[#This Row],[ID_cerere]]),tTQMOferte[Eligibila],1,tTQMOferte[Total_RON],"&lt;"&amp;tTQMOferte[[#This Row],[Total_RON]])+COUNTIFS($B$37:B39,IF(ISBLANK(tTQMOferte[[#This Row],[ID_cerere]]),"",tTQMOferte[[#This Row],[ID_cerere]]),$K$37:K39,1,$G$37:G39,tTQMOferte[[#This Row],[Total_RON]]))</f>
        <v>0</v>
      </c>
      <c r="AB39" s="59" t="str">
        <f>IF(tTQMOferte[[#This Row],[Rang_eligibil]]=1,tTQMOferte[[#This Row],[ID_cerere]],"")</f>
        <v/>
      </c>
      <c r="AC39" s="59">
        <f>IF(ISNUMBER(tTQMOferte[[#This Row],[Total_RON]]),tTQMOferte[[#This Row],[Total_RON]],1E+99)</f>
        <v>9.9999999999999997E+98</v>
      </c>
    </row>
    <row r="40" spans="1:29" ht="43.95" customHeight="1">
      <c r="A40" s="61"/>
      <c r="B40" s="61"/>
      <c r="C40" s="61"/>
      <c r="D40" s="61"/>
      <c r="E40" s="61"/>
      <c r="F40" s="63"/>
      <c r="G40" s="60" t="str">
        <f>IF(IF(ISBLANK(tTQMOferte[[#This Row],[ID_oferta]]),"",tTQMOferte[[#This Row],[ID_oferta]])="","",IF(AND(ISNUMBER(tTQMOferte[[#This Row],[Cantitate]]),N(tTQMOferte[[#This Row],[Cantitate]])&gt;0,ISNUMBER(tTQMOferte[[#This Row],[Pret_unitar]]),N(tTQMOferte[[#This Row],[Pret_unitar]])&gt;=0,ISNUMBER(tTQMOferte[[#This Row],[Discount_pct]]),N(tTQMOferte[[#This Row],[Discount_pct]])&gt;=0,N(tTQMOferte[[#This Row],[Discount_pct]])&lt;=1,ISNUMBER(tTQMOferte[[#This Row],[Transport_RON]]),N(tTQMOferte[[#This Row],[Transport_RON]])&gt;=0,ISNUMBER(tTQMOferte[[#This Row],[Alte_costuri_RON]]),N(tTQMOferte[[#This Row],[Alte_costuri_RON]])&gt;=0),ROUND(tTQMOferte[[#This Row],[Cantitate]]*tTQMOferte[[#This Row],[Pret_unitar]]*(1-tTQMOferte[[#This Row],[Discount_pct]])+tTQMOferte[[#This Row],[Transport_RON]]+tTQMOferte[[#This Row],[Alte_costuri_RON]],2),"DATE INVALIDE"))</f>
        <v/>
      </c>
      <c r="H40" s="62"/>
      <c r="I40" s="62"/>
      <c r="J40" s="61"/>
      <c r="K40" s="59" t="str">
        <f>IF(IF(ISBLANK(tTQMOferte[[#This Row],[ID_oferta]]),"",tTQMOferte[[#This Row],[ID_oferta]])="","",IF(tTQMOferte[[#This Row],[Motiv]]="OK",1,0))</f>
        <v/>
      </c>
      <c r="L40" s="59" t="str">
        <f ca="1">IF(IF(ISBLANK(tTQMOferte[[#This Row],[ID_oferta]]),"",tTQMOferte[[#This Row],[ID_oferta]])="","",IF(COUNTIFS(tTQMOferte[ID_oferta],IF(ISBLANK(tTQMOferte[[#This Row],[ID_oferta]]),"",tTQMOferte[[#This Row],[ID_oferta]]))&lt;&gt;1,"ID oferta duplicat",IF(COUNTIFS(tTQMCereri[ID_cerere],IF(ISBLANK(tTQMOferte[[#This Row],[ID_cerere]]),"",tTQMOferte[[#This Row],[ID_cerere]]))&lt;&gt;1,"Cerere inexistenta / duplicata",IF(NOT(AND(ISNUMBER(tTQMOferte[[#This Row],[Total_RON]]),LEN(IF(ISBLANK(tTQMOferte[[#This Row],[Furnizor]]),"",tTQMOferte[[#This Row],[Furnizor]])&amp;"")&gt;0,ISNUMBER(tTQMOferte[[#This Row],[Data_oferta]]),ISNUMBER(tTQMOferte[[#This Row],[Valabila_pana]]),ISNUMBER(tTQMOferte[[#This Row],[Data_livrare]]),N(tTQMOferte[[#This Row],[Data_oferta]])&lt;=TODAY(),N(tTQMOferte[[#This Row],[Valabila_pana]])&gt;=N(tTQMOferte[[#This Row],[Data_oferta]]),N(tTQMOferte[[#This Row],[Data_livrare]])&gt;=N(tTQMOferte[[#This Row],[Data_oferta]]))),"Date / costuri invalide",IF(OR(NOT(ISNUMBER(INDEX(tTQMCereri[Cantitate],MATCH(tTQMOferte[[#This Row],[ID_cerere]],tTQMCereri[ID_cerere],0)))),NOT(ISNUMBER(INDEX(tTQMCereri[Data_necesara],MATCH(tTQMOferte[[#This Row],[ID_cerere]],tTQMCereri[ID_cerere],0))))),"Cerere incompleta",IF(OR(tTQMOferte[[#This Row],[Cantitate]]&lt;&gt;INDEX(tTQMCereri[Cantitate],MATCH(tTQMOferte[[#This Row],[ID_cerere]],tTQMCereri[ID_cerere],0)),tTQMOferte[[#This Row],[UM]]&lt;&gt;INDEX(tTQMCereri[UM],MATCH(tTQMOferte[[#This Row],[ID_cerere]],tTQMCereri[ID_cerere],0))),"Cantitate / UM diferite",IF(IF(ISBLANK(tTQMOferte[[#This Row],[Conform_tehnic]]),"",tTQMOferte[[#This Row],[Conform_tehnic]])&lt;&gt;"Da",IF(IF(ISBLANK(tTQMOferte[[#This Row],[Conform_tehnic]]),"",tTQMOferte[[#This Row],[Conform_tehnic]])="Nu","Neconform tehnic","Conformitate de verificat"),IF(tTQMOferte[[#This Row],[Valabila_pana]]&lt;TODAY(),"Oferta expirata",IF(tTQMOferte[[#This Row],[Data_livrare]]&lt;TODAY(),"Livrarea a trecut",IF(tTQMOferte[[#This Row],[Data_livrare]]&gt;INDEX(tTQMCereri[Data_necesara],MATCH(tTQMOferte[[#This Row],[ID_cerere]],tTQMCereri[ID_cerere],0)),"Livrare intarziata","OK"))))))))))</f>
        <v/>
      </c>
      <c r="M40" s="61"/>
      <c r="N40" s="62"/>
      <c r="O40" s="64"/>
      <c r="P40" s="63"/>
      <c r="Q40" s="63"/>
      <c r="R40" s="61"/>
      <c r="S40" s="61"/>
      <c r="T40" s="61"/>
      <c r="U40" s="61"/>
      <c r="V40" s="59" t="str">
        <f>IF(OR(IF(ISBLANK(tTQMOferte[[#This Row],[ID_oferta]]),"",tTQMOferte[[#This Row],[ID_oferta]])="",COUNTIFS(tTQMCereri[ID_cerere],IF(ISBLANK(tTQMOferte[[#This Row],[ID_cerere]]),"",tTQMOferte[[#This Row],[ID_cerere]]))&lt;&gt;1),"",LEN(IF(ISBLANK(tTQMOferte[[#This Row],[ID_oferta]]),"",tTQMOferte[[#This Row],[ID_oferta]])&amp;"")&amp;":"&amp;IF(ISBLANK(tTQMOferte[[#This Row],[ID_oferta]]),"",tTQMOferte[[#This Row],[ID_oferta]])&amp;"|"&amp;LEN(IF(ISBLANK(tTQMOferte[[#This Row],[ID_cerere]]),"",tTQMOferte[[#This Row],[ID_cerere]])&amp;"")&amp;":"&amp;IF(ISBLANK(tTQMOferte[[#This Row],[ID_cerere]]),"",tTQMOferte[[#This Row],[ID_cerere]])&amp;"|"&amp;LEN(IF(ISBLANK(tTQMOferte[[#This Row],[Furnizor]]),"",tTQMOferte[[#This Row],[Furnizor]])&amp;"")&amp;":"&amp;IF(ISBLANK(tTQMOferte[[#This Row],[Furnizor]]),"",tTQMOferte[[#This Row],[Furnizor]])&amp;"|"&amp;LEN(IF(ISBLANK(tTQMOferte[[#This Row],[Cantitate]]),"",tTQMOferte[[#This Row],[Cantitate]])&amp;"")&amp;":"&amp;IF(ISBLANK(tTQMOferte[[#This Row],[Cantitate]]),"",tTQMOferte[[#This Row],[Cantitate]])&amp;"|"&amp;LEN(IF(ISBLANK(tTQMOferte[[#This Row],[UM]]),"",tTQMOferte[[#This Row],[UM]])&amp;"")&amp;":"&amp;IF(ISBLANK(tTQMOferte[[#This Row],[UM]]),"",tTQMOferte[[#This Row],[UM]])&amp;"|"&amp;LEN(IF(ISBLANK(tTQMOferte[[#This Row],[Pret_unitar]]),"",tTQMOferte[[#This Row],[Pret_unitar]])&amp;"")&amp;":"&amp;IF(ISBLANK(tTQMOferte[[#This Row],[Pret_unitar]]),"",tTQMOferte[[#This Row],[Pret_unitar]])&amp;"|"&amp;LEN(IF(ISBLANK(tTQMOferte[[#This Row],[Data_livrare]]),"",tTQMOferte[[#This Row],[Data_livrare]])&amp;"")&amp;":"&amp;IF(ISBLANK(tTQMOferte[[#This Row],[Data_livrare]]),"",tTQMOferte[[#This Row],[Data_livrare]])&amp;"|"&amp;LEN(IF(ISBLANK(tTQMOferte[[#This Row],[Valabila_pana]]),"",tTQMOferte[[#This Row],[Valabila_pana]])&amp;"")&amp;":"&amp;IF(ISBLANK(tTQMOferte[[#This Row],[Valabila_pana]]),"",tTQMOferte[[#This Row],[Valabila_pana]])&amp;"|"&amp;LEN(IF(ISBLANK(tTQMOferte[[#This Row],[Conform_tehnic]]),"",tTQMOferte[[#This Row],[Conform_tehnic]])&amp;"")&amp;":"&amp;IF(ISBLANK(tTQMOferte[[#This Row],[Conform_tehnic]]),"",tTQMOferte[[#This Row],[Conform_tehnic]])&amp;"|"&amp;LEN(IF(ISBLANK(tTQMOferte[[#This Row],[Nr_oferta]]),"",tTQMOferte[[#This Row],[Nr_oferta]])&amp;"")&amp;":"&amp;IF(ISBLANK(tTQMOferte[[#This Row],[Nr_oferta]]),"",tTQMOferte[[#This Row],[Nr_oferta]])&amp;"|"&amp;LEN(IF(ISBLANK(tTQMOferte[[#This Row],[Data_oferta]]),"",tTQMOferte[[#This Row],[Data_oferta]])&amp;"")&amp;":"&amp;IF(ISBLANK(tTQMOferte[[#This Row],[Data_oferta]]),"",tTQMOferte[[#This Row],[Data_oferta]])&amp;"|"&amp;LEN(IF(ISBLANK(tTQMOferte[[#This Row],[Discount_pct]]),"",tTQMOferte[[#This Row],[Discount_pct]])&amp;"")&amp;":"&amp;IF(ISBLANK(tTQMOferte[[#This Row],[Discount_pct]]),"",tTQMOferte[[#This Row],[Discount_pct]])&amp;"|"&amp;LEN(IF(ISBLANK(tTQMOferte[[#This Row],[Transport_RON]]),"",tTQMOferte[[#This Row],[Transport_RON]])&amp;"")&amp;":"&amp;IF(ISBLANK(tTQMOferte[[#This Row],[Transport_RON]]),"",tTQMOferte[[#This Row],[Transport_RON]])&amp;"|"&amp;LEN(IF(ISBLANK(tTQMOferte[[#This Row],[Alte_costuri_RON]]),"",tTQMOferte[[#This Row],[Alte_costuri_RON]])&amp;"")&amp;":"&amp;IF(ISBLANK(tTQMOferte[[#This Row],[Alte_costuri_RON]]),"",tTQMOferte[[#This Row],[Alte_costuri_RON]])&amp;"|"&amp;LEN(IF(ISBLANK(tTQMOferte[[#This Row],[Conditii_plata]]),"",tTQMOferte[[#This Row],[Conditii_plata]])&amp;"")&amp;":"&amp;IF(ISBLANK(tTQMOferte[[#This Row],[Conditii_plata]]),"",tTQMOferte[[#This Row],[Conditii_plata]])&amp;"|"&amp;LEN(IF(ISBLANK(tTQMOferte[[#This Row],[Garantie]]),"",tTQMOferte[[#This Row],[Garantie]])&amp;"")&amp;":"&amp;IF(ISBLANK(tTQMOferte[[#This Row],[Garantie]]),"",tTQMOferte[[#This Row],[Garantie]])&amp;"|"&amp;LEN(IF(ISBLANK(tTQMOferte[[#This Row],[Link_oferta]]),"",tTQMOferte[[#This Row],[Link_oferta]])&amp;"")&amp;":"&amp;IF(ISBLANK(tTQMOferte[[#This Row],[Link_oferta]]),"",tTQMOferte[[#This Row],[Link_oferta]])&amp;"|"&amp;LEN(IF(ISBLANK(INDEX(tTQMCereri[Proiect],MATCH(tTQMOferte[[#This Row],[ID_cerere]],tTQMCereri[ID_cerere],0))),"",INDEX(tTQMCereri[Proiect],MATCH(tTQMOferte[[#This Row],[ID_cerere]],tTQMCereri[ID_cerere],0)))&amp;"")&amp;":"&amp;IF(ISBLANK(INDEX(tTQMCereri[Proiect],MATCH(tTQMOferte[[#This Row],[ID_cerere]],tTQMCereri[ID_cerere],0))),"",INDEX(tTQMCereri[Proiect],MATCH(tTQMOferte[[#This Row],[ID_cerere]],tTQMCereri[ID_cerere],0)))&amp;"|"&amp;LEN(IF(ISBLANK(INDEX(tTQMCereri[Material],MATCH(tTQMOferte[[#This Row],[ID_cerere]],tTQMCereri[ID_cerere],0))),"",INDEX(tTQMCereri[Material],MATCH(tTQMOferte[[#This Row],[ID_cerere]],tTQMCereri[ID_cerere],0)))&amp;"")&amp;":"&amp;IF(ISBLANK(INDEX(tTQMCereri[Material],MATCH(tTQMOferte[[#This Row],[ID_cerere]],tTQMCereri[ID_cerere],0))),"",INDEX(tTQMCereri[Material],MATCH(tTQMOferte[[#This Row],[ID_cerere]],tTQMCereri[ID_cerere],0)))&amp;"|"&amp;LEN(IF(ISBLANK(INDEX(tTQMCereri[UM],MATCH(tTQMOferte[[#This Row],[ID_cerere]],tTQMCereri[ID_cerere],0))),"",INDEX(tTQMCereri[UM],MATCH(tTQMOferte[[#This Row],[ID_cerere]],tTQMCereri[ID_cerere],0)))&amp;"")&amp;":"&amp;IF(ISBLANK(INDEX(tTQMCereri[UM],MATCH(tTQMOferte[[#This Row],[ID_cerere]],tTQMCereri[ID_cerere],0))),"",INDEX(tTQMCereri[UM],MATCH(tTQMOferte[[#This Row],[ID_cerere]],tTQMCereri[ID_cerere],0)))&amp;"|"&amp;LEN(IF(ISBLANK(INDEX(tTQMCereri[Cantitate],MATCH(tTQMOferte[[#This Row],[ID_cerere]],tTQMCereri[ID_cerere],0))),"",INDEX(tTQMCereri[Cantitate],MATCH(tTQMOferte[[#This Row],[ID_cerere]],tTQMCereri[ID_cerere],0)))&amp;"")&amp;":"&amp;IF(ISBLANK(INDEX(tTQMCereri[Cantitate],MATCH(tTQMOferte[[#This Row],[ID_cerere]],tTQMCereri[ID_cerere],0))),"",INDEX(tTQMCereri[Cantitate],MATCH(tTQMOferte[[#This Row],[ID_cerere]],tTQMCereri[ID_cerere],0)))&amp;"|"&amp;LEN(IF(ISBLANK(INDEX(tTQMCereri[Data_necesara],MATCH(tTQMOferte[[#This Row],[ID_cerere]],tTQMCereri[ID_cerere],0))),"",INDEX(tTQMCereri[Data_necesara],MATCH(tTQMOferte[[#This Row],[ID_cerere]],tTQMCereri[ID_cerere],0)))&amp;"")&amp;":"&amp;IF(ISBLANK(INDEX(tTQMCereri[Data_necesara],MATCH(tTQMOferte[[#This Row],[ID_cerere]],tTQMCereri[ID_cerere],0))),"",INDEX(tTQMCereri[Data_necesara],MATCH(tTQMOferte[[#This Row],[ID_cerere]],tTQMCereri[ID_cerere],0)))&amp;"|"&amp;LEN(IF(ISBLANK(INDEX(tTQMCereri[Specificatie],MATCH(tTQMOferte[[#This Row],[ID_cerere]],tTQMCereri[ID_cerere],0))),"",INDEX(tTQMCereri[Specificatie],MATCH(tTQMOferte[[#This Row],[ID_cerere]],tTQMCereri[ID_cerere],0)))&amp;"")&amp;":"&amp;IF(ISBLANK(INDEX(tTQMCereri[Specificatie],MATCH(tTQMOferte[[#This Row],[ID_cerere]],tTQMCereri[ID_cerere],0))),"",INDEX(tTQMCereri[Specificatie],MATCH(tTQMOferte[[#This Row],[ID_cerere]],tTQMCereri[ID_cerere],0)))&amp;"|"&amp;LEN(IF(ISBLANK(INDEX(tTQMCereri[Buget_RON],MATCH(tTQMOferte[[#This Row],[ID_cerere]],tTQMCereri[ID_cerere],0))),"",INDEX(tTQMCereri[Buget_RON],MATCH(tTQMOferte[[#This Row],[ID_cerere]],tTQMCereri[ID_cerere],0)))&amp;"")&amp;":"&amp;IF(ISBLANK(INDEX(tTQMCereri[Buget_RON],MATCH(tTQMOferte[[#This Row],[ID_cerere]],tTQMCereri[ID_cerere],0))),"",INDEX(tTQMCereri[Buget_RON],MATCH(tTQMOferte[[#This Row],[ID_cerere]],tTQMCereri[ID_cerere],0))))</f>
        <v/>
      </c>
      <c r="W40" s="59"/>
      <c r="X40" s="66"/>
      <c r="Y40" s="59">
        <f>IF(IF(ISBLANK(tTQMOferte[[#This Row],[ID_oferta]]),"",tTQMOferte[[#This Row],[ID_oferta]])="",0,COUNTIFS(tTQMOferte[ID_cerere],IF(ISBLANK(tTQMOferte[[#This Row],[ID_cerere]]),"",tTQMOferte[[#This Row],[ID_cerere]]),tTQMOferte[Cost_sortare],"&lt;"&amp;tTQMOferte[[#This Row],[Cost_sortare]])+COUNTIFS($B$37:B40,IF(ISBLANK(tTQMOferte[[#This Row],[ID_cerere]]),"",tTQMOferte[[#This Row],[ID_cerere]]),$AC$37:AC40,tTQMOferte[[#This Row],[Cost_sortare]]))</f>
        <v>0</v>
      </c>
      <c r="Z40" s="59" t="str">
        <f>IF(IF(ISBLANK(tTQMOferte[[#This Row],[ID_oferta]]),"",tTQMOferte[[#This Row],[ID_oferta]])="","",tTQMOferte[[#This Row],[ID_cerere]]&amp;"#"&amp;tTQMOferte[[#This Row],[Rang_cost]])</f>
        <v/>
      </c>
      <c r="AA40" s="59">
        <f>IF(tTQMOferte[[#This Row],[Eligibila]]&lt;&gt;1,0,COUNTIFS(tTQMOferte[ID_cerere],IF(ISBLANK(tTQMOferte[[#This Row],[ID_cerere]]),"",tTQMOferte[[#This Row],[ID_cerere]]),tTQMOferte[Eligibila],1,tTQMOferte[Total_RON],"&lt;"&amp;tTQMOferte[[#This Row],[Total_RON]])+COUNTIFS($B$37:B40,IF(ISBLANK(tTQMOferte[[#This Row],[ID_cerere]]),"",tTQMOferte[[#This Row],[ID_cerere]]),$K$37:K40,1,$G$37:G40,tTQMOferte[[#This Row],[Total_RON]]))</f>
        <v>0</v>
      </c>
      <c r="AB40" s="59" t="str">
        <f>IF(tTQMOferte[[#This Row],[Rang_eligibil]]=1,tTQMOferte[[#This Row],[ID_cerere]],"")</f>
        <v/>
      </c>
      <c r="AC40" s="59">
        <f>IF(ISNUMBER(tTQMOferte[[#This Row],[Total_RON]]),tTQMOferte[[#This Row],[Total_RON]],1E+99)</f>
        <v>9.9999999999999997E+98</v>
      </c>
    </row>
    <row r="41" spans="1:29" ht="43.95" customHeight="1">
      <c r="A41" s="61"/>
      <c r="B41" s="61"/>
      <c r="C41" s="61"/>
      <c r="D41" s="61"/>
      <c r="E41" s="61"/>
      <c r="F41" s="63"/>
      <c r="G41" s="60" t="str">
        <f>IF(IF(ISBLANK(tTQMOferte[[#This Row],[ID_oferta]]),"",tTQMOferte[[#This Row],[ID_oferta]])="","",IF(AND(ISNUMBER(tTQMOferte[[#This Row],[Cantitate]]),N(tTQMOferte[[#This Row],[Cantitate]])&gt;0,ISNUMBER(tTQMOferte[[#This Row],[Pret_unitar]]),N(tTQMOferte[[#This Row],[Pret_unitar]])&gt;=0,ISNUMBER(tTQMOferte[[#This Row],[Discount_pct]]),N(tTQMOferte[[#This Row],[Discount_pct]])&gt;=0,N(tTQMOferte[[#This Row],[Discount_pct]])&lt;=1,ISNUMBER(tTQMOferte[[#This Row],[Transport_RON]]),N(tTQMOferte[[#This Row],[Transport_RON]])&gt;=0,ISNUMBER(tTQMOferte[[#This Row],[Alte_costuri_RON]]),N(tTQMOferte[[#This Row],[Alte_costuri_RON]])&gt;=0),ROUND(tTQMOferte[[#This Row],[Cantitate]]*tTQMOferte[[#This Row],[Pret_unitar]]*(1-tTQMOferte[[#This Row],[Discount_pct]])+tTQMOferte[[#This Row],[Transport_RON]]+tTQMOferte[[#This Row],[Alte_costuri_RON]],2),"DATE INVALIDE"))</f>
        <v/>
      </c>
      <c r="H41" s="62"/>
      <c r="I41" s="62"/>
      <c r="J41" s="61"/>
      <c r="K41" s="59" t="str">
        <f>IF(IF(ISBLANK(tTQMOferte[[#This Row],[ID_oferta]]),"",tTQMOferte[[#This Row],[ID_oferta]])="","",IF(tTQMOferte[[#This Row],[Motiv]]="OK",1,0))</f>
        <v/>
      </c>
      <c r="L41" s="59" t="str">
        <f ca="1">IF(IF(ISBLANK(tTQMOferte[[#This Row],[ID_oferta]]),"",tTQMOferte[[#This Row],[ID_oferta]])="","",IF(COUNTIFS(tTQMOferte[ID_oferta],IF(ISBLANK(tTQMOferte[[#This Row],[ID_oferta]]),"",tTQMOferte[[#This Row],[ID_oferta]]))&lt;&gt;1,"ID oferta duplicat",IF(COUNTIFS(tTQMCereri[ID_cerere],IF(ISBLANK(tTQMOferte[[#This Row],[ID_cerere]]),"",tTQMOferte[[#This Row],[ID_cerere]]))&lt;&gt;1,"Cerere inexistenta / duplicata",IF(NOT(AND(ISNUMBER(tTQMOferte[[#This Row],[Total_RON]]),LEN(IF(ISBLANK(tTQMOferte[[#This Row],[Furnizor]]),"",tTQMOferte[[#This Row],[Furnizor]])&amp;"")&gt;0,ISNUMBER(tTQMOferte[[#This Row],[Data_oferta]]),ISNUMBER(tTQMOferte[[#This Row],[Valabila_pana]]),ISNUMBER(tTQMOferte[[#This Row],[Data_livrare]]),N(tTQMOferte[[#This Row],[Data_oferta]])&lt;=TODAY(),N(tTQMOferte[[#This Row],[Valabila_pana]])&gt;=N(tTQMOferte[[#This Row],[Data_oferta]]),N(tTQMOferte[[#This Row],[Data_livrare]])&gt;=N(tTQMOferte[[#This Row],[Data_oferta]]))),"Date / costuri invalide",IF(OR(NOT(ISNUMBER(INDEX(tTQMCereri[Cantitate],MATCH(tTQMOferte[[#This Row],[ID_cerere]],tTQMCereri[ID_cerere],0)))),NOT(ISNUMBER(INDEX(tTQMCereri[Data_necesara],MATCH(tTQMOferte[[#This Row],[ID_cerere]],tTQMCereri[ID_cerere],0))))),"Cerere incompleta",IF(OR(tTQMOferte[[#This Row],[Cantitate]]&lt;&gt;INDEX(tTQMCereri[Cantitate],MATCH(tTQMOferte[[#This Row],[ID_cerere]],tTQMCereri[ID_cerere],0)),tTQMOferte[[#This Row],[UM]]&lt;&gt;INDEX(tTQMCereri[UM],MATCH(tTQMOferte[[#This Row],[ID_cerere]],tTQMCereri[ID_cerere],0))),"Cantitate / UM diferite",IF(IF(ISBLANK(tTQMOferte[[#This Row],[Conform_tehnic]]),"",tTQMOferte[[#This Row],[Conform_tehnic]])&lt;&gt;"Da",IF(IF(ISBLANK(tTQMOferte[[#This Row],[Conform_tehnic]]),"",tTQMOferte[[#This Row],[Conform_tehnic]])="Nu","Neconform tehnic","Conformitate de verificat"),IF(tTQMOferte[[#This Row],[Valabila_pana]]&lt;TODAY(),"Oferta expirata",IF(tTQMOferte[[#This Row],[Data_livrare]]&lt;TODAY(),"Livrarea a trecut",IF(tTQMOferte[[#This Row],[Data_livrare]]&gt;INDEX(tTQMCereri[Data_necesara],MATCH(tTQMOferte[[#This Row],[ID_cerere]],tTQMCereri[ID_cerere],0)),"Livrare intarziata","OK"))))))))))</f>
        <v/>
      </c>
      <c r="M41" s="61"/>
      <c r="N41" s="62"/>
      <c r="O41" s="64"/>
      <c r="P41" s="63"/>
      <c r="Q41" s="63"/>
      <c r="R41" s="61"/>
      <c r="S41" s="61"/>
      <c r="T41" s="61"/>
      <c r="U41" s="61"/>
      <c r="V41" s="59" t="str">
        <f>IF(OR(IF(ISBLANK(tTQMOferte[[#This Row],[ID_oferta]]),"",tTQMOferte[[#This Row],[ID_oferta]])="",COUNTIFS(tTQMCereri[ID_cerere],IF(ISBLANK(tTQMOferte[[#This Row],[ID_cerere]]),"",tTQMOferte[[#This Row],[ID_cerere]]))&lt;&gt;1),"",LEN(IF(ISBLANK(tTQMOferte[[#This Row],[ID_oferta]]),"",tTQMOferte[[#This Row],[ID_oferta]])&amp;"")&amp;":"&amp;IF(ISBLANK(tTQMOferte[[#This Row],[ID_oferta]]),"",tTQMOferte[[#This Row],[ID_oferta]])&amp;"|"&amp;LEN(IF(ISBLANK(tTQMOferte[[#This Row],[ID_cerere]]),"",tTQMOferte[[#This Row],[ID_cerere]])&amp;"")&amp;":"&amp;IF(ISBLANK(tTQMOferte[[#This Row],[ID_cerere]]),"",tTQMOferte[[#This Row],[ID_cerere]])&amp;"|"&amp;LEN(IF(ISBLANK(tTQMOferte[[#This Row],[Furnizor]]),"",tTQMOferte[[#This Row],[Furnizor]])&amp;"")&amp;":"&amp;IF(ISBLANK(tTQMOferte[[#This Row],[Furnizor]]),"",tTQMOferte[[#This Row],[Furnizor]])&amp;"|"&amp;LEN(IF(ISBLANK(tTQMOferte[[#This Row],[Cantitate]]),"",tTQMOferte[[#This Row],[Cantitate]])&amp;"")&amp;":"&amp;IF(ISBLANK(tTQMOferte[[#This Row],[Cantitate]]),"",tTQMOferte[[#This Row],[Cantitate]])&amp;"|"&amp;LEN(IF(ISBLANK(tTQMOferte[[#This Row],[UM]]),"",tTQMOferte[[#This Row],[UM]])&amp;"")&amp;":"&amp;IF(ISBLANK(tTQMOferte[[#This Row],[UM]]),"",tTQMOferte[[#This Row],[UM]])&amp;"|"&amp;LEN(IF(ISBLANK(tTQMOferte[[#This Row],[Pret_unitar]]),"",tTQMOferte[[#This Row],[Pret_unitar]])&amp;"")&amp;":"&amp;IF(ISBLANK(tTQMOferte[[#This Row],[Pret_unitar]]),"",tTQMOferte[[#This Row],[Pret_unitar]])&amp;"|"&amp;LEN(IF(ISBLANK(tTQMOferte[[#This Row],[Data_livrare]]),"",tTQMOferte[[#This Row],[Data_livrare]])&amp;"")&amp;":"&amp;IF(ISBLANK(tTQMOferte[[#This Row],[Data_livrare]]),"",tTQMOferte[[#This Row],[Data_livrare]])&amp;"|"&amp;LEN(IF(ISBLANK(tTQMOferte[[#This Row],[Valabila_pana]]),"",tTQMOferte[[#This Row],[Valabila_pana]])&amp;"")&amp;":"&amp;IF(ISBLANK(tTQMOferte[[#This Row],[Valabila_pana]]),"",tTQMOferte[[#This Row],[Valabila_pana]])&amp;"|"&amp;LEN(IF(ISBLANK(tTQMOferte[[#This Row],[Conform_tehnic]]),"",tTQMOferte[[#This Row],[Conform_tehnic]])&amp;"")&amp;":"&amp;IF(ISBLANK(tTQMOferte[[#This Row],[Conform_tehnic]]),"",tTQMOferte[[#This Row],[Conform_tehnic]])&amp;"|"&amp;LEN(IF(ISBLANK(tTQMOferte[[#This Row],[Nr_oferta]]),"",tTQMOferte[[#This Row],[Nr_oferta]])&amp;"")&amp;":"&amp;IF(ISBLANK(tTQMOferte[[#This Row],[Nr_oferta]]),"",tTQMOferte[[#This Row],[Nr_oferta]])&amp;"|"&amp;LEN(IF(ISBLANK(tTQMOferte[[#This Row],[Data_oferta]]),"",tTQMOferte[[#This Row],[Data_oferta]])&amp;"")&amp;":"&amp;IF(ISBLANK(tTQMOferte[[#This Row],[Data_oferta]]),"",tTQMOferte[[#This Row],[Data_oferta]])&amp;"|"&amp;LEN(IF(ISBLANK(tTQMOferte[[#This Row],[Discount_pct]]),"",tTQMOferte[[#This Row],[Discount_pct]])&amp;"")&amp;":"&amp;IF(ISBLANK(tTQMOferte[[#This Row],[Discount_pct]]),"",tTQMOferte[[#This Row],[Discount_pct]])&amp;"|"&amp;LEN(IF(ISBLANK(tTQMOferte[[#This Row],[Transport_RON]]),"",tTQMOferte[[#This Row],[Transport_RON]])&amp;"")&amp;":"&amp;IF(ISBLANK(tTQMOferte[[#This Row],[Transport_RON]]),"",tTQMOferte[[#This Row],[Transport_RON]])&amp;"|"&amp;LEN(IF(ISBLANK(tTQMOferte[[#This Row],[Alte_costuri_RON]]),"",tTQMOferte[[#This Row],[Alte_costuri_RON]])&amp;"")&amp;":"&amp;IF(ISBLANK(tTQMOferte[[#This Row],[Alte_costuri_RON]]),"",tTQMOferte[[#This Row],[Alte_costuri_RON]])&amp;"|"&amp;LEN(IF(ISBLANK(tTQMOferte[[#This Row],[Conditii_plata]]),"",tTQMOferte[[#This Row],[Conditii_plata]])&amp;"")&amp;":"&amp;IF(ISBLANK(tTQMOferte[[#This Row],[Conditii_plata]]),"",tTQMOferte[[#This Row],[Conditii_plata]])&amp;"|"&amp;LEN(IF(ISBLANK(tTQMOferte[[#This Row],[Garantie]]),"",tTQMOferte[[#This Row],[Garantie]])&amp;"")&amp;":"&amp;IF(ISBLANK(tTQMOferte[[#This Row],[Garantie]]),"",tTQMOferte[[#This Row],[Garantie]])&amp;"|"&amp;LEN(IF(ISBLANK(tTQMOferte[[#This Row],[Link_oferta]]),"",tTQMOferte[[#This Row],[Link_oferta]])&amp;"")&amp;":"&amp;IF(ISBLANK(tTQMOferte[[#This Row],[Link_oferta]]),"",tTQMOferte[[#This Row],[Link_oferta]])&amp;"|"&amp;LEN(IF(ISBLANK(INDEX(tTQMCereri[Proiect],MATCH(tTQMOferte[[#This Row],[ID_cerere]],tTQMCereri[ID_cerere],0))),"",INDEX(tTQMCereri[Proiect],MATCH(tTQMOferte[[#This Row],[ID_cerere]],tTQMCereri[ID_cerere],0)))&amp;"")&amp;":"&amp;IF(ISBLANK(INDEX(tTQMCereri[Proiect],MATCH(tTQMOferte[[#This Row],[ID_cerere]],tTQMCereri[ID_cerere],0))),"",INDEX(tTQMCereri[Proiect],MATCH(tTQMOferte[[#This Row],[ID_cerere]],tTQMCereri[ID_cerere],0)))&amp;"|"&amp;LEN(IF(ISBLANK(INDEX(tTQMCereri[Material],MATCH(tTQMOferte[[#This Row],[ID_cerere]],tTQMCereri[ID_cerere],0))),"",INDEX(tTQMCereri[Material],MATCH(tTQMOferte[[#This Row],[ID_cerere]],tTQMCereri[ID_cerere],0)))&amp;"")&amp;":"&amp;IF(ISBLANK(INDEX(tTQMCereri[Material],MATCH(tTQMOferte[[#This Row],[ID_cerere]],tTQMCereri[ID_cerere],0))),"",INDEX(tTQMCereri[Material],MATCH(tTQMOferte[[#This Row],[ID_cerere]],tTQMCereri[ID_cerere],0)))&amp;"|"&amp;LEN(IF(ISBLANK(INDEX(tTQMCereri[UM],MATCH(tTQMOferte[[#This Row],[ID_cerere]],tTQMCereri[ID_cerere],0))),"",INDEX(tTQMCereri[UM],MATCH(tTQMOferte[[#This Row],[ID_cerere]],tTQMCereri[ID_cerere],0)))&amp;"")&amp;":"&amp;IF(ISBLANK(INDEX(tTQMCereri[UM],MATCH(tTQMOferte[[#This Row],[ID_cerere]],tTQMCereri[ID_cerere],0))),"",INDEX(tTQMCereri[UM],MATCH(tTQMOferte[[#This Row],[ID_cerere]],tTQMCereri[ID_cerere],0)))&amp;"|"&amp;LEN(IF(ISBLANK(INDEX(tTQMCereri[Cantitate],MATCH(tTQMOferte[[#This Row],[ID_cerere]],tTQMCereri[ID_cerere],0))),"",INDEX(tTQMCereri[Cantitate],MATCH(tTQMOferte[[#This Row],[ID_cerere]],tTQMCereri[ID_cerere],0)))&amp;"")&amp;":"&amp;IF(ISBLANK(INDEX(tTQMCereri[Cantitate],MATCH(tTQMOferte[[#This Row],[ID_cerere]],tTQMCereri[ID_cerere],0))),"",INDEX(tTQMCereri[Cantitate],MATCH(tTQMOferte[[#This Row],[ID_cerere]],tTQMCereri[ID_cerere],0)))&amp;"|"&amp;LEN(IF(ISBLANK(INDEX(tTQMCereri[Data_necesara],MATCH(tTQMOferte[[#This Row],[ID_cerere]],tTQMCereri[ID_cerere],0))),"",INDEX(tTQMCereri[Data_necesara],MATCH(tTQMOferte[[#This Row],[ID_cerere]],tTQMCereri[ID_cerere],0)))&amp;"")&amp;":"&amp;IF(ISBLANK(INDEX(tTQMCereri[Data_necesara],MATCH(tTQMOferte[[#This Row],[ID_cerere]],tTQMCereri[ID_cerere],0))),"",INDEX(tTQMCereri[Data_necesara],MATCH(tTQMOferte[[#This Row],[ID_cerere]],tTQMCereri[ID_cerere],0)))&amp;"|"&amp;LEN(IF(ISBLANK(INDEX(tTQMCereri[Specificatie],MATCH(tTQMOferte[[#This Row],[ID_cerere]],tTQMCereri[ID_cerere],0))),"",INDEX(tTQMCereri[Specificatie],MATCH(tTQMOferte[[#This Row],[ID_cerere]],tTQMCereri[ID_cerere],0)))&amp;"")&amp;":"&amp;IF(ISBLANK(INDEX(tTQMCereri[Specificatie],MATCH(tTQMOferte[[#This Row],[ID_cerere]],tTQMCereri[ID_cerere],0))),"",INDEX(tTQMCereri[Specificatie],MATCH(tTQMOferte[[#This Row],[ID_cerere]],tTQMCereri[ID_cerere],0)))&amp;"|"&amp;LEN(IF(ISBLANK(INDEX(tTQMCereri[Buget_RON],MATCH(tTQMOferte[[#This Row],[ID_cerere]],tTQMCereri[ID_cerere],0))),"",INDEX(tTQMCereri[Buget_RON],MATCH(tTQMOferte[[#This Row],[ID_cerere]],tTQMCereri[ID_cerere],0)))&amp;"")&amp;":"&amp;IF(ISBLANK(INDEX(tTQMCereri[Buget_RON],MATCH(tTQMOferte[[#This Row],[ID_cerere]],tTQMCereri[ID_cerere],0))),"",INDEX(tTQMCereri[Buget_RON],MATCH(tTQMOferte[[#This Row],[ID_cerere]],tTQMCereri[ID_cerere],0))))</f>
        <v/>
      </c>
      <c r="W41" s="59"/>
      <c r="X41" s="66"/>
      <c r="Y41" s="59">
        <f>IF(IF(ISBLANK(tTQMOferte[[#This Row],[ID_oferta]]),"",tTQMOferte[[#This Row],[ID_oferta]])="",0,COUNTIFS(tTQMOferte[ID_cerere],IF(ISBLANK(tTQMOferte[[#This Row],[ID_cerere]]),"",tTQMOferte[[#This Row],[ID_cerere]]),tTQMOferte[Cost_sortare],"&lt;"&amp;tTQMOferte[[#This Row],[Cost_sortare]])+COUNTIFS($B$37:B41,IF(ISBLANK(tTQMOferte[[#This Row],[ID_cerere]]),"",tTQMOferte[[#This Row],[ID_cerere]]),$AC$37:AC41,tTQMOferte[[#This Row],[Cost_sortare]]))</f>
        <v>0</v>
      </c>
      <c r="Z41" s="59" t="str">
        <f>IF(IF(ISBLANK(tTQMOferte[[#This Row],[ID_oferta]]),"",tTQMOferte[[#This Row],[ID_oferta]])="","",tTQMOferte[[#This Row],[ID_cerere]]&amp;"#"&amp;tTQMOferte[[#This Row],[Rang_cost]])</f>
        <v/>
      </c>
      <c r="AA41" s="59">
        <f>IF(tTQMOferte[[#This Row],[Eligibila]]&lt;&gt;1,0,COUNTIFS(tTQMOferte[ID_cerere],IF(ISBLANK(tTQMOferte[[#This Row],[ID_cerere]]),"",tTQMOferte[[#This Row],[ID_cerere]]),tTQMOferte[Eligibila],1,tTQMOferte[Total_RON],"&lt;"&amp;tTQMOferte[[#This Row],[Total_RON]])+COUNTIFS($B$37:B41,IF(ISBLANK(tTQMOferte[[#This Row],[ID_cerere]]),"",tTQMOferte[[#This Row],[ID_cerere]]),$K$37:K41,1,$G$37:G41,tTQMOferte[[#This Row],[Total_RON]]))</f>
        <v>0</v>
      </c>
      <c r="AB41" s="59" t="str">
        <f>IF(tTQMOferte[[#This Row],[Rang_eligibil]]=1,tTQMOferte[[#This Row],[ID_cerere]],"")</f>
        <v/>
      </c>
      <c r="AC41" s="59">
        <f>IF(ISNUMBER(tTQMOferte[[#This Row],[Total_RON]]),tTQMOferte[[#This Row],[Total_RON]],1E+99)</f>
        <v>9.9999999999999997E+98</v>
      </c>
    </row>
    <row r="42" spans="1:29" ht="43.95" customHeight="1">
      <c r="A42" s="61"/>
      <c r="B42" s="61"/>
      <c r="C42" s="61"/>
      <c r="D42" s="61"/>
      <c r="E42" s="61"/>
      <c r="F42" s="63"/>
      <c r="G42" s="60" t="str">
        <f>IF(IF(ISBLANK(tTQMOferte[[#This Row],[ID_oferta]]),"",tTQMOferte[[#This Row],[ID_oferta]])="","",IF(AND(ISNUMBER(tTQMOferte[[#This Row],[Cantitate]]),N(tTQMOferte[[#This Row],[Cantitate]])&gt;0,ISNUMBER(tTQMOferte[[#This Row],[Pret_unitar]]),N(tTQMOferte[[#This Row],[Pret_unitar]])&gt;=0,ISNUMBER(tTQMOferte[[#This Row],[Discount_pct]]),N(tTQMOferte[[#This Row],[Discount_pct]])&gt;=0,N(tTQMOferte[[#This Row],[Discount_pct]])&lt;=1,ISNUMBER(tTQMOferte[[#This Row],[Transport_RON]]),N(tTQMOferte[[#This Row],[Transport_RON]])&gt;=0,ISNUMBER(tTQMOferte[[#This Row],[Alte_costuri_RON]]),N(tTQMOferte[[#This Row],[Alte_costuri_RON]])&gt;=0),ROUND(tTQMOferte[[#This Row],[Cantitate]]*tTQMOferte[[#This Row],[Pret_unitar]]*(1-tTQMOferte[[#This Row],[Discount_pct]])+tTQMOferte[[#This Row],[Transport_RON]]+tTQMOferte[[#This Row],[Alte_costuri_RON]],2),"DATE INVALIDE"))</f>
        <v/>
      </c>
      <c r="H42" s="62"/>
      <c r="I42" s="62"/>
      <c r="J42" s="61"/>
      <c r="K42" s="59" t="str">
        <f>IF(IF(ISBLANK(tTQMOferte[[#This Row],[ID_oferta]]),"",tTQMOferte[[#This Row],[ID_oferta]])="","",IF(tTQMOferte[[#This Row],[Motiv]]="OK",1,0))</f>
        <v/>
      </c>
      <c r="L42" s="59" t="str">
        <f ca="1">IF(IF(ISBLANK(tTQMOferte[[#This Row],[ID_oferta]]),"",tTQMOferte[[#This Row],[ID_oferta]])="","",IF(COUNTIFS(tTQMOferte[ID_oferta],IF(ISBLANK(tTQMOferte[[#This Row],[ID_oferta]]),"",tTQMOferte[[#This Row],[ID_oferta]]))&lt;&gt;1,"ID oferta duplicat",IF(COUNTIFS(tTQMCereri[ID_cerere],IF(ISBLANK(tTQMOferte[[#This Row],[ID_cerere]]),"",tTQMOferte[[#This Row],[ID_cerere]]))&lt;&gt;1,"Cerere inexistenta / duplicata",IF(NOT(AND(ISNUMBER(tTQMOferte[[#This Row],[Total_RON]]),LEN(IF(ISBLANK(tTQMOferte[[#This Row],[Furnizor]]),"",tTQMOferte[[#This Row],[Furnizor]])&amp;"")&gt;0,ISNUMBER(tTQMOferte[[#This Row],[Data_oferta]]),ISNUMBER(tTQMOferte[[#This Row],[Valabila_pana]]),ISNUMBER(tTQMOferte[[#This Row],[Data_livrare]]),N(tTQMOferte[[#This Row],[Data_oferta]])&lt;=TODAY(),N(tTQMOferte[[#This Row],[Valabila_pana]])&gt;=N(tTQMOferte[[#This Row],[Data_oferta]]),N(tTQMOferte[[#This Row],[Data_livrare]])&gt;=N(tTQMOferte[[#This Row],[Data_oferta]]))),"Date / costuri invalide",IF(OR(NOT(ISNUMBER(INDEX(tTQMCereri[Cantitate],MATCH(tTQMOferte[[#This Row],[ID_cerere]],tTQMCereri[ID_cerere],0)))),NOT(ISNUMBER(INDEX(tTQMCereri[Data_necesara],MATCH(tTQMOferte[[#This Row],[ID_cerere]],tTQMCereri[ID_cerere],0))))),"Cerere incompleta",IF(OR(tTQMOferte[[#This Row],[Cantitate]]&lt;&gt;INDEX(tTQMCereri[Cantitate],MATCH(tTQMOferte[[#This Row],[ID_cerere]],tTQMCereri[ID_cerere],0)),tTQMOferte[[#This Row],[UM]]&lt;&gt;INDEX(tTQMCereri[UM],MATCH(tTQMOferte[[#This Row],[ID_cerere]],tTQMCereri[ID_cerere],0))),"Cantitate / UM diferite",IF(IF(ISBLANK(tTQMOferte[[#This Row],[Conform_tehnic]]),"",tTQMOferte[[#This Row],[Conform_tehnic]])&lt;&gt;"Da",IF(IF(ISBLANK(tTQMOferte[[#This Row],[Conform_tehnic]]),"",tTQMOferte[[#This Row],[Conform_tehnic]])="Nu","Neconform tehnic","Conformitate de verificat"),IF(tTQMOferte[[#This Row],[Valabila_pana]]&lt;TODAY(),"Oferta expirata",IF(tTQMOferte[[#This Row],[Data_livrare]]&lt;TODAY(),"Livrarea a trecut",IF(tTQMOferte[[#This Row],[Data_livrare]]&gt;INDEX(tTQMCereri[Data_necesara],MATCH(tTQMOferte[[#This Row],[ID_cerere]],tTQMCereri[ID_cerere],0)),"Livrare intarziata","OK"))))))))))</f>
        <v/>
      </c>
      <c r="M42" s="61"/>
      <c r="N42" s="62"/>
      <c r="O42" s="64"/>
      <c r="P42" s="63"/>
      <c r="Q42" s="63"/>
      <c r="R42" s="61"/>
      <c r="S42" s="61"/>
      <c r="T42" s="61"/>
      <c r="U42" s="61"/>
      <c r="V42" s="59" t="str">
        <f>IF(OR(IF(ISBLANK(tTQMOferte[[#This Row],[ID_oferta]]),"",tTQMOferte[[#This Row],[ID_oferta]])="",COUNTIFS(tTQMCereri[ID_cerere],IF(ISBLANK(tTQMOferte[[#This Row],[ID_cerere]]),"",tTQMOferte[[#This Row],[ID_cerere]]))&lt;&gt;1),"",LEN(IF(ISBLANK(tTQMOferte[[#This Row],[ID_oferta]]),"",tTQMOferte[[#This Row],[ID_oferta]])&amp;"")&amp;":"&amp;IF(ISBLANK(tTQMOferte[[#This Row],[ID_oferta]]),"",tTQMOferte[[#This Row],[ID_oferta]])&amp;"|"&amp;LEN(IF(ISBLANK(tTQMOferte[[#This Row],[ID_cerere]]),"",tTQMOferte[[#This Row],[ID_cerere]])&amp;"")&amp;":"&amp;IF(ISBLANK(tTQMOferte[[#This Row],[ID_cerere]]),"",tTQMOferte[[#This Row],[ID_cerere]])&amp;"|"&amp;LEN(IF(ISBLANK(tTQMOferte[[#This Row],[Furnizor]]),"",tTQMOferte[[#This Row],[Furnizor]])&amp;"")&amp;":"&amp;IF(ISBLANK(tTQMOferte[[#This Row],[Furnizor]]),"",tTQMOferte[[#This Row],[Furnizor]])&amp;"|"&amp;LEN(IF(ISBLANK(tTQMOferte[[#This Row],[Cantitate]]),"",tTQMOferte[[#This Row],[Cantitate]])&amp;"")&amp;":"&amp;IF(ISBLANK(tTQMOferte[[#This Row],[Cantitate]]),"",tTQMOferte[[#This Row],[Cantitate]])&amp;"|"&amp;LEN(IF(ISBLANK(tTQMOferte[[#This Row],[UM]]),"",tTQMOferte[[#This Row],[UM]])&amp;"")&amp;":"&amp;IF(ISBLANK(tTQMOferte[[#This Row],[UM]]),"",tTQMOferte[[#This Row],[UM]])&amp;"|"&amp;LEN(IF(ISBLANK(tTQMOferte[[#This Row],[Pret_unitar]]),"",tTQMOferte[[#This Row],[Pret_unitar]])&amp;"")&amp;":"&amp;IF(ISBLANK(tTQMOferte[[#This Row],[Pret_unitar]]),"",tTQMOferte[[#This Row],[Pret_unitar]])&amp;"|"&amp;LEN(IF(ISBLANK(tTQMOferte[[#This Row],[Data_livrare]]),"",tTQMOferte[[#This Row],[Data_livrare]])&amp;"")&amp;":"&amp;IF(ISBLANK(tTQMOferte[[#This Row],[Data_livrare]]),"",tTQMOferte[[#This Row],[Data_livrare]])&amp;"|"&amp;LEN(IF(ISBLANK(tTQMOferte[[#This Row],[Valabila_pana]]),"",tTQMOferte[[#This Row],[Valabila_pana]])&amp;"")&amp;":"&amp;IF(ISBLANK(tTQMOferte[[#This Row],[Valabila_pana]]),"",tTQMOferte[[#This Row],[Valabila_pana]])&amp;"|"&amp;LEN(IF(ISBLANK(tTQMOferte[[#This Row],[Conform_tehnic]]),"",tTQMOferte[[#This Row],[Conform_tehnic]])&amp;"")&amp;":"&amp;IF(ISBLANK(tTQMOferte[[#This Row],[Conform_tehnic]]),"",tTQMOferte[[#This Row],[Conform_tehnic]])&amp;"|"&amp;LEN(IF(ISBLANK(tTQMOferte[[#This Row],[Nr_oferta]]),"",tTQMOferte[[#This Row],[Nr_oferta]])&amp;"")&amp;":"&amp;IF(ISBLANK(tTQMOferte[[#This Row],[Nr_oferta]]),"",tTQMOferte[[#This Row],[Nr_oferta]])&amp;"|"&amp;LEN(IF(ISBLANK(tTQMOferte[[#This Row],[Data_oferta]]),"",tTQMOferte[[#This Row],[Data_oferta]])&amp;"")&amp;":"&amp;IF(ISBLANK(tTQMOferte[[#This Row],[Data_oferta]]),"",tTQMOferte[[#This Row],[Data_oferta]])&amp;"|"&amp;LEN(IF(ISBLANK(tTQMOferte[[#This Row],[Discount_pct]]),"",tTQMOferte[[#This Row],[Discount_pct]])&amp;"")&amp;":"&amp;IF(ISBLANK(tTQMOferte[[#This Row],[Discount_pct]]),"",tTQMOferte[[#This Row],[Discount_pct]])&amp;"|"&amp;LEN(IF(ISBLANK(tTQMOferte[[#This Row],[Transport_RON]]),"",tTQMOferte[[#This Row],[Transport_RON]])&amp;"")&amp;":"&amp;IF(ISBLANK(tTQMOferte[[#This Row],[Transport_RON]]),"",tTQMOferte[[#This Row],[Transport_RON]])&amp;"|"&amp;LEN(IF(ISBLANK(tTQMOferte[[#This Row],[Alte_costuri_RON]]),"",tTQMOferte[[#This Row],[Alte_costuri_RON]])&amp;"")&amp;":"&amp;IF(ISBLANK(tTQMOferte[[#This Row],[Alte_costuri_RON]]),"",tTQMOferte[[#This Row],[Alte_costuri_RON]])&amp;"|"&amp;LEN(IF(ISBLANK(tTQMOferte[[#This Row],[Conditii_plata]]),"",tTQMOferte[[#This Row],[Conditii_plata]])&amp;"")&amp;":"&amp;IF(ISBLANK(tTQMOferte[[#This Row],[Conditii_plata]]),"",tTQMOferte[[#This Row],[Conditii_plata]])&amp;"|"&amp;LEN(IF(ISBLANK(tTQMOferte[[#This Row],[Garantie]]),"",tTQMOferte[[#This Row],[Garantie]])&amp;"")&amp;":"&amp;IF(ISBLANK(tTQMOferte[[#This Row],[Garantie]]),"",tTQMOferte[[#This Row],[Garantie]])&amp;"|"&amp;LEN(IF(ISBLANK(tTQMOferte[[#This Row],[Link_oferta]]),"",tTQMOferte[[#This Row],[Link_oferta]])&amp;"")&amp;":"&amp;IF(ISBLANK(tTQMOferte[[#This Row],[Link_oferta]]),"",tTQMOferte[[#This Row],[Link_oferta]])&amp;"|"&amp;LEN(IF(ISBLANK(INDEX(tTQMCereri[Proiect],MATCH(tTQMOferte[[#This Row],[ID_cerere]],tTQMCereri[ID_cerere],0))),"",INDEX(tTQMCereri[Proiect],MATCH(tTQMOferte[[#This Row],[ID_cerere]],tTQMCereri[ID_cerere],0)))&amp;"")&amp;":"&amp;IF(ISBLANK(INDEX(tTQMCereri[Proiect],MATCH(tTQMOferte[[#This Row],[ID_cerere]],tTQMCereri[ID_cerere],0))),"",INDEX(tTQMCereri[Proiect],MATCH(tTQMOferte[[#This Row],[ID_cerere]],tTQMCereri[ID_cerere],0)))&amp;"|"&amp;LEN(IF(ISBLANK(INDEX(tTQMCereri[Material],MATCH(tTQMOferte[[#This Row],[ID_cerere]],tTQMCereri[ID_cerere],0))),"",INDEX(tTQMCereri[Material],MATCH(tTQMOferte[[#This Row],[ID_cerere]],tTQMCereri[ID_cerere],0)))&amp;"")&amp;":"&amp;IF(ISBLANK(INDEX(tTQMCereri[Material],MATCH(tTQMOferte[[#This Row],[ID_cerere]],tTQMCereri[ID_cerere],0))),"",INDEX(tTQMCereri[Material],MATCH(tTQMOferte[[#This Row],[ID_cerere]],tTQMCereri[ID_cerere],0)))&amp;"|"&amp;LEN(IF(ISBLANK(INDEX(tTQMCereri[UM],MATCH(tTQMOferte[[#This Row],[ID_cerere]],tTQMCereri[ID_cerere],0))),"",INDEX(tTQMCereri[UM],MATCH(tTQMOferte[[#This Row],[ID_cerere]],tTQMCereri[ID_cerere],0)))&amp;"")&amp;":"&amp;IF(ISBLANK(INDEX(tTQMCereri[UM],MATCH(tTQMOferte[[#This Row],[ID_cerere]],tTQMCereri[ID_cerere],0))),"",INDEX(tTQMCereri[UM],MATCH(tTQMOferte[[#This Row],[ID_cerere]],tTQMCereri[ID_cerere],0)))&amp;"|"&amp;LEN(IF(ISBLANK(INDEX(tTQMCereri[Cantitate],MATCH(tTQMOferte[[#This Row],[ID_cerere]],tTQMCereri[ID_cerere],0))),"",INDEX(tTQMCereri[Cantitate],MATCH(tTQMOferte[[#This Row],[ID_cerere]],tTQMCereri[ID_cerere],0)))&amp;"")&amp;":"&amp;IF(ISBLANK(INDEX(tTQMCereri[Cantitate],MATCH(tTQMOferte[[#This Row],[ID_cerere]],tTQMCereri[ID_cerere],0))),"",INDEX(tTQMCereri[Cantitate],MATCH(tTQMOferte[[#This Row],[ID_cerere]],tTQMCereri[ID_cerere],0)))&amp;"|"&amp;LEN(IF(ISBLANK(INDEX(tTQMCereri[Data_necesara],MATCH(tTQMOferte[[#This Row],[ID_cerere]],tTQMCereri[ID_cerere],0))),"",INDEX(tTQMCereri[Data_necesara],MATCH(tTQMOferte[[#This Row],[ID_cerere]],tTQMCereri[ID_cerere],0)))&amp;"")&amp;":"&amp;IF(ISBLANK(INDEX(tTQMCereri[Data_necesara],MATCH(tTQMOferte[[#This Row],[ID_cerere]],tTQMCereri[ID_cerere],0))),"",INDEX(tTQMCereri[Data_necesara],MATCH(tTQMOferte[[#This Row],[ID_cerere]],tTQMCereri[ID_cerere],0)))&amp;"|"&amp;LEN(IF(ISBLANK(INDEX(tTQMCereri[Specificatie],MATCH(tTQMOferte[[#This Row],[ID_cerere]],tTQMCereri[ID_cerere],0))),"",INDEX(tTQMCereri[Specificatie],MATCH(tTQMOferte[[#This Row],[ID_cerere]],tTQMCereri[ID_cerere],0)))&amp;"")&amp;":"&amp;IF(ISBLANK(INDEX(tTQMCereri[Specificatie],MATCH(tTQMOferte[[#This Row],[ID_cerere]],tTQMCereri[ID_cerere],0))),"",INDEX(tTQMCereri[Specificatie],MATCH(tTQMOferte[[#This Row],[ID_cerere]],tTQMCereri[ID_cerere],0)))&amp;"|"&amp;LEN(IF(ISBLANK(INDEX(tTQMCereri[Buget_RON],MATCH(tTQMOferte[[#This Row],[ID_cerere]],tTQMCereri[ID_cerere],0))),"",INDEX(tTQMCereri[Buget_RON],MATCH(tTQMOferte[[#This Row],[ID_cerere]],tTQMCereri[ID_cerere],0)))&amp;"")&amp;":"&amp;IF(ISBLANK(INDEX(tTQMCereri[Buget_RON],MATCH(tTQMOferte[[#This Row],[ID_cerere]],tTQMCereri[ID_cerere],0))),"",INDEX(tTQMCereri[Buget_RON],MATCH(tTQMOferte[[#This Row],[ID_cerere]],tTQMCereri[ID_cerere],0))))</f>
        <v/>
      </c>
      <c r="W42" s="59"/>
      <c r="X42" s="66"/>
      <c r="Y42" s="59">
        <f>IF(IF(ISBLANK(tTQMOferte[[#This Row],[ID_oferta]]),"",tTQMOferte[[#This Row],[ID_oferta]])="",0,COUNTIFS(tTQMOferte[ID_cerere],IF(ISBLANK(tTQMOferte[[#This Row],[ID_cerere]]),"",tTQMOferte[[#This Row],[ID_cerere]]),tTQMOferte[Cost_sortare],"&lt;"&amp;tTQMOferte[[#This Row],[Cost_sortare]])+COUNTIFS($B$37:B42,IF(ISBLANK(tTQMOferte[[#This Row],[ID_cerere]]),"",tTQMOferte[[#This Row],[ID_cerere]]),$AC$37:AC42,tTQMOferte[[#This Row],[Cost_sortare]]))</f>
        <v>0</v>
      </c>
      <c r="Z42" s="59" t="str">
        <f>IF(IF(ISBLANK(tTQMOferte[[#This Row],[ID_oferta]]),"",tTQMOferte[[#This Row],[ID_oferta]])="","",tTQMOferte[[#This Row],[ID_cerere]]&amp;"#"&amp;tTQMOferte[[#This Row],[Rang_cost]])</f>
        <v/>
      </c>
      <c r="AA42" s="59">
        <f>IF(tTQMOferte[[#This Row],[Eligibila]]&lt;&gt;1,0,COUNTIFS(tTQMOferte[ID_cerere],IF(ISBLANK(tTQMOferte[[#This Row],[ID_cerere]]),"",tTQMOferte[[#This Row],[ID_cerere]]),tTQMOferte[Eligibila],1,tTQMOferte[Total_RON],"&lt;"&amp;tTQMOferte[[#This Row],[Total_RON]])+COUNTIFS($B$37:B42,IF(ISBLANK(tTQMOferte[[#This Row],[ID_cerere]]),"",tTQMOferte[[#This Row],[ID_cerere]]),$K$37:K42,1,$G$37:G42,tTQMOferte[[#This Row],[Total_RON]]))</f>
        <v>0</v>
      </c>
      <c r="AB42" s="59" t="str">
        <f>IF(tTQMOferte[[#This Row],[Rang_eligibil]]=1,tTQMOferte[[#This Row],[ID_cerere]],"")</f>
        <v/>
      </c>
      <c r="AC42" s="59">
        <f>IF(ISNUMBER(tTQMOferte[[#This Row],[Total_RON]]),tTQMOferte[[#This Row],[Total_RON]],1E+99)</f>
        <v>9.9999999999999997E+98</v>
      </c>
    </row>
    <row r="43" spans="1:29" ht="43.95" customHeight="1">
      <c r="A43" s="61"/>
      <c r="B43" s="61"/>
      <c r="C43" s="61"/>
      <c r="D43" s="61"/>
      <c r="E43" s="61"/>
      <c r="F43" s="63"/>
      <c r="G43" s="60" t="str">
        <f>IF(IF(ISBLANK(tTQMOferte[[#This Row],[ID_oferta]]),"",tTQMOferte[[#This Row],[ID_oferta]])="","",IF(AND(ISNUMBER(tTQMOferte[[#This Row],[Cantitate]]),N(tTQMOferte[[#This Row],[Cantitate]])&gt;0,ISNUMBER(tTQMOferte[[#This Row],[Pret_unitar]]),N(tTQMOferte[[#This Row],[Pret_unitar]])&gt;=0,ISNUMBER(tTQMOferte[[#This Row],[Discount_pct]]),N(tTQMOferte[[#This Row],[Discount_pct]])&gt;=0,N(tTQMOferte[[#This Row],[Discount_pct]])&lt;=1,ISNUMBER(tTQMOferte[[#This Row],[Transport_RON]]),N(tTQMOferte[[#This Row],[Transport_RON]])&gt;=0,ISNUMBER(tTQMOferte[[#This Row],[Alte_costuri_RON]]),N(tTQMOferte[[#This Row],[Alte_costuri_RON]])&gt;=0),ROUND(tTQMOferte[[#This Row],[Cantitate]]*tTQMOferte[[#This Row],[Pret_unitar]]*(1-tTQMOferte[[#This Row],[Discount_pct]])+tTQMOferte[[#This Row],[Transport_RON]]+tTQMOferte[[#This Row],[Alte_costuri_RON]],2),"DATE INVALIDE"))</f>
        <v/>
      </c>
      <c r="H43" s="62"/>
      <c r="I43" s="62"/>
      <c r="J43" s="61"/>
      <c r="K43" s="59" t="str">
        <f>IF(IF(ISBLANK(tTQMOferte[[#This Row],[ID_oferta]]),"",tTQMOferte[[#This Row],[ID_oferta]])="","",IF(tTQMOferte[[#This Row],[Motiv]]="OK",1,0))</f>
        <v/>
      </c>
      <c r="L43" s="59" t="str">
        <f ca="1">IF(IF(ISBLANK(tTQMOferte[[#This Row],[ID_oferta]]),"",tTQMOferte[[#This Row],[ID_oferta]])="","",IF(COUNTIFS(tTQMOferte[ID_oferta],IF(ISBLANK(tTQMOferte[[#This Row],[ID_oferta]]),"",tTQMOferte[[#This Row],[ID_oferta]]))&lt;&gt;1,"ID oferta duplicat",IF(COUNTIFS(tTQMCereri[ID_cerere],IF(ISBLANK(tTQMOferte[[#This Row],[ID_cerere]]),"",tTQMOferte[[#This Row],[ID_cerere]]))&lt;&gt;1,"Cerere inexistenta / duplicata",IF(NOT(AND(ISNUMBER(tTQMOferte[[#This Row],[Total_RON]]),LEN(IF(ISBLANK(tTQMOferte[[#This Row],[Furnizor]]),"",tTQMOferte[[#This Row],[Furnizor]])&amp;"")&gt;0,ISNUMBER(tTQMOferte[[#This Row],[Data_oferta]]),ISNUMBER(tTQMOferte[[#This Row],[Valabila_pana]]),ISNUMBER(tTQMOferte[[#This Row],[Data_livrare]]),N(tTQMOferte[[#This Row],[Data_oferta]])&lt;=TODAY(),N(tTQMOferte[[#This Row],[Valabila_pana]])&gt;=N(tTQMOferte[[#This Row],[Data_oferta]]),N(tTQMOferte[[#This Row],[Data_livrare]])&gt;=N(tTQMOferte[[#This Row],[Data_oferta]]))),"Date / costuri invalide",IF(OR(NOT(ISNUMBER(INDEX(tTQMCereri[Cantitate],MATCH(tTQMOferte[[#This Row],[ID_cerere]],tTQMCereri[ID_cerere],0)))),NOT(ISNUMBER(INDEX(tTQMCereri[Data_necesara],MATCH(tTQMOferte[[#This Row],[ID_cerere]],tTQMCereri[ID_cerere],0))))),"Cerere incompleta",IF(OR(tTQMOferte[[#This Row],[Cantitate]]&lt;&gt;INDEX(tTQMCereri[Cantitate],MATCH(tTQMOferte[[#This Row],[ID_cerere]],tTQMCereri[ID_cerere],0)),tTQMOferte[[#This Row],[UM]]&lt;&gt;INDEX(tTQMCereri[UM],MATCH(tTQMOferte[[#This Row],[ID_cerere]],tTQMCereri[ID_cerere],0))),"Cantitate / UM diferite",IF(IF(ISBLANK(tTQMOferte[[#This Row],[Conform_tehnic]]),"",tTQMOferte[[#This Row],[Conform_tehnic]])&lt;&gt;"Da",IF(IF(ISBLANK(tTQMOferte[[#This Row],[Conform_tehnic]]),"",tTQMOferte[[#This Row],[Conform_tehnic]])="Nu","Neconform tehnic","Conformitate de verificat"),IF(tTQMOferte[[#This Row],[Valabila_pana]]&lt;TODAY(),"Oferta expirata",IF(tTQMOferte[[#This Row],[Data_livrare]]&lt;TODAY(),"Livrarea a trecut",IF(tTQMOferte[[#This Row],[Data_livrare]]&gt;INDEX(tTQMCereri[Data_necesara],MATCH(tTQMOferte[[#This Row],[ID_cerere]],tTQMCereri[ID_cerere],0)),"Livrare intarziata","OK"))))))))))</f>
        <v/>
      </c>
      <c r="M43" s="61"/>
      <c r="N43" s="62"/>
      <c r="O43" s="64"/>
      <c r="P43" s="63"/>
      <c r="Q43" s="63"/>
      <c r="R43" s="61"/>
      <c r="S43" s="61"/>
      <c r="T43" s="61"/>
      <c r="U43" s="61"/>
      <c r="V43" s="59" t="str">
        <f>IF(OR(IF(ISBLANK(tTQMOferte[[#This Row],[ID_oferta]]),"",tTQMOferte[[#This Row],[ID_oferta]])="",COUNTIFS(tTQMCereri[ID_cerere],IF(ISBLANK(tTQMOferte[[#This Row],[ID_cerere]]),"",tTQMOferte[[#This Row],[ID_cerere]]))&lt;&gt;1),"",LEN(IF(ISBLANK(tTQMOferte[[#This Row],[ID_oferta]]),"",tTQMOferte[[#This Row],[ID_oferta]])&amp;"")&amp;":"&amp;IF(ISBLANK(tTQMOferte[[#This Row],[ID_oferta]]),"",tTQMOferte[[#This Row],[ID_oferta]])&amp;"|"&amp;LEN(IF(ISBLANK(tTQMOferte[[#This Row],[ID_cerere]]),"",tTQMOferte[[#This Row],[ID_cerere]])&amp;"")&amp;":"&amp;IF(ISBLANK(tTQMOferte[[#This Row],[ID_cerere]]),"",tTQMOferte[[#This Row],[ID_cerere]])&amp;"|"&amp;LEN(IF(ISBLANK(tTQMOferte[[#This Row],[Furnizor]]),"",tTQMOferte[[#This Row],[Furnizor]])&amp;"")&amp;":"&amp;IF(ISBLANK(tTQMOferte[[#This Row],[Furnizor]]),"",tTQMOferte[[#This Row],[Furnizor]])&amp;"|"&amp;LEN(IF(ISBLANK(tTQMOferte[[#This Row],[Cantitate]]),"",tTQMOferte[[#This Row],[Cantitate]])&amp;"")&amp;":"&amp;IF(ISBLANK(tTQMOferte[[#This Row],[Cantitate]]),"",tTQMOferte[[#This Row],[Cantitate]])&amp;"|"&amp;LEN(IF(ISBLANK(tTQMOferte[[#This Row],[UM]]),"",tTQMOferte[[#This Row],[UM]])&amp;"")&amp;":"&amp;IF(ISBLANK(tTQMOferte[[#This Row],[UM]]),"",tTQMOferte[[#This Row],[UM]])&amp;"|"&amp;LEN(IF(ISBLANK(tTQMOferte[[#This Row],[Pret_unitar]]),"",tTQMOferte[[#This Row],[Pret_unitar]])&amp;"")&amp;":"&amp;IF(ISBLANK(tTQMOferte[[#This Row],[Pret_unitar]]),"",tTQMOferte[[#This Row],[Pret_unitar]])&amp;"|"&amp;LEN(IF(ISBLANK(tTQMOferte[[#This Row],[Data_livrare]]),"",tTQMOferte[[#This Row],[Data_livrare]])&amp;"")&amp;":"&amp;IF(ISBLANK(tTQMOferte[[#This Row],[Data_livrare]]),"",tTQMOferte[[#This Row],[Data_livrare]])&amp;"|"&amp;LEN(IF(ISBLANK(tTQMOferte[[#This Row],[Valabila_pana]]),"",tTQMOferte[[#This Row],[Valabila_pana]])&amp;"")&amp;":"&amp;IF(ISBLANK(tTQMOferte[[#This Row],[Valabila_pana]]),"",tTQMOferte[[#This Row],[Valabila_pana]])&amp;"|"&amp;LEN(IF(ISBLANK(tTQMOferte[[#This Row],[Conform_tehnic]]),"",tTQMOferte[[#This Row],[Conform_tehnic]])&amp;"")&amp;":"&amp;IF(ISBLANK(tTQMOferte[[#This Row],[Conform_tehnic]]),"",tTQMOferte[[#This Row],[Conform_tehnic]])&amp;"|"&amp;LEN(IF(ISBLANK(tTQMOferte[[#This Row],[Nr_oferta]]),"",tTQMOferte[[#This Row],[Nr_oferta]])&amp;"")&amp;":"&amp;IF(ISBLANK(tTQMOferte[[#This Row],[Nr_oferta]]),"",tTQMOferte[[#This Row],[Nr_oferta]])&amp;"|"&amp;LEN(IF(ISBLANK(tTQMOferte[[#This Row],[Data_oferta]]),"",tTQMOferte[[#This Row],[Data_oferta]])&amp;"")&amp;":"&amp;IF(ISBLANK(tTQMOferte[[#This Row],[Data_oferta]]),"",tTQMOferte[[#This Row],[Data_oferta]])&amp;"|"&amp;LEN(IF(ISBLANK(tTQMOferte[[#This Row],[Discount_pct]]),"",tTQMOferte[[#This Row],[Discount_pct]])&amp;"")&amp;":"&amp;IF(ISBLANK(tTQMOferte[[#This Row],[Discount_pct]]),"",tTQMOferte[[#This Row],[Discount_pct]])&amp;"|"&amp;LEN(IF(ISBLANK(tTQMOferte[[#This Row],[Transport_RON]]),"",tTQMOferte[[#This Row],[Transport_RON]])&amp;"")&amp;":"&amp;IF(ISBLANK(tTQMOferte[[#This Row],[Transport_RON]]),"",tTQMOferte[[#This Row],[Transport_RON]])&amp;"|"&amp;LEN(IF(ISBLANK(tTQMOferte[[#This Row],[Alte_costuri_RON]]),"",tTQMOferte[[#This Row],[Alte_costuri_RON]])&amp;"")&amp;":"&amp;IF(ISBLANK(tTQMOferte[[#This Row],[Alte_costuri_RON]]),"",tTQMOferte[[#This Row],[Alte_costuri_RON]])&amp;"|"&amp;LEN(IF(ISBLANK(tTQMOferte[[#This Row],[Conditii_plata]]),"",tTQMOferte[[#This Row],[Conditii_plata]])&amp;"")&amp;":"&amp;IF(ISBLANK(tTQMOferte[[#This Row],[Conditii_plata]]),"",tTQMOferte[[#This Row],[Conditii_plata]])&amp;"|"&amp;LEN(IF(ISBLANK(tTQMOferte[[#This Row],[Garantie]]),"",tTQMOferte[[#This Row],[Garantie]])&amp;"")&amp;":"&amp;IF(ISBLANK(tTQMOferte[[#This Row],[Garantie]]),"",tTQMOferte[[#This Row],[Garantie]])&amp;"|"&amp;LEN(IF(ISBLANK(tTQMOferte[[#This Row],[Link_oferta]]),"",tTQMOferte[[#This Row],[Link_oferta]])&amp;"")&amp;":"&amp;IF(ISBLANK(tTQMOferte[[#This Row],[Link_oferta]]),"",tTQMOferte[[#This Row],[Link_oferta]])&amp;"|"&amp;LEN(IF(ISBLANK(INDEX(tTQMCereri[Proiect],MATCH(tTQMOferte[[#This Row],[ID_cerere]],tTQMCereri[ID_cerere],0))),"",INDEX(tTQMCereri[Proiect],MATCH(tTQMOferte[[#This Row],[ID_cerere]],tTQMCereri[ID_cerere],0)))&amp;"")&amp;":"&amp;IF(ISBLANK(INDEX(tTQMCereri[Proiect],MATCH(tTQMOferte[[#This Row],[ID_cerere]],tTQMCereri[ID_cerere],0))),"",INDEX(tTQMCereri[Proiect],MATCH(tTQMOferte[[#This Row],[ID_cerere]],tTQMCereri[ID_cerere],0)))&amp;"|"&amp;LEN(IF(ISBLANK(INDEX(tTQMCereri[Material],MATCH(tTQMOferte[[#This Row],[ID_cerere]],tTQMCereri[ID_cerere],0))),"",INDEX(tTQMCereri[Material],MATCH(tTQMOferte[[#This Row],[ID_cerere]],tTQMCereri[ID_cerere],0)))&amp;"")&amp;":"&amp;IF(ISBLANK(INDEX(tTQMCereri[Material],MATCH(tTQMOferte[[#This Row],[ID_cerere]],tTQMCereri[ID_cerere],0))),"",INDEX(tTQMCereri[Material],MATCH(tTQMOferte[[#This Row],[ID_cerere]],tTQMCereri[ID_cerere],0)))&amp;"|"&amp;LEN(IF(ISBLANK(INDEX(tTQMCereri[UM],MATCH(tTQMOferte[[#This Row],[ID_cerere]],tTQMCereri[ID_cerere],0))),"",INDEX(tTQMCereri[UM],MATCH(tTQMOferte[[#This Row],[ID_cerere]],tTQMCereri[ID_cerere],0)))&amp;"")&amp;":"&amp;IF(ISBLANK(INDEX(tTQMCereri[UM],MATCH(tTQMOferte[[#This Row],[ID_cerere]],tTQMCereri[ID_cerere],0))),"",INDEX(tTQMCereri[UM],MATCH(tTQMOferte[[#This Row],[ID_cerere]],tTQMCereri[ID_cerere],0)))&amp;"|"&amp;LEN(IF(ISBLANK(INDEX(tTQMCereri[Cantitate],MATCH(tTQMOferte[[#This Row],[ID_cerere]],tTQMCereri[ID_cerere],0))),"",INDEX(tTQMCereri[Cantitate],MATCH(tTQMOferte[[#This Row],[ID_cerere]],tTQMCereri[ID_cerere],0)))&amp;"")&amp;":"&amp;IF(ISBLANK(INDEX(tTQMCereri[Cantitate],MATCH(tTQMOferte[[#This Row],[ID_cerere]],tTQMCereri[ID_cerere],0))),"",INDEX(tTQMCereri[Cantitate],MATCH(tTQMOferte[[#This Row],[ID_cerere]],tTQMCereri[ID_cerere],0)))&amp;"|"&amp;LEN(IF(ISBLANK(INDEX(tTQMCereri[Data_necesara],MATCH(tTQMOferte[[#This Row],[ID_cerere]],tTQMCereri[ID_cerere],0))),"",INDEX(tTQMCereri[Data_necesara],MATCH(tTQMOferte[[#This Row],[ID_cerere]],tTQMCereri[ID_cerere],0)))&amp;"")&amp;":"&amp;IF(ISBLANK(INDEX(tTQMCereri[Data_necesara],MATCH(tTQMOferte[[#This Row],[ID_cerere]],tTQMCereri[ID_cerere],0))),"",INDEX(tTQMCereri[Data_necesara],MATCH(tTQMOferte[[#This Row],[ID_cerere]],tTQMCereri[ID_cerere],0)))&amp;"|"&amp;LEN(IF(ISBLANK(INDEX(tTQMCereri[Specificatie],MATCH(tTQMOferte[[#This Row],[ID_cerere]],tTQMCereri[ID_cerere],0))),"",INDEX(tTQMCereri[Specificatie],MATCH(tTQMOferte[[#This Row],[ID_cerere]],tTQMCereri[ID_cerere],0)))&amp;"")&amp;":"&amp;IF(ISBLANK(INDEX(tTQMCereri[Specificatie],MATCH(tTQMOferte[[#This Row],[ID_cerere]],tTQMCereri[ID_cerere],0))),"",INDEX(tTQMCereri[Specificatie],MATCH(tTQMOferte[[#This Row],[ID_cerere]],tTQMCereri[ID_cerere],0)))&amp;"|"&amp;LEN(IF(ISBLANK(INDEX(tTQMCereri[Buget_RON],MATCH(tTQMOferte[[#This Row],[ID_cerere]],tTQMCereri[ID_cerere],0))),"",INDEX(tTQMCereri[Buget_RON],MATCH(tTQMOferte[[#This Row],[ID_cerere]],tTQMCereri[ID_cerere],0)))&amp;"")&amp;":"&amp;IF(ISBLANK(INDEX(tTQMCereri[Buget_RON],MATCH(tTQMOferte[[#This Row],[ID_cerere]],tTQMCereri[ID_cerere],0))),"",INDEX(tTQMCereri[Buget_RON],MATCH(tTQMOferte[[#This Row],[ID_cerere]],tTQMCereri[ID_cerere],0))))</f>
        <v/>
      </c>
      <c r="W43" s="59"/>
      <c r="X43" s="66"/>
      <c r="Y43" s="59">
        <f>IF(IF(ISBLANK(tTQMOferte[[#This Row],[ID_oferta]]),"",tTQMOferte[[#This Row],[ID_oferta]])="",0,COUNTIFS(tTQMOferte[ID_cerere],IF(ISBLANK(tTQMOferte[[#This Row],[ID_cerere]]),"",tTQMOferte[[#This Row],[ID_cerere]]),tTQMOferte[Cost_sortare],"&lt;"&amp;tTQMOferte[[#This Row],[Cost_sortare]])+COUNTIFS($B$37:B43,IF(ISBLANK(tTQMOferte[[#This Row],[ID_cerere]]),"",tTQMOferte[[#This Row],[ID_cerere]]),$AC$37:AC43,tTQMOferte[[#This Row],[Cost_sortare]]))</f>
        <v>0</v>
      </c>
      <c r="Z43" s="59" t="str">
        <f>IF(IF(ISBLANK(tTQMOferte[[#This Row],[ID_oferta]]),"",tTQMOferte[[#This Row],[ID_oferta]])="","",tTQMOferte[[#This Row],[ID_cerere]]&amp;"#"&amp;tTQMOferte[[#This Row],[Rang_cost]])</f>
        <v/>
      </c>
      <c r="AA43" s="59">
        <f>IF(tTQMOferte[[#This Row],[Eligibila]]&lt;&gt;1,0,COUNTIFS(tTQMOferte[ID_cerere],IF(ISBLANK(tTQMOferte[[#This Row],[ID_cerere]]),"",tTQMOferte[[#This Row],[ID_cerere]]),tTQMOferte[Eligibila],1,tTQMOferte[Total_RON],"&lt;"&amp;tTQMOferte[[#This Row],[Total_RON]])+COUNTIFS($B$37:B43,IF(ISBLANK(tTQMOferte[[#This Row],[ID_cerere]]),"",tTQMOferte[[#This Row],[ID_cerere]]),$K$37:K43,1,$G$37:G43,tTQMOferte[[#This Row],[Total_RON]]))</f>
        <v>0</v>
      </c>
      <c r="AB43" s="59" t="str">
        <f>IF(tTQMOferte[[#This Row],[Rang_eligibil]]=1,tTQMOferte[[#This Row],[ID_cerere]],"")</f>
        <v/>
      </c>
      <c r="AC43" s="59">
        <f>IF(ISNUMBER(tTQMOferte[[#This Row],[Total_RON]]),tTQMOferte[[#This Row],[Total_RON]],1E+99)</f>
        <v>9.9999999999999997E+98</v>
      </c>
    </row>
    <row r="44" spans="1:29" ht="43.95" customHeight="1">
      <c r="A44" s="61"/>
      <c r="B44" s="61"/>
      <c r="C44" s="61"/>
      <c r="D44" s="61"/>
      <c r="E44" s="61"/>
      <c r="F44" s="63"/>
      <c r="G44" s="60" t="str">
        <f>IF(IF(ISBLANK(tTQMOferte[[#This Row],[ID_oferta]]),"",tTQMOferte[[#This Row],[ID_oferta]])="","",IF(AND(ISNUMBER(tTQMOferte[[#This Row],[Cantitate]]),N(tTQMOferte[[#This Row],[Cantitate]])&gt;0,ISNUMBER(tTQMOferte[[#This Row],[Pret_unitar]]),N(tTQMOferte[[#This Row],[Pret_unitar]])&gt;=0,ISNUMBER(tTQMOferte[[#This Row],[Discount_pct]]),N(tTQMOferte[[#This Row],[Discount_pct]])&gt;=0,N(tTQMOferte[[#This Row],[Discount_pct]])&lt;=1,ISNUMBER(tTQMOferte[[#This Row],[Transport_RON]]),N(tTQMOferte[[#This Row],[Transport_RON]])&gt;=0,ISNUMBER(tTQMOferte[[#This Row],[Alte_costuri_RON]]),N(tTQMOferte[[#This Row],[Alte_costuri_RON]])&gt;=0),ROUND(tTQMOferte[[#This Row],[Cantitate]]*tTQMOferte[[#This Row],[Pret_unitar]]*(1-tTQMOferte[[#This Row],[Discount_pct]])+tTQMOferte[[#This Row],[Transport_RON]]+tTQMOferte[[#This Row],[Alte_costuri_RON]],2),"DATE INVALIDE"))</f>
        <v/>
      </c>
      <c r="H44" s="62"/>
      <c r="I44" s="62"/>
      <c r="J44" s="61"/>
      <c r="K44" s="59" t="str">
        <f>IF(IF(ISBLANK(tTQMOferte[[#This Row],[ID_oferta]]),"",tTQMOferte[[#This Row],[ID_oferta]])="","",IF(tTQMOferte[[#This Row],[Motiv]]="OK",1,0))</f>
        <v/>
      </c>
      <c r="L44" s="59" t="str">
        <f ca="1">IF(IF(ISBLANK(tTQMOferte[[#This Row],[ID_oferta]]),"",tTQMOferte[[#This Row],[ID_oferta]])="","",IF(COUNTIFS(tTQMOferte[ID_oferta],IF(ISBLANK(tTQMOferte[[#This Row],[ID_oferta]]),"",tTQMOferte[[#This Row],[ID_oferta]]))&lt;&gt;1,"ID oferta duplicat",IF(COUNTIFS(tTQMCereri[ID_cerere],IF(ISBLANK(tTQMOferte[[#This Row],[ID_cerere]]),"",tTQMOferte[[#This Row],[ID_cerere]]))&lt;&gt;1,"Cerere inexistenta / duplicata",IF(NOT(AND(ISNUMBER(tTQMOferte[[#This Row],[Total_RON]]),LEN(IF(ISBLANK(tTQMOferte[[#This Row],[Furnizor]]),"",tTQMOferte[[#This Row],[Furnizor]])&amp;"")&gt;0,ISNUMBER(tTQMOferte[[#This Row],[Data_oferta]]),ISNUMBER(tTQMOferte[[#This Row],[Valabila_pana]]),ISNUMBER(tTQMOferte[[#This Row],[Data_livrare]]),N(tTQMOferte[[#This Row],[Data_oferta]])&lt;=TODAY(),N(tTQMOferte[[#This Row],[Valabila_pana]])&gt;=N(tTQMOferte[[#This Row],[Data_oferta]]),N(tTQMOferte[[#This Row],[Data_livrare]])&gt;=N(tTQMOferte[[#This Row],[Data_oferta]]))),"Date / costuri invalide",IF(OR(NOT(ISNUMBER(INDEX(tTQMCereri[Cantitate],MATCH(tTQMOferte[[#This Row],[ID_cerere]],tTQMCereri[ID_cerere],0)))),NOT(ISNUMBER(INDEX(tTQMCereri[Data_necesara],MATCH(tTQMOferte[[#This Row],[ID_cerere]],tTQMCereri[ID_cerere],0))))),"Cerere incompleta",IF(OR(tTQMOferte[[#This Row],[Cantitate]]&lt;&gt;INDEX(tTQMCereri[Cantitate],MATCH(tTQMOferte[[#This Row],[ID_cerere]],tTQMCereri[ID_cerere],0)),tTQMOferte[[#This Row],[UM]]&lt;&gt;INDEX(tTQMCereri[UM],MATCH(tTQMOferte[[#This Row],[ID_cerere]],tTQMCereri[ID_cerere],0))),"Cantitate / UM diferite",IF(IF(ISBLANK(tTQMOferte[[#This Row],[Conform_tehnic]]),"",tTQMOferte[[#This Row],[Conform_tehnic]])&lt;&gt;"Da",IF(IF(ISBLANK(tTQMOferte[[#This Row],[Conform_tehnic]]),"",tTQMOferte[[#This Row],[Conform_tehnic]])="Nu","Neconform tehnic","Conformitate de verificat"),IF(tTQMOferte[[#This Row],[Valabila_pana]]&lt;TODAY(),"Oferta expirata",IF(tTQMOferte[[#This Row],[Data_livrare]]&lt;TODAY(),"Livrarea a trecut",IF(tTQMOferte[[#This Row],[Data_livrare]]&gt;INDEX(tTQMCereri[Data_necesara],MATCH(tTQMOferte[[#This Row],[ID_cerere]],tTQMCereri[ID_cerere],0)),"Livrare intarziata","OK"))))))))))</f>
        <v/>
      </c>
      <c r="M44" s="61"/>
      <c r="N44" s="62"/>
      <c r="O44" s="64"/>
      <c r="P44" s="63"/>
      <c r="Q44" s="63"/>
      <c r="R44" s="61"/>
      <c r="S44" s="61"/>
      <c r="T44" s="61"/>
      <c r="U44" s="61"/>
      <c r="V44" s="59" t="str">
        <f>IF(OR(IF(ISBLANK(tTQMOferte[[#This Row],[ID_oferta]]),"",tTQMOferte[[#This Row],[ID_oferta]])="",COUNTIFS(tTQMCereri[ID_cerere],IF(ISBLANK(tTQMOferte[[#This Row],[ID_cerere]]),"",tTQMOferte[[#This Row],[ID_cerere]]))&lt;&gt;1),"",LEN(IF(ISBLANK(tTQMOferte[[#This Row],[ID_oferta]]),"",tTQMOferte[[#This Row],[ID_oferta]])&amp;"")&amp;":"&amp;IF(ISBLANK(tTQMOferte[[#This Row],[ID_oferta]]),"",tTQMOferte[[#This Row],[ID_oferta]])&amp;"|"&amp;LEN(IF(ISBLANK(tTQMOferte[[#This Row],[ID_cerere]]),"",tTQMOferte[[#This Row],[ID_cerere]])&amp;"")&amp;":"&amp;IF(ISBLANK(tTQMOferte[[#This Row],[ID_cerere]]),"",tTQMOferte[[#This Row],[ID_cerere]])&amp;"|"&amp;LEN(IF(ISBLANK(tTQMOferte[[#This Row],[Furnizor]]),"",tTQMOferte[[#This Row],[Furnizor]])&amp;"")&amp;":"&amp;IF(ISBLANK(tTQMOferte[[#This Row],[Furnizor]]),"",tTQMOferte[[#This Row],[Furnizor]])&amp;"|"&amp;LEN(IF(ISBLANK(tTQMOferte[[#This Row],[Cantitate]]),"",tTQMOferte[[#This Row],[Cantitate]])&amp;"")&amp;":"&amp;IF(ISBLANK(tTQMOferte[[#This Row],[Cantitate]]),"",tTQMOferte[[#This Row],[Cantitate]])&amp;"|"&amp;LEN(IF(ISBLANK(tTQMOferte[[#This Row],[UM]]),"",tTQMOferte[[#This Row],[UM]])&amp;"")&amp;":"&amp;IF(ISBLANK(tTQMOferte[[#This Row],[UM]]),"",tTQMOferte[[#This Row],[UM]])&amp;"|"&amp;LEN(IF(ISBLANK(tTQMOferte[[#This Row],[Pret_unitar]]),"",tTQMOferte[[#This Row],[Pret_unitar]])&amp;"")&amp;":"&amp;IF(ISBLANK(tTQMOferte[[#This Row],[Pret_unitar]]),"",tTQMOferte[[#This Row],[Pret_unitar]])&amp;"|"&amp;LEN(IF(ISBLANK(tTQMOferte[[#This Row],[Data_livrare]]),"",tTQMOferte[[#This Row],[Data_livrare]])&amp;"")&amp;":"&amp;IF(ISBLANK(tTQMOferte[[#This Row],[Data_livrare]]),"",tTQMOferte[[#This Row],[Data_livrare]])&amp;"|"&amp;LEN(IF(ISBLANK(tTQMOferte[[#This Row],[Valabila_pana]]),"",tTQMOferte[[#This Row],[Valabila_pana]])&amp;"")&amp;":"&amp;IF(ISBLANK(tTQMOferte[[#This Row],[Valabila_pana]]),"",tTQMOferte[[#This Row],[Valabila_pana]])&amp;"|"&amp;LEN(IF(ISBLANK(tTQMOferte[[#This Row],[Conform_tehnic]]),"",tTQMOferte[[#This Row],[Conform_tehnic]])&amp;"")&amp;":"&amp;IF(ISBLANK(tTQMOferte[[#This Row],[Conform_tehnic]]),"",tTQMOferte[[#This Row],[Conform_tehnic]])&amp;"|"&amp;LEN(IF(ISBLANK(tTQMOferte[[#This Row],[Nr_oferta]]),"",tTQMOferte[[#This Row],[Nr_oferta]])&amp;"")&amp;":"&amp;IF(ISBLANK(tTQMOferte[[#This Row],[Nr_oferta]]),"",tTQMOferte[[#This Row],[Nr_oferta]])&amp;"|"&amp;LEN(IF(ISBLANK(tTQMOferte[[#This Row],[Data_oferta]]),"",tTQMOferte[[#This Row],[Data_oferta]])&amp;"")&amp;":"&amp;IF(ISBLANK(tTQMOferte[[#This Row],[Data_oferta]]),"",tTQMOferte[[#This Row],[Data_oferta]])&amp;"|"&amp;LEN(IF(ISBLANK(tTQMOferte[[#This Row],[Discount_pct]]),"",tTQMOferte[[#This Row],[Discount_pct]])&amp;"")&amp;":"&amp;IF(ISBLANK(tTQMOferte[[#This Row],[Discount_pct]]),"",tTQMOferte[[#This Row],[Discount_pct]])&amp;"|"&amp;LEN(IF(ISBLANK(tTQMOferte[[#This Row],[Transport_RON]]),"",tTQMOferte[[#This Row],[Transport_RON]])&amp;"")&amp;":"&amp;IF(ISBLANK(tTQMOferte[[#This Row],[Transport_RON]]),"",tTQMOferte[[#This Row],[Transport_RON]])&amp;"|"&amp;LEN(IF(ISBLANK(tTQMOferte[[#This Row],[Alte_costuri_RON]]),"",tTQMOferte[[#This Row],[Alte_costuri_RON]])&amp;"")&amp;":"&amp;IF(ISBLANK(tTQMOferte[[#This Row],[Alte_costuri_RON]]),"",tTQMOferte[[#This Row],[Alte_costuri_RON]])&amp;"|"&amp;LEN(IF(ISBLANK(tTQMOferte[[#This Row],[Conditii_plata]]),"",tTQMOferte[[#This Row],[Conditii_plata]])&amp;"")&amp;":"&amp;IF(ISBLANK(tTQMOferte[[#This Row],[Conditii_plata]]),"",tTQMOferte[[#This Row],[Conditii_plata]])&amp;"|"&amp;LEN(IF(ISBLANK(tTQMOferte[[#This Row],[Garantie]]),"",tTQMOferte[[#This Row],[Garantie]])&amp;"")&amp;":"&amp;IF(ISBLANK(tTQMOferte[[#This Row],[Garantie]]),"",tTQMOferte[[#This Row],[Garantie]])&amp;"|"&amp;LEN(IF(ISBLANK(tTQMOferte[[#This Row],[Link_oferta]]),"",tTQMOferte[[#This Row],[Link_oferta]])&amp;"")&amp;":"&amp;IF(ISBLANK(tTQMOferte[[#This Row],[Link_oferta]]),"",tTQMOferte[[#This Row],[Link_oferta]])&amp;"|"&amp;LEN(IF(ISBLANK(INDEX(tTQMCereri[Proiect],MATCH(tTQMOferte[[#This Row],[ID_cerere]],tTQMCereri[ID_cerere],0))),"",INDEX(tTQMCereri[Proiect],MATCH(tTQMOferte[[#This Row],[ID_cerere]],tTQMCereri[ID_cerere],0)))&amp;"")&amp;":"&amp;IF(ISBLANK(INDEX(tTQMCereri[Proiect],MATCH(tTQMOferte[[#This Row],[ID_cerere]],tTQMCereri[ID_cerere],0))),"",INDEX(tTQMCereri[Proiect],MATCH(tTQMOferte[[#This Row],[ID_cerere]],tTQMCereri[ID_cerere],0)))&amp;"|"&amp;LEN(IF(ISBLANK(INDEX(tTQMCereri[Material],MATCH(tTQMOferte[[#This Row],[ID_cerere]],tTQMCereri[ID_cerere],0))),"",INDEX(tTQMCereri[Material],MATCH(tTQMOferte[[#This Row],[ID_cerere]],tTQMCereri[ID_cerere],0)))&amp;"")&amp;":"&amp;IF(ISBLANK(INDEX(tTQMCereri[Material],MATCH(tTQMOferte[[#This Row],[ID_cerere]],tTQMCereri[ID_cerere],0))),"",INDEX(tTQMCereri[Material],MATCH(tTQMOferte[[#This Row],[ID_cerere]],tTQMCereri[ID_cerere],0)))&amp;"|"&amp;LEN(IF(ISBLANK(INDEX(tTQMCereri[UM],MATCH(tTQMOferte[[#This Row],[ID_cerere]],tTQMCereri[ID_cerere],0))),"",INDEX(tTQMCereri[UM],MATCH(tTQMOferte[[#This Row],[ID_cerere]],tTQMCereri[ID_cerere],0)))&amp;"")&amp;":"&amp;IF(ISBLANK(INDEX(tTQMCereri[UM],MATCH(tTQMOferte[[#This Row],[ID_cerere]],tTQMCereri[ID_cerere],0))),"",INDEX(tTQMCereri[UM],MATCH(tTQMOferte[[#This Row],[ID_cerere]],tTQMCereri[ID_cerere],0)))&amp;"|"&amp;LEN(IF(ISBLANK(INDEX(tTQMCereri[Cantitate],MATCH(tTQMOferte[[#This Row],[ID_cerere]],tTQMCereri[ID_cerere],0))),"",INDEX(tTQMCereri[Cantitate],MATCH(tTQMOferte[[#This Row],[ID_cerere]],tTQMCereri[ID_cerere],0)))&amp;"")&amp;":"&amp;IF(ISBLANK(INDEX(tTQMCereri[Cantitate],MATCH(tTQMOferte[[#This Row],[ID_cerere]],tTQMCereri[ID_cerere],0))),"",INDEX(tTQMCereri[Cantitate],MATCH(tTQMOferte[[#This Row],[ID_cerere]],tTQMCereri[ID_cerere],0)))&amp;"|"&amp;LEN(IF(ISBLANK(INDEX(tTQMCereri[Data_necesara],MATCH(tTQMOferte[[#This Row],[ID_cerere]],tTQMCereri[ID_cerere],0))),"",INDEX(tTQMCereri[Data_necesara],MATCH(tTQMOferte[[#This Row],[ID_cerere]],tTQMCereri[ID_cerere],0)))&amp;"")&amp;":"&amp;IF(ISBLANK(INDEX(tTQMCereri[Data_necesara],MATCH(tTQMOferte[[#This Row],[ID_cerere]],tTQMCereri[ID_cerere],0))),"",INDEX(tTQMCereri[Data_necesara],MATCH(tTQMOferte[[#This Row],[ID_cerere]],tTQMCereri[ID_cerere],0)))&amp;"|"&amp;LEN(IF(ISBLANK(INDEX(tTQMCereri[Specificatie],MATCH(tTQMOferte[[#This Row],[ID_cerere]],tTQMCereri[ID_cerere],0))),"",INDEX(tTQMCereri[Specificatie],MATCH(tTQMOferte[[#This Row],[ID_cerere]],tTQMCereri[ID_cerere],0)))&amp;"")&amp;":"&amp;IF(ISBLANK(INDEX(tTQMCereri[Specificatie],MATCH(tTQMOferte[[#This Row],[ID_cerere]],tTQMCereri[ID_cerere],0))),"",INDEX(tTQMCereri[Specificatie],MATCH(tTQMOferte[[#This Row],[ID_cerere]],tTQMCereri[ID_cerere],0)))&amp;"|"&amp;LEN(IF(ISBLANK(INDEX(tTQMCereri[Buget_RON],MATCH(tTQMOferte[[#This Row],[ID_cerere]],tTQMCereri[ID_cerere],0))),"",INDEX(tTQMCereri[Buget_RON],MATCH(tTQMOferte[[#This Row],[ID_cerere]],tTQMCereri[ID_cerere],0)))&amp;"")&amp;":"&amp;IF(ISBLANK(INDEX(tTQMCereri[Buget_RON],MATCH(tTQMOferte[[#This Row],[ID_cerere]],tTQMCereri[ID_cerere],0))),"",INDEX(tTQMCereri[Buget_RON],MATCH(tTQMOferte[[#This Row],[ID_cerere]],tTQMCereri[ID_cerere],0))))</f>
        <v/>
      </c>
      <c r="W44" s="59"/>
      <c r="X44" s="66"/>
      <c r="Y44" s="59">
        <f>IF(IF(ISBLANK(tTQMOferte[[#This Row],[ID_oferta]]),"",tTQMOferte[[#This Row],[ID_oferta]])="",0,COUNTIFS(tTQMOferte[ID_cerere],IF(ISBLANK(tTQMOferte[[#This Row],[ID_cerere]]),"",tTQMOferte[[#This Row],[ID_cerere]]),tTQMOferte[Cost_sortare],"&lt;"&amp;tTQMOferte[[#This Row],[Cost_sortare]])+COUNTIFS($B$37:B44,IF(ISBLANK(tTQMOferte[[#This Row],[ID_cerere]]),"",tTQMOferte[[#This Row],[ID_cerere]]),$AC$37:AC44,tTQMOferte[[#This Row],[Cost_sortare]]))</f>
        <v>0</v>
      </c>
      <c r="Z44" s="59" t="str">
        <f>IF(IF(ISBLANK(tTQMOferte[[#This Row],[ID_oferta]]),"",tTQMOferte[[#This Row],[ID_oferta]])="","",tTQMOferte[[#This Row],[ID_cerere]]&amp;"#"&amp;tTQMOferte[[#This Row],[Rang_cost]])</f>
        <v/>
      </c>
      <c r="AA44" s="59">
        <f>IF(tTQMOferte[[#This Row],[Eligibila]]&lt;&gt;1,0,COUNTIFS(tTQMOferte[ID_cerere],IF(ISBLANK(tTQMOferte[[#This Row],[ID_cerere]]),"",tTQMOferte[[#This Row],[ID_cerere]]),tTQMOferte[Eligibila],1,tTQMOferte[Total_RON],"&lt;"&amp;tTQMOferte[[#This Row],[Total_RON]])+COUNTIFS($B$37:B44,IF(ISBLANK(tTQMOferte[[#This Row],[ID_cerere]]),"",tTQMOferte[[#This Row],[ID_cerere]]),$K$37:K44,1,$G$37:G44,tTQMOferte[[#This Row],[Total_RON]]))</f>
        <v>0</v>
      </c>
      <c r="AB44" s="59" t="str">
        <f>IF(tTQMOferte[[#This Row],[Rang_eligibil]]=1,tTQMOferte[[#This Row],[ID_cerere]],"")</f>
        <v/>
      </c>
      <c r="AC44" s="59">
        <f>IF(ISNUMBER(tTQMOferte[[#This Row],[Total_RON]]),tTQMOferte[[#This Row],[Total_RON]],1E+99)</f>
        <v>9.9999999999999997E+98</v>
      </c>
    </row>
    <row r="45" spans="1:29" ht="43.95" customHeight="1">
      <c r="A45" s="61"/>
      <c r="B45" s="61"/>
      <c r="C45" s="61"/>
      <c r="D45" s="61"/>
      <c r="E45" s="61"/>
      <c r="F45" s="63"/>
      <c r="G45" s="60" t="str">
        <f>IF(IF(ISBLANK(tTQMOferte[[#This Row],[ID_oferta]]),"",tTQMOferte[[#This Row],[ID_oferta]])="","",IF(AND(ISNUMBER(tTQMOferte[[#This Row],[Cantitate]]),N(tTQMOferte[[#This Row],[Cantitate]])&gt;0,ISNUMBER(tTQMOferte[[#This Row],[Pret_unitar]]),N(tTQMOferte[[#This Row],[Pret_unitar]])&gt;=0,ISNUMBER(tTQMOferte[[#This Row],[Discount_pct]]),N(tTQMOferte[[#This Row],[Discount_pct]])&gt;=0,N(tTQMOferte[[#This Row],[Discount_pct]])&lt;=1,ISNUMBER(tTQMOferte[[#This Row],[Transport_RON]]),N(tTQMOferte[[#This Row],[Transport_RON]])&gt;=0,ISNUMBER(tTQMOferte[[#This Row],[Alte_costuri_RON]]),N(tTQMOferte[[#This Row],[Alte_costuri_RON]])&gt;=0),ROUND(tTQMOferte[[#This Row],[Cantitate]]*tTQMOferte[[#This Row],[Pret_unitar]]*(1-tTQMOferte[[#This Row],[Discount_pct]])+tTQMOferte[[#This Row],[Transport_RON]]+tTQMOferte[[#This Row],[Alte_costuri_RON]],2),"DATE INVALIDE"))</f>
        <v/>
      </c>
      <c r="H45" s="62"/>
      <c r="I45" s="62"/>
      <c r="J45" s="61"/>
      <c r="K45" s="59" t="str">
        <f>IF(IF(ISBLANK(tTQMOferte[[#This Row],[ID_oferta]]),"",tTQMOferte[[#This Row],[ID_oferta]])="","",IF(tTQMOferte[[#This Row],[Motiv]]="OK",1,0))</f>
        <v/>
      </c>
      <c r="L45" s="59" t="str">
        <f ca="1">IF(IF(ISBLANK(tTQMOferte[[#This Row],[ID_oferta]]),"",tTQMOferte[[#This Row],[ID_oferta]])="","",IF(COUNTIFS(tTQMOferte[ID_oferta],IF(ISBLANK(tTQMOferte[[#This Row],[ID_oferta]]),"",tTQMOferte[[#This Row],[ID_oferta]]))&lt;&gt;1,"ID oferta duplicat",IF(COUNTIFS(tTQMCereri[ID_cerere],IF(ISBLANK(tTQMOferte[[#This Row],[ID_cerere]]),"",tTQMOferte[[#This Row],[ID_cerere]]))&lt;&gt;1,"Cerere inexistenta / duplicata",IF(NOT(AND(ISNUMBER(tTQMOferte[[#This Row],[Total_RON]]),LEN(IF(ISBLANK(tTQMOferte[[#This Row],[Furnizor]]),"",tTQMOferte[[#This Row],[Furnizor]])&amp;"")&gt;0,ISNUMBER(tTQMOferte[[#This Row],[Data_oferta]]),ISNUMBER(tTQMOferte[[#This Row],[Valabila_pana]]),ISNUMBER(tTQMOferte[[#This Row],[Data_livrare]]),N(tTQMOferte[[#This Row],[Data_oferta]])&lt;=TODAY(),N(tTQMOferte[[#This Row],[Valabila_pana]])&gt;=N(tTQMOferte[[#This Row],[Data_oferta]]),N(tTQMOferte[[#This Row],[Data_livrare]])&gt;=N(tTQMOferte[[#This Row],[Data_oferta]]))),"Date / costuri invalide",IF(OR(NOT(ISNUMBER(INDEX(tTQMCereri[Cantitate],MATCH(tTQMOferte[[#This Row],[ID_cerere]],tTQMCereri[ID_cerere],0)))),NOT(ISNUMBER(INDEX(tTQMCereri[Data_necesara],MATCH(tTQMOferte[[#This Row],[ID_cerere]],tTQMCereri[ID_cerere],0))))),"Cerere incompleta",IF(OR(tTQMOferte[[#This Row],[Cantitate]]&lt;&gt;INDEX(tTQMCereri[Cantitate],MATCH(tTQMOferte[[#This Row],[ID_cerere]],tTQMCereri[ID_cerere],0)),tTQMOferte[[#This Row],[UM]]&lt;&gt;INDEX(tTQMCereri[UM],MATCH(tTQMOferte[[#This Row],[ID_cerere]],tTQMCereri[ID_cerere],0))),"Cantitate / UM diferite",IF(IF(ISBLANK(tTQMOferte[[#This Row],[Conform_tehnic]]),"",tTQMOferte[[#This Row],[Conform_tehnic]])&lt;&gt;"Da",IF(IF(ISBLANK(tTQMOferte[[#This Row],[Conform_tehnic]]),"",tTQMOferte[[#This Row],[Conform_tehnic]])="Nu","Neconform tehnic","Conformitate de verificat"),IF(tTQMOferte[[#This Row],[Valabila_pana]]&lt;TODAY(),"Oferta expirata",IF(tTQMOferte[[#This Row],[Data_livrare]]&lt;TODAY(),"Livrarea a trecut",IF(tTQMOferte[[#This Row],[Data_livrare]]&gt;INDEX(tTQMCereri[Data_necesara],MATCH(tTQMOferte[[#This Row],[ID_cerere]],tTQMCereri[ID_cerere],0)),"Livrare intarziata","OK"))))))))))</f>
        <v/>
      </c>
      <c r="M45" s="61"/>
      <c r="N45" s="62"/>
      <c r="O45" s="64"/>
      <c r="P45" s="63"/>
      <c r="Q45" s="63"/>
      <c r="R45" s="61"/>
      <c r="S45" s="61"/>
      <c r="T45" s="61"/>
      <c r="U45" s="61"/>
      <c r="V45" s="59" t="str">
        <f>IF(OR(IF(ISBLANK(tTQMOferte[[#This Row],[ID_oferta]]),"",tTQMOferte[[#This Row],[ID_oferta]])="",COUNTIFS(tTQMCereri[ID_cerere],IF(ISBLANK(tTQMOferte[[#This Row],[ID_cerere]]),"",tTQMOferte[[#This Row],[ID_cerere]]))&lt;&gt;1),"",LEN(IF(ISBLANK(tTQMOferte[[#This Row],[ID_oferta]]),"",tTQMOferte[[#This Row],[ID_oferta]])&amp;"")&amp;":"&amp;IF(ISBLANK(tTQMOferte[[#This Row],[ID_oferta]]),"",tTQMOferte[[#This Row],[ID_oferta]])&amp;"|"&amp;LEN(IF(ISBLANK(tTQMOferte[[#This Row],[ID_cerere]]),"",tTQMOferte[[#This Row],[ID_cerere]])&amp;"")&amp;":"&amp;IF(ISBLANK(tTQMOferte[[#This Row],[ID_cerere]]),"",tTQMOferte[[#This Row],[ID_cerere]])&amp;"|"&amp;LEN(IF(ISBLANK(tTQMOferte[[#This Row],[Furnizor]]),"",tTQMOferte[[#This Row],[Furnizor]])&amp;"")&amp;":"&amp;IF(ISBLANK(tTQMOferte[[#This Row],[Furnizor]]),"",tTQMOferte[[#This Row],[Furnizor]])&amp;"|"&amp;LEN(IF(ISBLANK(tTQMOferte[[#This Row],[Cantitate]]),"",tTQMOferte[[#This Row],[Cantitate]])&amp;"")&amp;":"&amp;IF(ISBLANK(tTQMOferte[[#This Row],[Cantitate]]),"",tTQMOferte[[#This Row],[Cantitate]])&amp;"|"&amp;LEN(IF(ISBLANK(tTQMOferte[[#This Row],[UM]]),"",tTQMOferte[[#This Row],[UM]])&amp;"")&amp;":"&amp;IF(ISBLANK(tTQMOferte[[#This Row],[UM]]),"",tTQMOferte[[#This Row],[UM]])&amp;"|"&amp;LEN(IF(ISBLANK(tTQMOferte[[#This Row],[Pret_unitar]]),"",tTQMOferte[[#This Row],[Pret_unitar]])&amp;"")&amp;":"&amp;IF(ISBLANK(tTQMOferte[[#This Row],[Pret_unitar]]),"",tTQMOferte[[#This Row],[Pret_unitar]])&amp;"|"&amp;LEN(IF(ISBLANK(tTQMOferte[[#This Row],[Data_livrare]]),"",tTQMOferte[[#This Row],[Data_livrare]])&amp;"")&amp;":"&amp;IF(ISBLANK(tTQMOferte[[#This Row],[Data_livrare]]),"",tTQMOferte[[#This Row],[Data_livrare]])&amp;"|"&amp;LEN(IF(ISBLANK(tTQMOferte[[#This Row],[Valabila_pana]]),"",tTQMOferte[[#This Row],[Valabila_pana]])&amp;"")&amp;":"&amp;IF(ISBLANK(tTQMOferte[[#This Row],[Valabila_pana]]),"",tTQMOferte[[#This Row],[Valabila_pana]])&amp;"|"&amp;LEN(IF(ISBLANK(tTQMOferte[[#This Row],[Conform_tehnic]]),"",tTQMOferte[[#This Row],[Conform_tehnic]])&amp;"")&amp;":"&amp;IF(ISBLANK(tTQMOferte[[#This Row],[Conform_tehnic]]),"",tTQMOferte[[#This Row],[Conform_tehnic]])&amp;"|"&amp;LEN(IF(ISBLANK(tTQMOferte[[#This Row],[Nr_oferta]]),"",tTQMOferte[[#This Row],[Nr_oferta]])&amp;"")&amp;":"&amp;IF(ISBLANK(tTQMOferte[[#This Row],[Nr_oferta]]),"",tTQMOferte[[#This Row],[Nr_oferta]])&amp;"|"&amp;LEN(IF(ISBLANK(tTQMOferte[[#This Row],[Data_oferta]]),"",tTQMOferte[[#This Row],[Data_oferta]])&amp;"")&amp;":"&amp;IF(ISBLANK(tTQMOferte[[#This Row],[Data_oferta]]),"",tTQMOferte[[#This Row],[Data_oferta]])&amp;"|"&amp;LEN(IF(ISBLANK(tTQMOferte[[#This Row],[Discount_pct]]),"",tTQMOferte[[#This Row],[Discount_pct]])&amp;"")&amp;":"&amp;IF(ISBLANK(tTQMOferte[[#This Row],[Discount_pct]]),"",tTQMOferte[[#This Row],[Discount_pct]])&amp;"|"&amp;LEN(IF(ISBLANK(tTQMOferte[[#This Row],[Transport_RON]]),"",tTQMOferte[[#This Row],[Transport_RON]])&amp;"")&amp;":"&amp;IF(ISBLANK(tTQMOferte[[#This Row],[Transport_RON]]),"",tTQMOferte[[#This Row],[Transport_RON]])&amp;"|"&amp;LEN(IF(ISBLANK(tTQMOferte[[#This Row],[Alte_costuri_RON]]),"",tTQMOferte[[#This Row],[Alte_costuri_RON]])&amp;"")&amp;":"&amp;IF(ISBLANK(tTQMOferte[[#This Row],[Alte_costuri_RON]]),"",tTQMOferte[[#This Row],[Alte_costuri_RON]])&amp;"|"&amp;LEN(IF(ISBLANK(tTQMOferte[[#This Row],[Conditii_plata]]),"",tTQMOferte[[#This Row],[Conditii_plata]])&amp;"")&amp;":"&amp;IF(ISBLANK(tTQMOferte[[#This Row],[Conditii_plata]]),"",tTQMOferte[[#This Row],[Conditii_plata]])&amp;"|"&amp;LEN(IF(ISBLANK(tTQMOferte[[#This Row],[Garantie]]),"",tTQMOferte[[#This Row],[Garantie]])&amp;"")&amp;":"&amp;IF(ISBLANK(tTQMOferte[[#This Row],[Garantie]]),"",tTQMOferte[[#This Row],[Garantie]])&amp;"|"&amp;LEN(IF(ISBLANK(tTQMOferte[[#This Row],[Link_oferta]]),"",tTQMOferte[[#This Row],[Link_oferta]])&amp;"")&amp;":"&amp;IF(ISBLANK(tTQMOferte[[#This Row],[Link_oferta]]),"",tTQMOferte[[#This Row],[Link_oferta]])&amp;"|"&amp;LEN(IF(ISBLANK(INDEX(tTQMCereri[Proiect],MATCH(tTQMOferte[[#This Row],[ID_cerere]],tTQMCereri[ID_cerere],0))),"",INDEX(tTQMCereri[Proiect],MATCH(tTQMOferte[[#This Row],[ID_cerere]],tTQMCereri[ID_cerere],0)))&amp;"")&amp;":"&amp;IF(ISBLANK(INDEX(tTQMCereri[Proiect],MATCH(tTQMOferte[[#This Row],[ID_cerere]],tTQMCereri[ID_cerere],0))),"",INDEX(tTQMCereri[Proiect],MATCH(tTQMOferte[[#This Row],[ID_cerere]],tTQMCereri[ID_cerere],0)))&amp;"|"&amp;LEN(IF(ISBLANK(INDEX(tTQMCereri[Material],MATCH(tTQMOferte[[#This Row],[ID_cerere]],tTQMCereri[ID_cerere],0))),"",INDEX(tTQMCereri[Material],MATCH(tTQMOferte[[#This Row],[ID_cerere]],tTQMCereri[ID_cerere],0)))&amp;"")&amp;":"&amp;IF(ISBLANK(INDEX(tTQMCereri[Material],MATCH(tTQMOferte[[#This Row],[ID_cerere]],tTQMCereri[ID_cerere],0))),"",INDEX(tTQMCereri[Material],MATCH(tTQMOferte[[#This Row],[ID_cerere]],tTQMCereri[ID_cerere],0)))&amp;"|"&amp;LEN(IF(ISBLANK(INDEX(tTQMCereri[UM],MATCH(tTQMOferte[[#This Row],[ID_cerere]],tTQMCereri[ID_cerere],0))),"",INDEX(tTQMCereri[UM],MATCH(tTQMOferte[[#This Row],[ID_cerere]],tTQMCereri[ID_cerere],0)))&amp;"")&amp;":"&amp;IF(ISBLANK(INDEX(tTQMCereri[UM],MATCH(tTQMOferte[[#This Row],[ID_cerere]],tTQMCereri[ID_cerere],0))),"",INDEX(tTQMCereri[UM],MATCH(tTQMOferte[[#This Row],[ID_cerere]],tTQMCereri[ID_cerere],0)))&amp;"|"&amp;LEN(IF(ISBLANK(INDEX(tTQMCereri[Cantitate],MATCH(tTQMOferte[[#This Row],[ID_cerere]],tTQMCereri[ID_cerere],0))),"",INDEX(tTQMCereri[Cantitate],MATCH(tTQMOferte[[#This Row],[ID_cerere]],tTQMCereri[ID_cerere],0)))&amp;"")&amp;":"&amp;IF(ISBLANK(INDEX(tTQMCereri[Cantitate],MATCH(tTQMOferte[[#This Row],[ID_cerere]],tTQMCereri[ID_cerere],0))),"",INDEX(tTQMCereri[Cantitate],MATCH(tTQMOferte[[#This Row],[ID_cerere]],tTQMCereri[ID_cerere],0)))&amp;"|"&amp;LEN(IF(ISBLANK(INDEX(tTQMCereri[Data_necesara],MATCH(tTQMOferte[[#This Row],[ID_cerere]],tTQMCereri[ID_cerere],0))),"",INDEX(tTQMCereri[Data_necesara],MATCH(tTQMOferte[[#This Row],[ID_cerere]],tTQMCereri[ID_cerere],0)))&amp;"")&amp;":"&amp;IF(ISBLANK(INDEX(tTQMCereri[Data_necesara],MATCH(tTQMOferte[[#This Row],[ID_cerere]],tTQMCereri[ID_cerere],0))),"",INDEX(tTQMCereri[Data_necesara],MATCH(tTQMOferte[[#This Row],[ID_cerere]],tTQMCereri[ID_cerere],0)))&amp;"|"&amp;LEN(IF(ISBLANK(INDEX(tTQMCereri[Specificatie],MATCH(tTQMOferte[[#This Row],[ID_cerere]],tTQMCereri[ID_cerere],0))),"",INDEX(tTQMCereri[Specificatie],MATCH(tTQMOferte[[#This Row],[ID_cerere]],tTQMCereri[ID_cerere],0)))&amp;"")&amp;":"&amp;IF(ISBLANK(INDEX(tTQMCereri[Specificatie],MATCH(tTQMOferte[[#This Row],[ID_cerere]],tTQMCereri[ID_cerere],0))),"",INDEX(tTQMCereri[Specificatie],MATCH(tTQMOferte[[#This Row],[ID_cerere]],tTQMCereri[ID_cerere],0)))&amp;"|"&amp;LEN(IF(ISBLANK(INDEX(tTQMCereri[Buget_RON],MATCH(tTQMOferte[[#This Row],[ID_cerere]],tTQMCereri[ID_cerere],0))),"",INDEX(tTQMCereri[Buget_RON],MATCH(tTQMOferte[[#This Row],[ID_cerere]],tTQMCereri[ID_cerere],0)))&amp;"")&amp;":"&amp;IF(ISBLANK(INDEX(tTQMCereri[Buget_RON],MATCH(tTQMOferte[[#This Row],[ID_cerere]],tTQMCereri[ID_cerere],0))),"",INDEX(tTQMCereri[Buget_RON],MATCH(tTQMOferte[[#This Row],[ID_cerere]],tTQMCereri[ID_cerere],0))))</f>
        <v/>
      </c>
      <c r="W45" s="59"/>
      <c r="X45" s="66"/>
      <c r="Y45" s="59">
        <f>IF(IF(ISBLANK(tTQMOferte[[#This Row],[ID_oferta]]),"",tTQMOferte[[#This Row],[ID_oferta]])="",0,COUNTIFS(tTQMOferte[ID_cerere],IF(ISBLANK(tTQMOferte[[#This Row],[ID_cerere]]),"",tTQMOferte[[#This Row],[ID_cerere]]),tTQMOferte[Cost_sortare],"&lt;"&amp;tTQMOferte[[#This Row],[Cost_sortare]])+COUNTIFS($B$37:B45,IF(ISBLANK(tTQMOferte[[#This Row],[ID_cerere]]),"",tTQMOferte[[#This Row],[ID_cerere]]),$AC$37:AC45,tTQMOferte[[#This Row],[Cost_sortare]]))</f>
        <v>0</v>
      </c>
      <c r="Z45" s="59" t="str">
        <f>IF(IF(ISBLANK(tTQMOferte[[#This Row],[ID_oferta]]),"",tTQMOferte[[#This Row],[ID_oferta]])="","",tTQMOferte[[#This Row],[ID_cerere]]&amp;"#"&amp;tTQMOferte[[#This Row],[Rang_cost]])</f>
        <v/>
      </c>
      <c r="AA45" s="59">
        <f>IF(tTQMOferte[[#This Row],[Eligibila]]&lt;&gt;1,0,COUNTIFS(tTQMOferte[ID_cerere],IF(ISBLANK(tTQMOferte[[#This Row],[ID_cerere]]),"",tTQMOferte[[#This Row],[ID_cerere]]),tTQMOferte[Eligibila],1,tTQMOferte[Total_RON],"&lt;"&amp;tTQMOferte[[#This Row],[Total_RON]])+COUNTIFS($B$37:B45,IF(ISBLANK(tTQMOferte[[#This Row],[ID_cerere]]),"",tTQMOferte[[#This Row],[ID_cerere]]),$K$37:K45,1,$G$37:G45,tTQMOferte[[#This Row],[Total_RON]]))</f>
        <v>0</v>
      </c>
      <c r="AB45" s="59" t="str">
        <f>IF(tTQMOferte[[#This Row],[Rang_eligibil]]=1,tTQMOferte[[#This Row],[ID_cerere]],"")</f>
        <v/>
      </c>
      <c r="AC45" s="59">
        <f>IF(ISNUMBER(tTQMOferte[[#This Row],[Total_RON]]),tTQMOferte[[#This Row],[Total_RON]],1E+99)</f>
        <v>9.9999999999999997E+98</v>
      </c>
    </row>
    <row r="46" spans="1:29" ht="43.95" customHeight="1">
      <c r="A46" s="61"/>
      <c r="B46" s="61"/>
      <c r="C46" s="61"/>
      <c r="D46" s="61"/>
      <c r="E46" s="61"/>
      <c r="F46" s="63"/>
      <c r="G46" s="60" t="str">
        <f>IF(IF(ISBLANK(tTQMOferte[[#This Row],[ID_oferta]]),"",tTQMOferte[[#This Row],[ID_oferta]])="","",IF(AND(ISNUMBER(tTQMOferte[[#This Row],[Cantitate]]),N(tTQMOferte[[#This Row],[Cantitate]])&gt;0,ISNUMBER(tTQMOferte[[#This Row],[Pret_unitar]]),N(tTQMOferte[[#This Row],[Pret_unitar]])&gt;=0,ISNUMBER(tTQMOferte[[#This Row],[Discount_pct]]),N(tTQMOferte[[#This Row],[Discount_pct]])&gt;=0,N(tTQMOferte[[#This Row],[Discount_pct]])&lt;=1,ISNUMBER(tTQMOferte[[#This Row],[Transport_RON]]),N(tTQMOferte[[#This Row],[Transport_RON]])&gt;=0,ISNUMBER(tTQMOferte[[#This Row],[Alte_costuri_RON]]),N(tTQMOferte[[#This Row],[Alte_costuri_RON]])&gt;=0),ROUND(tTQMOferte[[#This Row],[Cantitate]]*tTQMOferte[[#This Row],[Pret_unitar]]*(1-tTQMOferte[[#This Row],[Discount_pct]])+tTQMOferte[[#This Row],[Transport_RON]]+tTQMOferte[[#This Row],[Alte_costuri_RON]],2),"DATE INVALIDE"))</f>
        <v/>
      </c>
      <c r="H46" s="62"/>
      <c r="I46" s="62"/>
      <c r="J46" s="61"/>
      <c r="K46" s="59" t="str">
        <f>IF(IF(ISBLANK(tTQMOferte[[#This Row],[ID_oferta]]),"",tTQMOferte[[#This Row],[ID_oferta]])="","",IF(tTQMOferte[[#This Row],[Motiv]]="OK",1,0))</f>
        <v/>
      </c>
      <c r="L46" s="59" t="str">
        <f ca="1">IF(IF(ISBLANK(tTQMOferte[[#This Row],[ID_oferta]]),"",tTQMOferte[[#This Row],[ID_oferta]])="","",IF(COUNTIFS(tTQMOferte[ID_oferta],IF(ISBLANK(tTQMOferte[[#This Row],[ID_oferta]]),"",tTQMOferte[[#This Row],[ID_oferta]]))&lt;&gt;1,"ID oferta duplicat",IF(COUNTIFS(tTQMCereri[ID_cerere],IF(ISBLANK(tTQMOferte[[#This Row],[ID_cerere]]),"",tTQMOferte[[#This Row],[ID_cerere]]))&lt;&gt;1,"Cerere inexistenta / duplicata",IF(NOT(AND(ISNUMBER(tTQMOferte[[#This Row],[Total_RON]]),LEN(IF(ISBLANK(tTQMOferte[[#This Row],[Furnizor]]),"",tTQMOferte[[#This Row],[Furnizor]])&amp;"")&gt;0,ISNUMBER(tTQMOferte[[#This Row],[Data_oferta]]),ISNUMBER(tTQMOferte[[#This Row],[Valabila_pana]]),ISNUMBER(tTQMOferte[[#This Row],[Data_livrare]]),N(tTQMOferte[[#This Row],[Data_oferta]])&lt;=TODAY(),N(tTQMOferte[[#This Row],[Valabila_pana]])&gt;=N(tTQMOferte[[#This Row],[Data_oferta]]),N(tTQMOferte[[#This Row],[Data_livrare]])&gt;=N(tTQMOferte[[#This Row],[Data_oferta]]))),"Date / costuri invalide",IF(OR(NOT(ISNUMBER(INDEX(tTQMCereri[Cantitate],MATCH(tTQMOferte[[#This Row],[ID_cerere]],tTQMCereri[ID_cerere],0)))),NOT(ISNUMBER(INDEX(tTQMCereri[Data_necesara],MATCH(tTQMOferte[[#This Row],[ID_cerere]],tTQMCereri[ID_cerere],0))))),"Cerere incompleta",IF(OR(tTQMOferte[[#This Row],[Cantitate]]&lt;&gt;INDEX(tTQMCereri[Cantitate],MATCH(tTQMOferte[[#This Row],[ID_cerere]],tTQMCereri[ID_cerere],0)),tTQMOferte[[#This Row],[UM]]&lt;&gt;INDEX(tTQMCereri[UM],MATCH(tTQMOferte[[#This Row],[ID_cerere]],tTQMCereri[ID_cerere],0))),"Cantitate / UM diferite",IF(IF(ISBLANK(tTQMOferte[[#This Row],[Conform_tehnic]]),"",tTQMOferte[[#This Row],[Conform_tehnic]])&lt;&gt;"Da",IF(IF(ISBLANK(tTQMOferte[[#This Row],[Conform_tehnic]]),"",tTQMOferte[[#This Row],[Conform_tehnic]])="Nu","Neconform tehnic","Conformitate de verificat"),IF(tTQMOferte[[#This Row],[Valabila_pana]]&lt;TODAY(),"Oferta expirata",IF(tTQMOferte[[#This Row],[Data_livrare]]&lt;TODAY(),"Livrarea a trecut",IF(tTQMOferte[[#This Row],[Data_livrare]]&gt;INDEX(tTQMCereri[Data_necesara],MATCH(tTQMOferte[[#This Row],[ID_cerere]],tTQMCereri[ID_cerere],0)),"Livrare intarziata","OK"))))))))))</f>
        <v/>
      </c>
      <c r="M46" s="61"/>
      <c r="N46" s="62"/>
      <c r="O46" s="64"/>
      <c r="P46" s="63"/>
      <c r="Q46" s="63"/>
      <c r="R46" s="61"/>
      <c r="S46" s="61"/>
      <c r="T46" s="61"/>
      <c r="U46" s="61"/>
      <c r="V46" s="59" t="str">
        <f>IF(OR(IF(ISBLANK(tTQMOferte[[#This Row],[ID_oferta]]),"",tTQMOferte[[#This Row],[ID_oferta]])="",COUNTIFS(tTQMCereri[ID_cerere],IF(ISBLANK(tTQMOferte[[#This Row],[ID_cerere]]),"",tTQMOferte[[#This Row],[ID_cerere]]))&lt;&gt;1),"",LEN(IF(ISBLANK(tTQMOferte[[#This Row],[ID_oferta]]),"",tTQMOferte[[#This Row],[ID_oferta]])&amp;"")&amp;":"&amp;IF(ISBLANK(tTQMOferte[[#This Row],[ID_oferta]]),"",tTQMOferte[[#This Row],[ID_oferta]])&amp;"|"&amp;LEN(IF(ISBLANK(tTQMOferte[[#This Row],[ID_cerere]]),"",tTQMOferte[[#This Row],[ID_cerere]])&amp;"")&amp;":"&amp;IF(ISBLANK(tTQMOferte[[#This Row],[ID_cerere]]),"",tTQMOferte[[#This Row],[ID_cerere]])&amp;"|"&amp;LEN(IF(ISBLANK(tTQMOferte[[#This Row],[Furnizor]]),"",tTQMOferte[[#This Row],[Furnizor]])&amp;"")&amp;":"&amp;IF(ISBLANK(tTQMOferte[[#This Row],[Furnizor]]),"",tTQMOferte[[#This Row],[Furnizor]])&amp;"|"&amp;LEN(IF(ISBLANK(tTQMOferte[[#This Row],[Cantitate]]),"",tTQMOferte[[#This Row],[Cantitate]])&amp;"")&amp;":"&amp;IF(ISBLANK(tTQMOferte[[#This Row],[Cantitate]]),"",tTQMOferte[[#This Row],[Cantitate]])&amp;"|"&amp;LEN(IF(ISBLANK(tTQMOferte[[#This Row],[UM]]),"",tTQMOferte[[#This Row],[UM]])&amp;"")&amp;":"&amp;IF(ISBLANK(tTQMOferte[[#This Row],[UM]]),"",tTQMOferte[[#This Row],[UM]])&amp;"|"&amp;LEN(IF(ISBLANK(tTQMOferte[[#This Row],[Pret_unitar]]),"",tTQMOferte[[#This Row],[Pret_unitar]])&amp;"")&amp;":"&amp;IF(ISBLANK(tTQMOferte[[#This Row],[Pret_unitar]]),"",tTQMOferte[[#This Row],[Pret_unitar]])&amp;"|"&amp;LEN(IF(ISBLANK(tTQMOferte[[#This Row],[Data_livrare]]),"",tTQMOferte[[#This Row],[Data_livrare]])&amp;"")&amp;":"&amp;IF(ISBLANK(tTQMOferte[[#This Row],[Data_livrare]]),"",tTQMOferte[[#This Row],[Data_livrare]])&amp;"|"&amp;LEN(IF(ISBLANK(tTQMOferte[[#This Row],[Valabila_pana]]),"",tTQMOferte[[#This Row],[Valabila_pana]])&amp;"")&amp;":"&amp;IF(ISBLANK(tTQMOferte[[#This Row],[Valabila_pana]]),"",tTQMOferte[[#This Row],[Valabila_pana]])&amp;"|"&amp;LEN(IF(ISBLANK(tTQMOferte[[#This Row],[Conform_tehnic]]),"",tTQMOferte[[#This Row],[Conform_tehnic]])&amp;"")&amp;":"&amp;IF(ISBLANK(tTQMOferte[[#This Row],[Conform_tehnic]]),"",tTQMOferte[[#This Row],[Conform_tehnic]])&amp;"|"&amp;LEN(IF(ISBLANK(tTQMOferte[[#This Row],[Nr_oferta]]),"",tTQMOferte[[#This Row],[Nr_oferta]])&amp;"")&amp;":"&amp;IF(ISBLANK(tTQMOferte[[#This Row],[Nr_oferta]]),"",tTQMOferte[[#This Row],[Nr_oferta]])&amp;"|"&amp;LEN(IF(ISBLANK(tTQMOferte[[#This Row],[Data_oferta]]),"",tTQMOferte[[#This Row],[Data_oferta]])&amp;"")&amp;":"&amp;IF(ISBLANK(tTQMOferte[[#This Row],[Data_oferta]]),"",tTQMOferte[[#This Row],[Data_oferta]])&amp;"|"&amp;LEN(IF(ISBLANK(tTQMOferte[[#This Row],[Discount_pct]]),"",tTQMOferte[[#This Row],[Discount_pct]])&amp;"")&amp;":"&amp;IF(ISBLANK(tTQMOferte[[#This Row],[Discount_pct]]),"",tTQMOferte[[#This Row],[Discount_pct]])&amp;"|"&amp;LEN(IF(ISBLANK(tTQMOferte[[#This Row],[Transport_RON]]),"",tTQMOferte[[#This Row],[Transport_RON]])&amp;"")&amp;":"&amp;IF(ISBLANK(tTQMOferte[[#This Row],[Transport_RON]]),"",tTQMOferte[[#This Row],[Transport_RON]])&amp;"|"&amp;LEN(IF(ISBLANK(tTQMOferte[[#This Row],[Alte_costuri_RON]]),"",tTQMOferte[[#This Row],[Alte_costuri_RON]])&amp;"")&amp;":"&amp;IF(ISBLANK(tTQMOferte[[#This Row],[Alte_costuri_RON]]),"",tTQMOferte[[#This Row],[Alte_costuri_RON]])&amp;"|"&amp;LEN(IF(ISBLANK(tTQMOferte[[#This Row],[Conditii_plata]]),"",tTQMOferte[[#This Row],[Conditii_plata]])&amp;"")&amp;":"&amp;IF(ISBLANK(tTQMOferte[[#This Row],[Conditii_plata]]),"",tTQMOferte[[#This Row],[Conditii_plata]])&amp;"|"&amp;LEN(IF(ISBLANK(tTQMOferte[[#This Row],[Garantie]]),"",tTQMOferte[[#This Row],[Garantie]])&amp;"")&amp;":"&amp;IF(ISBLANK(tTQMOferte[[#This Row],[Garantie]]),"",tTQMOferte[[#This Row],[Garantie]])&amp;"|"&amp;LEN(IF(ISBLANK(tTQMOferte[[#This Row],[Link_oferta]]),"",tTQMOferte[[#This Row],[Link_oferta]])&amp;"")&amp;":"&amp;IF(ISBLANK(tTQMOferte[[#This Row],[Link_oferta]]),"",tTQMOferte[[#This Row],[Link_oferta]])&amp;"|"&amp;LEN(IF(ISBLANK(INDEX(tTQMCereri[Proiect],MATCH(tTQMOferte[[#This Row],[ID_cerere]],tTQMCereri[ID_cerere],0))),"",INDEX(tTQMCereri[Proiect],MATCH(tTQMOferte[[#This Row],[ID_cerere]],tTQMCereri[ID_cerere],0)))&amp;"")&amp;":"&amp;IF(ISBLANK(INDEX(tTQMCereri[Proiect],MATCH(tTQMOferte[[#This Row],[ID_cerere]],tTQMCereri[ID_cerere],0))),"",INDEX(tTQMCereri[Proiect],MATCH(tTQMOferte[[#This Row],[ID_cerere]],tTQMCereri[ID_cerere],0)))&amp;"|"&amp;LEN(IF(ISBLANK(INDEX(tTQMCereri[Material],MATCH(tTQMOferte[[#This Row],[ID_cerere]],tTQMCereri[ID_cerere],0))),"",INDEX(tTQMCereri[Material],MATCH(tTQMOferte[[#This Row],[ID_cerere]],tTQMCereri[ID_cerere],0)))&amp;"")&amp;":"&amp;IF(ISBLANK(INDEX(tTQMCereri[Material],MATCH(tTQMOferte[[#This Row],[ID_cerere]],tTQMCereri[ID_cerere],0))),"",INDEX(tTQMCereri[Material],MATCH(tTQMOferte[[#This Row],[ID_cerere]],tTQMCereri[ID_cerere],0)))&amp;"|"&amp;LEN(IF(ISBLANK(INDEX(tTQMCereri[UM],MATCH(tTQMOferte[[#This Row],[ID_cerere]],tTQMCereri[ID_cerere],0))),"",INDEX(tTQMCereri[UM],MATCH(tTQMOferte[[#This Row],[ID_cerere]],tTQMCereri[ID_cerere],0)))&amp;"")&amp;":"&amp;IF(ISBLANK(INDEX(tTQMCereri[UM],MATCH(tTQMOferte[[#This Row],[ID_cerere]],tTQMCereri[ID_cerere],0))),"",INDEX(tTQMCereri[UM],MATCH(tTQMOferte[[#This Row],[ID_cerere]],tTQMCereri[ID_cerere],0)))&amp;"|"&amp;LEN(IF(ISBLANK(INDEX(tTQMCereri[Cantitate],MATCH(tTQMOferte[[#This Row],[ID_cerere]],tTQMCereri[ID_cerere],0))),"",INDEX(tTQMCereri[Cantitate],MATCH(tTQMOferte[[#This Row],[ID_cerere]],tTQMCereri[ID_cerere],0)))&amp;"")&amp;":"&amp;IF(ISBLANK(INDEX(tTQMCereri[Cantitate],MATCH(tTQMOferte[[#This Row],[ID_cerere]],tTQMCereri[ID_cerere],0))),"",INDEX(tTQMCereri[Cantitate],MATCH(tTQMOferte[[#This Row],[ID_cerere]],tTQMCereri[ID_cerere],0)))&amp;"|"&amp;LEN(IF(ISBLANK(INDEX(tTQMCereri[Data_necesara],MATCH(tTQMOferte[[#This Row],[ID_cerere]],tTQMCereri[ID_cerere],0))),"",INDEX(tTQMCereri[Data_necesara],MATCH(tTQMOferte[[#This Row],[ID_cerere]],tTQMCereri[ID_cerere],0)))&amp;"")&amp;":"&amp;IF(ISBLANK(INDEX(tTQMCereri[Data_necesara],MATCH(tTQMOferte[[#This Row],[ID_cerere]],tTQMCereri[ID_cerere],0))),"",INDEX(tTQMCereri[Data_necesara],MATCH(tTQMOferte[[#This Row],[ID_cerere]],tTQMCereri[ID_cerere],0)))&amp;"|"&amp;LEN(IF(ISBLANK(INDEX(tTQMCereri[Specificatie],MATCH(tTQMOferte[[#This Row],[ID_cerere]],tTQMCereri[ID_cerere],0))),"",INDEX(tTQMCereri[Specificatie],MATCH(tTQMOferte[[#This Row],[ID_cerere]],tTQMCereri[ID_cerere],0)))&amp;"")&amp;":"&amp;IF(ISBLANK(INDEX(tTQMCereri[Specificatie],MATCH(tTQMOferte[[#This Row],[ID_cerere]],tTQMCereri[ID_cerere],0))),"",INDEX(tTQMCereri[Specificatie],MATCH(tTQMOferte[[#This Row],[ID_cerere]],tTQMCereri[ID_cerere],0)))&amp;"|"&amp;LEN(IF(ISBLANK(INDEX(tTQMCereri[Buget_RON],MATCH(tTQMOferte[[#This Row],[ID_cerere]],tTQMCereri[ID_cerere],0))),"",INDEX(tTQMCereri[Buget_RON],MATCH(tTQMOferte[[#This Row],[ID_cerere]],tTQMCereri[ID_cerere],0)))&amp;"")&amp;":"&amp;IF(ISBLANK(INDEX(tTQMCereri[Buget_RON],MATCH(tTQMOferte[[#This Row],[ID_cerere]],tTQMCereri[ID_cerere],0))),"",INDEX(tTQMCereri[Buget_RON],MATCH(tTQMOferte[[#This Row],[ID_cerere]],tTQMCereri[ID_cerere],0))))</f>
        <v/>
      </c>
      <c r="W46" s="59"/>
      <c r="X46" s="66"/>
      <c r="Y46" s="59">
        <f>IF(IF(ISBLANK(tTQMOferte[[#This Row],[ID_oferta]]),"",tTQMOferte[[#This Row],[ID_oferta]])="",0,COUNTIFS(tTQMOferte[ID_cerere],IF(ISBLANK(tTQMOferte[[#This Row],[ID_cerere]]),"",tTQMOferte[[#This Row],[ID_cerere]]),tTQMOferte[Cost_sortare],"&lt;"&amp;tTQMOferte[[#This Row],[Cost_sortare]])+COUNTIFS($B$37:B46,IF(ISBLANK(tTQMOferte[[#This Row],[ID_cerere]]),"",tTQMOferte[[#This Row],[ID_cerere]]),$AC$37:AC46,tTQMOferte[[#This Row],[Cost_sortare]]))</f>
        <v>0</v>
      </c>
      <c r="Z46" s="59" t="str">
        <f>IF(IF(ISBLANK(tTQMOferte[[#This Row],[ID_oferta]]),"",tTQMOferte[[#This Row],[ID_oferta]])="","",tTQMOferte[[#This Row],[ID_cerere]]&amp;"#"&amp;tTQMOferte[[#This Row],[Rang_cost]])</f>
        <v/>
      </c>
      <c r="AA46" s="59">
        <f>IF(tTQMOferte[[#This Row],[Eligibila]]&lt;&gt;1,0,COUNTIFS(tTQMOferte[ID_cerere],IF(ISBLANK(tTQMOferte[[#This Row],[ID_cerere]]),"",tTQMOferte[[#This Row],[ID_cerere]]),tTQMOferte[Eligibila],1,tTQMOferte[Total_RON],"&lt;"&amp;tTQMOferte[[#This Row],[Total_RON]])+COUNTIFS($B$37:B46,IF(ISBLANK(tTQMOferte[[#This Row],[ID_cerere]]),"",tTQMOferte[[#This Row],[ID_cerere]]),$K$37:K46,1,$G$37:G46,tTQMOferte[[#This Row],[Total_RON]]))</f>
        <v>0</v>
      </c>
      <c r="AB46" s="59" t="str">
        <f>IF(tTQMOferte[[#This Row],[Rang_eligibil]]=1,tTQMOferte[[#This Row],[ID_cerere]],"")</f>
        <v/>
      </c>
      <c r="AC46" s="59">
        <f>IF(ISNUMBER(tTQMOferte[[#This Row],[Total_RON]]),tTQMOferte[[#This Row],[Total_RON]],1E+99)</f>
        <v>9.9999999999999997E+98</v>
      </c>
    </row>
    <row r="47" spans="1:29" ht="22.95" customHeight="1">
      <c r="A47" s="57"/>
      <c r="B47" s="57"/>
      <c r="C47" s="57"/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7"/>
      <c r="U47" s="57"/>
      <c r="V47" s="57"/>
      <c r="W47" s="57"/>
      <c r="X47" s="57"/>
      <c r="Y47" s="57"/>
      <c r="Z47" s="57"/>
      <c r="AA47" s="57"/>
      <c r="AB47" s="57"/>
      <c r="AC47" s="57"/>
    </row>
    <row r="48" spans="1:29" ht="22.95" customHeight="1">
      <c r="A48" s="57"/>
      <c r="B48" s="57"/>
      <c r="C48" s="57"/>
      <c r="D48" s="57"/>
      <c r="E48" s="57"/>
      <c r="F48" s="57"/>
      <c r="G48" s="57"/>
      <c r="H48" s="57"/>
      <c r="I48" s="57"/>
      <c r="J48" s="57"/>
      <c r="K48" s="57"/>
      <c r="L48" s="57"/>
      <c r="M48" s="57"/>
      <c r="N48" s="57"/>
      <c r="O48" s="57"/>
      <c r="P48" s="57"/>
      <c r="Q48" s="57"/>
      <c r="R48" s="57"/>
      <c r="S48" s="57"/>
      <c r="T48" s="57"/>
      <c r="U48" s="57"/>
      <c r="V48" s="57"/>
      <c r="W48" s="57"/>
      <c r="X48" s="57"/>
      <c r="Y48" s="57"/>
      <c r="Z48" s="57"/>
      <c r="AA48" s="57"/>
      <c r="AB48" s="57"/>
      <c r="AC48" s="57"/>
    </row>
  </sheetData>
  <mergeCells count="64">
    <mergeCell ref="A20:L20"/>
    <mergeCell ref="A22:L22"/>
    <mergeCell ref="A34:L34"/>
    <mergeCell ref="A18:B18"/>
    <mergeCell ref="C18:D18"/>
    <mergeCell ref="E18:F18"/>
    <mergeCell ref="G18:H18"/>
    <mergeCell ref="I18:J18"/>
    <mergeCell ref="K18:L18"/>
    <mergeCell ref="K17:L17"/>
    <mergeCell ref="A16:B16"/>
    <mergeCell ref="C16:D16"/>
    <mergeCell ref="E16:F16"/>
    <mergeCell ref="G16:H16"/>
    <mergeCell ref="I16:J16"/>
    <mergeCell ref="K16:L16"/>
    <mergeCell ref="A17:B17"/>
    <mergeCell ref="C17:D17"/>
    <mergeCell ref="E17:F17"/>
    <mergeCell ref="G17:H17"/>
    <mergeCell ref="I17:J17"/>
    <mergeCell ref="K15:L15"/>
    <mergeCell ref="A14:B14"/>
    <mergeCell ref="C14:D14"/>
    <mergeCell ref="E14:F14"/>
    <mergeCell ref="G14:H14"/>
    <mergeCell ref="I14:J14"/>
    <mergeCell ref="K14:L14"/>
    <mergeCell ref="A15:B15"/>
    <mergeCell ref="C15:D15"/>
    <mergeCell ref="E15:F15"/>
    <mergeCell ref="G15:H15"/>
    <mergeCell ref="I15:J15"/>
    <mergeCell ref="K13:L13"/>
    <mergeCell ref="A12:B12"/>
    <mergeCell ref="C12:D12"/>
    <mergeCell ref="E12:F12"/>
    <mergeCell ref="G12:H12"/>
    <mergeCell ref="I12:J12"/>
    <mergeCell ref="K12:L12"/>
    <mergeCell ref="A13:B13"/>
    <mergeCell ref="C13:D13"/>
    <mergeCell ref="E13:F13"/>
    <mergeCell ref="G13:H13"/>
    <mergeCell ref="I13:J13"/>
    <mergeCell ref="A10:L10"/>
    <mergeCell ref="A5:C5"/>
    <mergeCell ref="A6:C7"/>
    <mergeCell ref="D5:F5"/>
    <mergeCell ref="D6:F7"/>
    <mergeCell ref="G5:I5"/>
    <mergeCell ref="G6:I7"/>
    <mergeCell ref="J5:L5"/>
    <mergeCell ref="J6:L7"/>
    <mergeCell ref="A9:B9"/>
    <mergeCell ref="C9:F9"/>
    <mergeCell ref="G9:L9"/>
    <mergeCell ref="A2:L2"/>
    <mergeCell ref="A3:B3"/>
    <mergeCell ref="C3:D3"/>
    <mergeCell ref="E3:F3"/>
    <mergeCell ref="G3:H3"/>
    <mergeCell ref="I3:J3"/>
    <mergeCell ref="K3:L3"/>
  </mergeCells>
  <dataValidations count="3">
    <dataValidation type="list" allowBlank="1" showInputMessage="1" showErrorMessage="1" sqref="C9:F9" xr:uid="{E4C63FC4-0554-4447-9EBF-0035E5B29075}">
      <formula1>INDIRECT("tTQMCereri[ID_cerere]")</formula1>
    </dataValidation>
    <dataValidation type="list" allowBlank="1" showInputMessage="1" showErrorMessage="1" error="Alegeti o valoare activa din lista." sqref="H24:H28" xr:uid="{A916EFCA-695C-43AD-BE40-79F1C4642DAA}">
      <formula1>TQM_SL_PRIORITATE</formula1>
    </dataValidation>
    <dataValidation type="list" allowBlank="1" showInputMessage="1" showErrorMessage="1" error="Alegeti o valoare activa din lista." sqref="J37:J46" xr:uid="{367A7475-E578-4AD5-8048-F3FA6698E04B}">
      <formula1>TQM_SL_CONFORM_TEHNIC</formula1>
    </dataValidation>
  </dataValidations>
  <pageMargins left="0.7" right="0.7" top="0.75" bottom="0.75" header="0.3" footer="0.3"/>
  <pageSetup orientation="portrait" r:id="rId1"/>
  <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2563EB"/>
  </sheetPr>
  <dimension ref="A1:X20"/>
  <sheetViews>
    <sheetView showGridLines="0" tabSelected="1" zoomScale="85" zoomScaleNormal="85" workbookViewId="0">
      <pane xSplit="2" ySplit="12" topLeftCell="C13" activePane="bottomRight" state="frozen"/>
      <selection pane="bottomRight" activeCell="C13" sqref="C13"/>
    </sheetView>
  </sheetViews>
  <sheetFormatPr defaultRowHeight="14.4"/>
  <cols>
    <col min="1" max="1" width="16.77734375" customWidth="1"/>
    <col min="2" max="2" width="19.77734375" customWidth="1"/>
    <col min="3" max="3" width="14.77734375" style="45" customWidth="1"/>
    <col min="4" max="4" width="28.77734375" customWidth="1"/>
    <col min="5" max="5" width="25.77734375" customWidth="1"/>
    <col min="6" max="6" width="14.77734375" customWidth="1"/>
    <col min="7" max="7" width="19.77734375" customWidth="1"/>
    <col min="8" max="8" width="14.77734375" style="45" customWidth="1"/>
    <col min="9" max="9" width="17.77734375" customWidth="1"/>
    <col min="10" max="10" width="12.77734375" customWidth="1"/>
    <col min="11" max="12" width="19.77734375" style="48" customWidth="1"/>
    <col min="13" max="13" width="24.77734375" customWidth="1"/>
    <col min="14" max="14" width="16.77734375" customWidth="1"/>
    <col min="15" max="15" width="17.77734375" style="48" customWidth="1"/>
    <col min="16" max="16" width="18.77734375" style="48" customWidth="1"/>
    <col min="17" max="17" width="24.77734375" customWidth="1"/>
    <col min="18" max="18" width="30.77734375" customWidth="1"/>
    <col min="19" max="19" width="35.77734375" customWidth="1"/>
    <col min="20" max="20" width="12.77734375" customWidth="1"/>
    <col min="21" max="21" width="20.77734375" customWidth="1"/>
    <col min="22" max="22" width="22.77734375" style="51" customWidth="1"/>
  </cols>
  <sheetData>
    <row r="1" spans="1:24" ht="22.95" customHeight="1">
      <c r="A1" s="37"/>
      <c r="B1" s="37"/>
      <c r="C1" s="43"/>
      <c r="D1" s="37"/>
      <c r="E1" s="37"/>
      <c r="F1" s="37"/>
      <c r="G1" s="37"/>
      <c r="H1" s="43"/>
      <c r="I1" s="37"/>
      <c r="J1" s="37"/>
      <c r="K1" s="46"/>
      <c r="L1" s="46"/>
      <c r="M1" s="37"/>
      <c r="N1" s="37"/>
      <c r="O1" s="46"/>
      <c r="P1" s="46"/>
      <c r="Q1" s="37"/>
      <c r="R1" s="37"/>
      <c r="S1" s="37"/>
      <c r="T1" s="37"/>
      <c r="U1" s="37"/>
      <c r="V1" s="49"/>
      <c r="W1" s="1"/>
      <c r="X1" s="1" t="s">
        <v>54</v>
      </c>
    </row>
    <row r="2" spans="1:24" ht="22.95" customHeight="1">
      <c r="A2" s="174" t="s">
        <v>1170</v>
      </c>
      <c r="B2" s="174"/>
      <c r="C2" s="174"/>
      <c r="D2" s="174"/>
      <c r="E2" s="174"/>
      <c r="F2" s="174"/>
      <c r="G2" s="174"/>
      <c r="H2" s="174"/>
      <c r="I2" s="174"/>
      <c r="J2" s="174"/>
      <c r="K2" s="174"/>
      <c r="L2" s="174"/>
      <c r="M2" s="174"/>
      <c r="N2" s="37"/>
      <c r="O2" s="46"/>
      <c r="P2" s="46"/>
      <c r="Q2" s="37"/>
      <c r="R2" s="37"/>
      <c r="S2" s="37"/>
      <c r="T2" s="37"/>
      <c r="U2" s="37"/>
      <c r="V2" s="49"/>
      <c r="W2" s="1"/>
      <c r="X2" s="1"/>
    </row>
    <row r="3" spans="1:24" ht="22.95" customHeight="1">
      <c r="A3" s="173" t="s">
        <v>1171</v>
      </c>
      <c r="B3" s="173"/>
      <c r="C3" s="173"/>
      <c r="D3" s="173"/>
      <c r="E3" s="173"/>
      <c r="F3" s="173"/>
      <c r="G3" s="173"/>
      <c r="H3" s="173"/>
      <c r="I3" s="173"/>
      <c r="J3" s="173"/>
      <c r="K3" s="173"/>
      <c r="L3" s="173"/>
      <c r="M3" s="173"/>
      <c r="N3" s="37"/>
      <c r="O3" s="46"/>
      <c r="P3" s="46"/>
      <c r="Q3" s="37"/>
      <c r="R3" s="37"/>
      <c r="S3" s="37"/>
      <c r="T3" s="37"/>
      <c r="U3" s="37"/>
      <c r="V3" s="49"/>
      <c r="W3" s="1"/>
      <c r="X3" s="1"/>
    </row>
    <row r="4" spans="1:24" ht="22.95" customHeight="1">
      <c r="A4" s="37"/>
      <c r="B4" s="37"/>
      <c r="C4" s="43"/>
      <c r="D4" s="37"/>
      <c r="E4" s="37"/>
      <c r="F4" s="37"/>
      <c r="G4" s="37"/>
      <c r="H4" s="43"/>
      <c r="I4" s="37"/>
      <c r="J4" s="37"/>
      <c r="K4" s="46"/>
      <c r="L4" s="46"/>
      <c r="M4" s="37"/>
      <c r="N4" s="37"/>
      <c r="O4" s="46"/>
      <c r="P4" s="46"/>
      <c r="Q4" s="37"/>
      <c r="R4" s="37"/>
      <c r="S4" s="37"/>
      <c r="T4" s="37"/>
      <c r="U4" s="37"/>
      <c r="V4" s="49"/>
      <c r="W4" s="1"/>
      <c r="X4" s="1"/>
    </row>
    <row r="5" spans="1:24" ht="22.95" customHeight="1">
      <c r="A5" s="37"/>
      <c r="B5" s="37"/>
      <c r="C5" s="43"/>
      <c r="D5" s="37"/>
      <c r="E5" s="37"/>
      <c r="F5" s="37"/>
      <c r="G5" s="37"/>
      <c r="H5" s="43"/>
      <c r="I5" s="37"/>
      <c r="J5" s="37"/>
      <c r="K5" s="46"/>
      <c r="L5" s="46"/>
      <c r="M5" s="37"/>
      <c r="N5" s="37"/>
      <c r="O5" s="46"/>
      <c r="P5" s="46"/>
      <c r="Q5" s="37"/>
      <c r="R5" s="37"/>
      <c r="S5" s="37"/>
      <c r="T5" s="37"/>
      <c r="U5" s="37"/>
      <c r="V5" s="49"/>
      <c r="W5" s="1"/>
      <c r="X5" s="1"/>
    </row>
    <row r="6" spans="1:24" ht="22.95" customHeight="1">
      <c r="A6" s="37"/>
      <c r="B6" s="37"/>
      <c r="C6" s="43"/>
      <c r="D6" s="37"/>
      <c r="E6" s="37"/>
      <c r="F6" s="37"/>
      <c r="G6" s="37"/>
      <c r="H6" s="43"/>
      <c r="I6" s="37"/>
      <c r="J6" s="37"/>
      <c r="K6" s="46"/>
      <c r="L6" s="46"/>
      <c r="M6" s="37"/>
      <c r="N6" s="37"/>
      <c r="O6" s="46"/>
      <c r="P6" s="46"/>
      <c r="Q6" s="37"/>
      <c r="R6" s="37"/>
      <c r="S6" s="37"/>
      <c r="T6" s="37"/>
      <c r="U6" s="37"/>
      <c r="V6" s="49"/>
      <c r="W6" s="1"/>
      <c r="X6" s="1"/>
    </row>
    <row r="7" spans="1:24" ht="22.95" customHeight="1">
      <c r="A7" s="37"/>
      <c r="B7" s="37"/>
      <c r="C7" s="43"/>
      <c r="D7" s="37"/>
      <c r="E7" s="37"/>
      <c r="F7" s="37"/>
      <c r="G7" s="37"/>
      <c r="H7" s="43"/>
      <c r="I7" s="37"/>
      <c r="J7" s="37"/>
      <c r="K7" s="46"/>
      <c r="L7" s="46"/>
      <c r="M7" s="37"/>
      <c r="N7" s="37"/>
      <c r="O7" s="46"/>
      <c r="P7" s="46"/>
      <c r="Q7" s="37"/>
      <c r="R7" s="37"/>
      <c r="S7" s="37"/>
      <c r="T7" s="37"/>
      <c r="U7" s="37"/>
      <c r="V7" s="49"/>
      <c r="W7" s="1"/>
      <c r="X7" s="1"/>
    </row>
    <row r="8" spans="1:24" ht="22.95" customHeight="1">
      <c r="A8" s="175" t="s">
        <v>1173</v>
      </c>
      <c r="B8" s="175"/>
      <c r="C8" s="175"/>
      <c r="D8" s="37"/>
      <c r="E8" s="177" t="s">
        <v>56</v>
      </c>
      <c r="F8" s="177"/>
      <c r="G8" s="177"/>
      <c r="H8" s="43"/>
      <c r="I8" s="179" t="s">
        <v>1174</v>
      </c>
      <c r="J8" s="179"/>
      <c r="K8" s="179"/>
      <c r="L8" s="46"/>
      <c r="M8" s="181" t="s">
        <v>1175</v>
      </c>
      <c r="N8" s="181"/>
      <c r="O8" s="181"/>
      <c r="P8" s="46"/>
      <c r="Q8" s="37"/>
      <c r="R8" s="37"/>
      <c r="S8" s="37"/>
      <c r="T8" s="37"/>
      <c r="U8" s="37"/>
      <c r="V8" s="49"/>
      <c r="W8" s="1"/>
      <c r="X8" s="1"/>
    </row>
    <row r="9" spans="1:24" ht="22.95" customHeight="1">
      <c r="A9" s="176">
        <f>COUNTIFS(tTQMComenzi[ID_comanda],"&lt;&gt;")</f>
        <v>0</v>
      </c>
      <c r="B9" s="176"/>
      <c r="C9" s="176"/>
      <c r="D9" s="37"/>
      <c r="E9" s="178">
        <f>COUNTIFS(tTQMComenzi[Stare],"Trimisa",tTQMComenzi[Livrare],"DE PRIMIT")+COUNTIFS(tTQMComenzi[Stare],"Trimisa",tTQMComenzi[Livrare],"LIVRARE PARTIALA")+COUNTIFS(tTQMComenzi[Stare],"Confirmata",tTQMComenzi[Livrare],"DE PRIMIT")+COUNTIFS(tTQMComenzi[Stare],"Confirmata",tTQMComenzi[Livrare],"LIVRARE PARTIALA")</f>
        <v>0</v>
      </c>
      <c r="F9" s="178"/>
      <c r="G9" s="178"/>
      <c r="H9" s="43"/>
      <c r="I9" s="180">
        <f ca="1">COUNTIFS(tTQMComenzi[Pozitii_intarziate],"&gt;0")</f>
        <v>0</v>
      </c>
      <c r="J9" s="180"/>
      <c r="K9" s="180"/>
      <c r="L9" s="46"/>
      <c r="M9" s="182">
        <f>SUMIFS(tTQMComenzi[De_primit_RON],tTQMComenzi[Stare],"Trimisa")+SUMIFS(tTQMComenzi[De_primit_RON],tTQMComenzi[Stare],"Confirmata")</f>
        <v>0</v>
      </c>
      <c r="N9" s="183"/>
      <c r="O9" s="183"/>
      <c r="P9" s="46"/>
      <c r="Q9" s="37"/>
      <c r="R9" s="37"/>
      <c r="S9" s="37"/>
      <c r="T9" s="37"/>
      <c r="U9" s="37"/>
      <c r="V9" s="49"/>
      <c r="W9" s="1"/>
      <c r="X9" s="1"/>
    </row>
    <row r="10" spans="1:24" ht="22.95" customHeight="1">
      <c r="A10" s="37"/>
      <c r="B10" s="37"/>
      <c r="C10" s="43"/>
      <c r="D10" s="37"/>
      <c r="E10" s="37"/>
      <c r="F10" s="37"/>
      <c r="G10" s="37"/>
      <c r="H10" s="43"/>
      <c r="I10" s="37"/>
      <c r="J10" s="37"/>
      <c r="K10" s="46"/>
      <c r="L10" s="46"/>
      <c r="M10" s="37"/>
      <c r="N10" s="37"/>
      <c r="O10" s="46"/>
      <c r="P10" s="46"/>
      <c r="Q10" s="37"/>
      <c r="R10" s="37"/>
      <c r="S10" s="37"/>
      <c r="T10" s="37"/>
      <c r="U10" s="37"/>
      <c r="V10" s="49"/>
      <c r="W10" s="1"/>
      <c r="X10" s="1"/>
    </row>
    <row r="11" spans="1:24" ht="22.95" customHeight="1">
      <c r="A11" s="173" t="s">
        <v>1172</v>
      </c>
      <c r="B11" s="173"/>
      <c r="C11" s="173"/>
      <c r="D11" s="173"/>
      <c r="E11" s="173"/>
      <c r="F11" s="173"/>
      <c r="G11" s="173"/>
      <c r="H11" s="173"/>
      <c r="I11" s="173"/>
      <c r="J11" s="173"/>
      <c r="K11" s="173"/>
      <c r="L11" s="173"/>
      <c r="M11" s="173"/>
      <c r="N11" s="173"/>
      <c r="O11" s="173"/>
      <c r="P11" s="46"/>
      <c r="Q11" s="37"/>
      <c r="R11" s="37"/>
      <c r="S11" s="37"/>
      <c r="T11" s="37"/>
      <c r="U11" s="37"/>
      <c r="V11" s="49"/>
      <c r="W11" s="1"/>
      <c r="X11" s="1"/>
    </row>
    <row r="12" spans="1:24" ht="42" customHeight="1">
      <c r="A12" s="42" t="s">
        <v>57</v>
      </c>
      <c r="B12" s="42" t="s">
        <v>58</v>
      </c>
      <c r="C12" s="44" t="s">
        <v>59</v>
      </c>
      <c r="D12" s="42" t="s">
        <v>21</v>
      </c>
      <c r="E12" s="42" t="s">
        <v>60</v>
      </c>
      <c r="F12" s="42" t="s">
        <v>61</v>
      </c>
      <c r="G12" s="42" t="s">
        <v>62</v>
      </c>
      <c r="H12" s="44" t="s">
        <v>63</v>
      </c>
      <c r="I12" s="42" t="s">
        <v>64</v>
      </c>
      <c r="J12" s="42" t="s">
        <v>65</v>
      </c>
      <c r="K12" s="47" t="s">
        <v>66</v>
      </c>
      <c r="L12" s="47" t="s">
        <v>67</v>
      </c>
      <c r="M12" s="42" t="s">
        <v>68</v>
      </c>
      <c r="N12" s="42" t="s">
        <v>69</v>
      </c>
      <c r="O12" s="47" t="s">
        <v>70</v>
      </c>
      <c r="P12" s="47" t="s">
        <v>71</v>
      </c>
      <c r="Q12" s="42" t="s">
        <v>72</v>
      </c>
      <c r="R12" s="42" t="s">
        <v>73</v>
      </c>
      <c r="S12" s="42" t="s">
        <v>13</v>
      </c>
      <c r="T12" s="42" t="s">
        <v>74</v>
      </c>
      <c r="U12" s="42" t="s">
        <v>75</v>
      </c>
      <c r="V12" s="50" t="s">
        <v>76</v>
      </c>
      <c r="W12" s="1"/>
      <c r="X12" s="1"/>
    </row>
    <row r="13" spans="1:24" ht="24" customHeight="1">
      <c r="A13" s="1"/>
      <c r="B13" s="1"/>
      <c r="C13" s="2"/>
      <c r="D13" s="1"/>
      <c r="E13" s="1"/>
      <c r="F13" s="1"/>
      <c r="G13" s="1"/>
      <c r="H13" s="2"/>
      <c r="I13" s="1"/>
      <c r="J13" s="1" t="str">
        <f>IF($A13="","",COUNTIFS(_TQM_CF_POZ!$B$2:$B$3,$A13))</f>
        <v/>
      </c>
      <c r="K13" s="6" t="str">
        <f>IF($A13="","",SUMIFS(_TQM_CF_POZ!$M$2:$M$3,_TQM_CF_POZ!$B$2:$B$3,$A13)+$O13+$P13)</f>
        <v/>
      </c>
      <c r="L13" s="6" t="str">
        <f>IF($A13="","",SUMIFS(_TQM_CF_POZ!$N$2:$N$3,_TQM_CF_POZ!$B$2:$B$3,$A13))</f>
        <v/>
      </c>
      <c r="M13" s="1" t="str">
        <f>IF($A13="","",IF($J13=0,"FARA POZITII",IF($I13="Ciorna","CIORNA",IF(COUNTIFS(_TQM_CF_POZ!$B$2:$B$3,$A13,_TQM_CF_POZ!$L$2:$L$3,"&gt;0")=0,IF(SUMIFS(_TQM_CF_POZ!$K$2:$K$3,_TQM_CF_POZ!$B$2:$B$3,$A13)&gt;0,IF(SUMIFS(_TQM_CF_POZ!$J$2:$J$3,_TQM_CF_POZ!$B$2:$B$3,$A13)&gt;0,"INCHISA PARTIAL","ANULATA"),"PRIMITA INTEGRAL"),IF(SUMIFS(_TQM_CF_POZ!$J$2:$J$3,_TQM_CF_POZ!$B$2:$B$3,$A13)&gt;0,"LIVRARE PARTIALA","DE PRIMIT")))))</f>
        <v/>
      </c>
      <c r="N13" s="1" t="str">
        <f ca="1">IF($A13="","",IF(OR($I13="Trimisa",$I13="Confirmata"),COUNTIFS(_TQM_CF_POZ!$B$2:$B$3,$A13,_TQM_CF_POZ!$O$2:$O$3,"&lt;"&amp;TODAY(),_TQM_CF_POZ!$L$2:$L$3,"&gt;0"),0))</f>
        <v/>
      </c>
      <c r="O13" s="6"/>
      <c r="P13" s="6"/>
      <c r="Q13" s="1"/>
      <c r="R13" s="1"/>
      <c r="S13" s="1"/>
      <c r="T13" s="1"/>
      <c r="U13" s="1"/>
      <c r="V13" s="4"/>
      <c r="W13" s="1"/>
      <c r="X13" s="1"/>
    </row>
    <row r="14" spans="1:24" ht="24" customHeight="1">
      <c r="C14" s="3"/>
      <c r="H14" s="3"/>
      <c r="K14" s="7"/>
      <c r="L14" s="7"/>
      <c r="O14" s="7"/>
      <c r="P14" s="7"/>
      <c r="V14" s="5"/>
    </row>
    <row r="15" spans="1:24" ht="24" customHeight="1">
      <c r="C15" s="3"/>
      <c r="H15" s="3"/>
      <c r="K15" s="7"/>
      <c r="L15" s="7"/>
      <c r="O15" s="7"/>
      <c r="P15" s="7"/>
      <c r="V15" s="5"/>
    </row>
    <row r="16" spans="1:24" ht="24" customHeight="1">
      <c r="C16" s="3"/>
      <c r="H16" s="3"/>
      <c r="K16" s="7"/>
      <c r="L16" s="7"/>
      <c r="O16" s="7"/>
      <c r="P16" s="7"/>
      <c r="V16" s="5"/>
    </row>
    <row r="17" spans="3:22" ht="24" customHeight="1">
      <c r="C17" s="3"/>
      <c r="H17" s="3"/>
      <c r="K17" s="7"/>
      <c r="L17" s="7"/>
      <c r="O17" s="7"/>
      <c r="P17" s="7"/>
      <c r="V17" s="5"/>
    </row>
    <row r="18" spans="3:22" ht="24" customHeight="1">
      <c r="C18" s="3"/>
      <c r="H18" s="3"/>
      <c r="K18" s="7"/>
      <c r="L18" s="7"/>
      <c r="O18" s="7"/>
      <c r="P18" s="7"/>
      <c r="V18" s="5"/>
    </row>
    <row r="19" spans="3:22" ht="24" customHeight="1">
      <c r="C19" s="3"/>
      <c r="H19" s="3"/>
      <c r="K19" s="7"/>
      <c r="L19" s="7"/>
      <c r="O19" s="7"/>
      <c r="P19" s="7"/>
      <c r="V19" s="5"/>
    </row>
    <row r="20" spans="3:22" ht="24" customHeight="1">
      <c r="C20" s="3"/>
      <c r="H20" s="3"/>
      <c r="K20" s="7"/>
      <c r="L20" s="7"/>
      <c r="O20" s="7"/>
      <c r="P20" s="7"/>
      <c r="V20" s="5"/>
    </row>
  </sheetData>
  <sheetProtection sheet="1" objects="1" scenarios="1" autoFilter="0"/>
  <mergeCells count="11">
    <mergeCell ref="A11:O11"/>
    <mergeCell ref="A2:M2"/>
    <mergeCell ref="A3:M3"/>
    <mergeCell ref="A8:C8"/>
    <mergeCell ref="A9:C9"/>
    <mergeCell ref="E8:G8"/>
    <mergeCell ref="E9:G9"/>
    <mergeCell ref="I8:K8"/>
    <mergeCell ref="I9:K9"/>
    <mergeCell ref="M8:O8"/>
    <mergeCell ref="M9:O9"/>
  </mergeCells>
  <conditionalFormatting sqref="M13:M5012">
    <cfRule type="expression" dxfId="305" priority="7" stopIfTrue="1">
      <formula>$M13="LIVRARE PARTIALA"</formula>
    </cfRule>
    <cfRule type="expression" dxfId="304" priority="8" stopIfTrue="1">
      <formula>$M13="PRIMITA INTEGRAL"</formula>
    </cfRule>
  </conditionalFormatting>
  <conditionalFormatting sqref="N13:N5012">
    <cfRule type="expression" dxfId="303" priority="9" stopIfTrue="1">
      <formula>$N13&gt;0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S3"/>
  <sheetViews>
    <sheetView showGridLines="0" zoomScale="85" workbookViewId="0"/>
  </sheetViews>
  <sheetFormatPr defaultRowHeight="14.4"/>
  <cols>
    <col min="1" max="19" width="18" customWidth="1"/>
  </cols>
  <sheetData>
    <row r="1" spans="1:19">
      <c r="A1" s="1" t="s">
        <v>77</v>
      </c>
      <c r="B1" s="1" t="s">
        <v>57</v>
      </c>
      <c r="C1" s="1" t="s">
        <v>78</v>
      </c>
      <c r="D1" s="1" t="s">
        <v>79</v>
      </c>
      <c r="E1" s="1" t="s">
        <v>80</v>
      </c>
      <c r="F1" s="1" t="s">
        <v>81</v>
      </c>
      <c r="G1" s="1" t="s">
        <v>82</v>
      </c>
      <c r="H1" s="1" t="s">
        <v>83</v>
      </c>
      <c r="I1" s="1" t="s">
        <v>84</v>
      </c>
      <c r="J1" s="1" t="s">
        <v>85</v>
      </c>
      <c r="K1" s="1" t="s">
        <v>86</v>
      </c>
      <c r="L1" s="1" t="s">
        <v>87</v>
      </c>
      <c r="M1" s="1" t="s">
        <v>88</v>
      </c>
      <c r="N1" s="1" t="s">
        <v>89</v>
      </c>
      <c r="O1" s="1" t="s">
        <v>90</v>
      </c>
      <c r="P1" s="1" t="s">
        <v>60</v>
      </c>
      <c r="Q1" s="1" t="s">
        <v>91</v>
      </c>
      <c r="R1" s="1" t="s">
        <v>92</v>
      </c>
      <c r="S1" s="1" t="s">
        <v>13</v>
      </c>
    </row>
    <row r="2" spans="1:19">
      <c r="A2" s="1"/>
      <c r="B2" s="1"/>
      <c r="C2" s="1"/>
      <c r="D2" s="1"/>
      <c r="E2" s="1"/>
      <c r="F2" s="1"/>
      <c r="G2" s="6"/>
      <c r="H2" s="6"/>
      <c r="I2" s="6"/>
      <c r="J2" s="6" t="str">
        <f>IF($A2="","",SUMIFS(_TQM_CF_REC!$F$2:$F$3,_TQM_CF_REC!$B$2:$B$3,$A2,_TQM_CF_REC!$G$2:$G$3,"Valida"))</f>
        <v/>
      </c>
      <c r="K2" s="6"/>
      <c r="L2" s="6" t="str">
        <f t="shared" ref="L2:L3" si="0">IF($A2="","",MAX(0,ROUND($G2-$J2-$K2,6)))</f>
        <v/>
      </c>
      <c r="M2" s="6" t="str">
        <f t="shared" ref="M2:M3" si="1">IF($A2="","",ROUND($G2*$H2*(1-$I2/100),2))</f>
        <v/>
      </c>
      <c r="N2" s="6" t="str">
        <f t="shared" ref="N2:N3" si="2">IF($A2="","",ROUND($L2*$H2*(1-$I2/100),2))</f>
        <v/>
      </c>
      <c r="O2" s="2"/>
      <c r="P2" s="1"/>
      <c r="Q2" s="1"/>
      <c r="R2" s="1"/>
      <c r="S2" s="1"/>
    </row>
    <row r="3" spans="1:19">
      <c r="A3" s="1"/>
      <c r="B3" s="1"/>
      <c r="C3" s="1"/>
      <c r="D3" s="1"/>
      <c r="E3" s="1"/>
      <c r="F3" s="1"/>
      <c r="G3" s="1"/>
      <c r="H3" s="1"/>
      <c r="I3" s="1"/>
      <c r="J3" s="1" t="str">
        <f>IF($A3="","",SUMIFS(_TQM_CF_REC!$F$2:$F$3,_TQM_CF_REC!$B$2:$B$3,$A3,_TQM_CF_REC!$G$2:$G$3,"Valida"))</f>
        <v/>
      </c>
      <c r="K3" s="1"/>
      <c r="L3" s="1" t="str">
        <f t="shared" si="0"/>
        <v/>
      </c>
      <c r="M3" s="1" t="str">
        <f t="shared" si="1"/>
        <v/>
      </c>
      <c r="N3" s="1" t="str">
        <f t="shared" si="2"/>
        <v/>
      </c>
      <c r="O3" s="2"/>
      <c r="P3" s="1"/>
      <c r="Q3" s="1"/>
      <c r="R3" s="1"/>
      <c r="S3" s="1"/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K2"/>
  <sheetViews>
    <sheetView showGridLines="0" zoomScale="85" workbookViewId="0"/>
  </sheetViews>
  <sheetFormatPr defaultRowHeight="14.4"/>
  <cols>
    <col min="1" max="11" width="20" customWidth="1"/>
  </cols>
  <sheetData>
    <row r="1" spans="1:11">
      <c r="A1" s="1" t="s">
        <v>93</v>
      </c>
      <c r="B1" s="1" t="s">
        <v>77</v>
      </c>
      <c r="C1" s="1" t="s">
        <v>57</v>
      </c>
      <c r="D1" s="1" t="s">
        <v>5</v>
      </c>
      <c r="E1" s="1" t="s">
        <v>94</v>
      </c>
      <c r="F1" s="1" t="s">
        <v>95</v>
      </c>
      <c r="G1" s="1" t="s">
        <v>64</v>
      </c>
      <c r="H1" s="1" t="s">
        <v>96</v>
      </c>
      <c r="I1" s="1" t="s">
        <v>97</v>
      </c>
      <c r="J1" s="1" t="s">
        <v>98</v>
      </c>
      <c r="K1" s="1" t="s">
        <v>99</v>
      </c>
    </row>
    <row r="2" spans="1:11">
      <c r="D2" s="3"/>
      <c r="J2" s="5"/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rgb="FF2563EB"/>
  </sheetPr>
  <dimension ref="A1:O14"/>
  <sheetViews>
    <sheetView showGridLines="0" zoomScale="85" zoomScaleNormal="85" workbookViewId="0">
      <pane xSplit="1" ySplit="12" topLeftCell="B13" activePane="bottomRight" state="frozenSplit"/>
      <selection pane="topRight" activeCell="B1" sqref="B1"/>
      <selection pane="bottomLeft" activeCell="A13" sqref="A13"/>
      <selection pane="bottomRight" activeCell="B13" sqref="B13"/>
    </sheetView>
  </sheetViews>
  <sheetFormatPr defaultRowHeight="14.4"/>
  <cols>
    <col min="1" max="2" width="30.77734375" customWidth="1"/>
    <col min="3" max="3" width="9.77734375" customWidth="1"/>
    <col min="4" max="4" width="25.77734375" customWidth="1"/>
    <col min="5" max="6" width="15.77734375" style="53" customWidth="1"/>
    <col min="7" max="7" width="17.77734375" style="53" customWidth="1"/>
    <col min="8" max="8" width="16.77734375" style="53" customWidth="1"/>
    <col min="9" max="9" width="20.77734375" customWidth="1"/>
    <col min="10" max="12" width="18.77734375" hidden="1" customWidth="1"/>
    <col min="13" max="13" width="22.77734375" style="51" customWidth="1"/>
    <col min="15" max="15" width="0" hidden="1" customWidth="1"/>
  </cols>
  <sheetData>
    <row r="1" spans="1:15" ht="24" customHeight="1">
      <c r="A1" s="37"/>
      <c r="B1" s="37"/>
      <c r="C1" s="37"/>
      <c r="D1" s="37"/>
      <c r="E1" s="52"/>
      <c r="F1" s="52"/>
      <c r="G1" s="52"/>
      <c r="H1" s="52"/>
      <c r="I1" s="37"/>
      <c r="J1" s="37"/>
      <c r="K1" s="37"/>
      <c r="L1" s="37"/>
      <c r="M1" s="49"/>
      <c r="O1" t="s">
        <v>100</v>
      </c>
    </row>
    <row r="2" spans="1:15" ht="34.049999999999997" customHeight="1">
      <c r="A2" s="184" t="s">
        <v>1176</v>
      </c>
      <c r="B2" s="184"/>
      <c r="C2" s="184"/>
      <c r="D2" s="184"/>
      <c r="E2" s="184"/>
      <c r="F2" s="184"/>
      <c r="G2" s="184"/>
      <c r="H2" s="184"/>
      <c r="I2" s="184"/>
      <c r="J2" s="37"/>
      <c r="K2" s="37"/>
      <c r="L2" s="37"/>
      <c r="M2" s="49"/>
    </row>
    <row r="3" spans="1:15" ht="24" customHeight="1">
      <c r="A3" s="185" t="s">
        <v>1177</v>
      </c>
      <c r="B3" s="185"/>
      <c r="C3" s="185"/>
      <c r="D3" s="185"/>
      <c r="E3" s="185"/>
      <c r="F3" s="185"/>
      <c r="G3" s="185"/>
      <c r="H3" s="185"/>
      <c r="I3" s="185"/>
      <c r="J3" s="37"/>
      <c r="K3" s="37"/>
      <c r="L3" s="37"/>
      <c r="M3" s="49"/>
    </row>
    <row r="4" spans="1:15" ht="24" customHeight="1">
      <c r="A4" s="37"/>
      <c r="B4" s="37"/>
      <c r="C4" s="37"/>
      <c r="D4" s="37"/>
      <c r="E4" s="52"/>
      <c r="F4" s="52"/>
      <c r="G4" s="52"/>
      <c r="H4" s="52"/>
      <c r="I4" s="37"/>
      <c r="J4" s="37"/>
      <c r="K4" s="37"/>
      <c r="L4" s="37"/>
      <c r="M4" s="49"/>
    </row>
    <row r="5" spans="1:15" ht="24" customHeight="1">
      <c r="A5" s="37"/>
      <c r="B5" s="37"/>
      <c r="C5" s="37"/>
      <c r="D5" s="37"/>
      <c r="E5" s="52"/>
      <c r="F5" s="52"/>
      <c r="G5" s="52"/>
      <c r="H5" s="52"/>
      <c r="I5" s="37"/>
      <c r="J5" s="37"/>
      <c r="K5" s="37"/>
      <c r="L5" s="37"/>
      <c r="M5" s="49"/>
    </row>
    <row r="6" spans="1:15" ht="24" customHeight="1">
      <c r="A6" s="37"/>
      <c r="B6" s="37"/>
      <c r="C6" s="37"/>
      <c r="D6" s="37"/>
      <c r="E6" s="52"/>
      <c r="F6" s="52"/>
      <c r="G6" s="52"/>
      <c r="H6" s="52"/>
      <c r="I6" s="37"/>
      <c r="J6" s="37"/>
      <c r="K6" s="37"/>
      <c r="L6" s="37"/>
      <c r="M6" s="49"/>
    </row>
    <row r="7" spans="1:15" ht="24" customHeight="1">
      <c r="A7" s="37"/>
      <c r="B7" s="37"/>
      <c r="C7" s="37"/>
      <c r="D7" s="37"/>
      <c r="E7" s="52"/>
      <c r="F7" s="52"/>
      <c r="G7" s="52"/>
      <c r="H7" s="52"/>
      <c r="I7" s="37"/>
      <c r="J7" s="37"/>
      <c r="K7" s="37"/>
      <c r="L7" s="37"/>
      <c r="M7" s="49"/>
    </row>
    <row r="8" spans="1:15" ht="24" customHeight="1">
      <c r="A8" s="175" t="s">
        <v>1179</v>
      </c>
      <c r="B8" s="175"/>
      <c r="C8" s="177" t="s">
        <v>1180</v>
      </c>
      <c r="D8" s="177"/>
      <c r="E8" s="186" t="s">
        <v>1181</v>
      </c>
      <c r="F8" s="186"/>
      <c r="G8" s="179" t="s">
        <v>101</v>
      </c>
      <c r="H8" s="179"/>
      <c r="I8" s="179"/>
      <c r="J8" s="37"/>
      <c r="K8" s="37"/>
      <c r="L8" s="37"/>
      <c r="M8" s="49"/>
    </row>
    <row r="9" spans="1:15" ht="34.049999999999997" customHeight="1">
      <c r="A9" s="176">
        <f>COUNTIFS(tTQMSTMateriale[ID_material],"&lt;&gt;")</f>
        <v>0</v>
      </c>
      <c r="B9" s="176"/>
      <c r="C9" s="178">
        <f>COUNTIFS(tTQMSTLocatii[ID_locatie],"&lt;&gt;")</f>
        <v>0</v>
      </c>
      <c r="D9" s="178"/>
      <c r="E9" s="187">
        <f>COUNTIFS(tTQMStoc[Alerta],"SUB MINIM")</f>
        <v>0</v>
      </c>
      <c r="F9" s="187"/>
      <c r="G9" s="180">
        <f>COUNTIFS(tTQMStoc[Stoc_curent],"&lt;0")</f>
        <v>0</v>
      </c>
      <c r="H9" s="180"/>
      <c r="I9" s="180"/>
      <c r="J9" s="37"/>
      <c r="K9" s="37"/>
      <c r="L9" s="37"/>
      <c r="M9" s="49"/>
    </row>
    <row r="10" spans="1:15" ht="24" customHeight="1">
      <c r="A10" s="37"/>
      <c r="B10" s="37"/>
      <c r="C10" s="37"/>
      <c r="D10" s="37"/>
      <c r="E10" s="52"/>
      <c r="F10" s="52"/>
      <c r="G10" s="52"/>
      <c r="H10" s="52"/>
      <c r="I10" s="37"/>
      <c r="J10" s="37"/>
      <c r="K10" s="37"/>
      <c r="L10" s="37"/>
      <c r="M10" s="49"/>
    </row>
    <row r="11" spans="1:15" ht="24" customHeight="1">
      <c r="A11" s="185" t="s">
        <v>1178</v>
      </c>
      <c r="B11" s="185"/>
      <c r="C11" s="185"/>
      <c r="D11" s="185"/>
      <c r="E11" s="185"/>
      <c r="F11" s="185"/>
      <c r="G11" s="185"/>
      <c r="H11" s="185"/>
      <c r="I11" s="185"/>
      <c r="J11" s="37"/>
      <c r="K11" s="37"/>
      <c r="L11" s="37"/>
      <c r="M11" s="49"/>
    </row>
    <row r="12" spans="1:15" ht="37.950000000000003" customHeight="1">
      <c r="A12" s="54" t="s">
        <v>79</v>
      </c>
      <c r="B12" s="54" t="s">
        <v>80</v>
      </c>
      <c r="C12" s="54" t="s">
        <v>81</v>
      </c>
      <c r="D12" s="54" t="s">
        <v>102</v>
      </c>
      <c r="E12" s="55" t="s">
        <v>103</v>
      </c>
      <c r="F12" s="55" t="s">
        <v>104</v>
      </c>
      <c r="G12" s="55" t="s">
        <v>105</v>
      </c>
      <c r="H12" s="55" t="s">
        <v>106</v>
      </c>
      <c r="I12" s="54" t="s">
        <v>107</v>
      </c>
      <c r="J12" s="54" t="s">
        <v>108</v>
      </c>
      <c r="K12" s="54" t="s">
        <v>109</v>
      </c>
      <c r="L12" s="54" t="s">
        <v>110</v>
      </c>
      <c r="M12" s="56" t="s">
        <v>76</v>
      </c>
    </row>
    <row r="13" spans="1:15">
      <c r="A13" s="37"/>
      <c r="B13" s="37"/>
      <c r="C13" s="37"/>
      <c r="D13" s="37"/>
      <c r="E13" s="67" t="str">
        <f>IF($J13="","",SUMIFS(_TQM_ST_MISC!$G$2:$G$8,_TQM_ST_MISC!$E$2:$E$8,$J13,_TQM_ST_MISC!$F$2:$F$8,$K13,_TQM_ST_MISC!$N$2:$N$8,"Valida",_TQM_ST_MISC!$G$2:$G$8,"&gt;0"))</f>
        <v/>
      </c>
      <c r="F13" s="67" t="str">
        <f>IF($J13="","",-SUMIFS(_TQM_ST_MISC!$G$2:$G$8,_TQM_ST_MISC!$E$2:$E$8,$J13,_TQM_ST_MISC!$F$2:$F$8,$K13,_TQM_ST_MISC!$N$2:$N$8,"Valida",_TQM_ST_MISC!$G$2:$G$8,"&lt;0"))</f>
        <v/>
      </c>
      <c r="G13" s="67" t="str">
        <f t="shared" ref="G13:G14" si="0">IF($J13="","",ROUND($E13-$F13,6))</f>
        <v/>
      </c>
      <c r="H13" s="67"/>
      <c r="I13" s="37" t="str">
        <f t="shared" ref="I13:I14" si="1">IF($J13="","",IF($G13&lt;0,"STOC NEGATIV",IF($G13&lt;$H13,"SUB MINIM",IF($G13=0,"STOC ZERO","OK"))))</f>
        <v/>
      </c>
      <c r="J13" s="37"/>
      <c r="K13" s="37"/>
      <c r="L13" s="37"/>
      <c r="M13" s="68"/>
    </row>
    <row r="14" spans="1:15">
      <c r="A14" s="37"/>
      <c r="B14" s="37"/>
      <c r="C14" s="37"/>
      <c r="D14" s="37"/>
      <c r="E14" s="67" t="str">
        <f>IF($J14="","",SUMIFS(_TQM_ST_MISC!$G$2:$G$8,_TQM_ST_MISC!$E$2:$E$8,$J14,_TQM_ST_MISC!$F$2:$F$8,$K14,_TQM_ST_MISC!$N$2:$N$8,"Valida",_TQM_ST_MISC!$G$2:$G$8,"&gt;0"))</f>
        <v/>
      </c>
      <c r="F14" s="67" t="str">
        <f>IF($J14="","",-SUMIFS(_TQM_ST_MISC!$G$2:$G$8,_TQM_ST_MISC!$E$2:$E$8,$J14,_TQM_ST_MISC!$F$2:$F$8,$K14,_TQM_ST_MISC!$N$2:$N$8,"Valida",_TQM_ST_MISC!$G$2:$G$8,"&lt;0"))</f>
        <v/>
      </c>
      <c r="G14" s="67" t="str">
        <f t="shared" si="0"/>
        <v/>
      </c>
      <c r="H14" s="67"/>
      <c r="I14" s="37" t="str">
        <f t="shared" si="1"/>
        <v/>
      </c>
      <c r="J14" s="37"/>
      <c r="K14" s="37"/>
      <c r="L14" s="37"/>
      <c r="M14" s="68"/>
    </row>
  </sheetData>
  <sheetProtection sheet="1" objects="1" scenarios="1" autoFilter="0"/>
  <mergeCells count="11">
    <mergeCell ref="A2:I2"/>
    <mergeCell ref="A3:I3"/>
    <mergeCell ref="G8:I8"/>
    <mergeCell ref="G9:I9"/>
    <mergeCell ref="A11:I11"/>
    <mergeCell ref="A8:B8"/>
    <mergeCell ref="A9:B9"/>
    <mergeCell ref="C8:D8"/>
    <mergeCell ref="C9:D9"/>
    <mergeCell ref="E8:F8"/>
    <mergeCell ref="E9:F9"/>
  </mergeCells>
  <conditionalFormatting sqref="I13:I5012">
    <cfRule type="expression" dxfId="293" priority="1" stopIfTrue="1">
      <formula>$I13="SUB MINIM"</formula>
    </cfRule>
    <cfRule type="expression" dxfId="292" priority="2" stopIfTrue="1">
      <formula>$I13="STOC NEGATIV"</formula>
    </cfRule>
    <cfRule type="expression" dxfId="291" priority="3" stopIfTrue="1">
      <formula>$I13="STOC ZERO"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F1"/>
  <sheetViews>
    <sheetView showGridLines="0" zoomScale="85" workbookViewId="0"/>
  </sheetViews>
  <sheetFormatPr defaultRowHeight="14.4"/>
  <cols>
    <col min="1" max="6" width="20" customWidth="1"/>
  </cols>
  <sheetData>
    <row r="1" spans="1:6" ht="34.049999999999997" customHeight="1">
      <c r="A1" s="10" t="s">
        <v>108</v>
      </c>
      <c r="B1" s="10" t="s">
        <v>78</v>
      </c>
      <c r="C1" s="10" t="s">
        <v>111</v>
      </c>
      <c r="D1" s="10" t="s">
        <v>80</v>
      </c>
      <c r="E1" s="10" t="s">
        <v>81</v>
      </c>
      <c r="F1" s="10" t="s">
        <v>98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A1:C1"/>
  <sheetViews>
    <sheetView showGridLines="0" zoomScale="85" workbookViewId="0"/>
  </sheetViews>
  <sheetFormatPr defaultRowHeight="14.4"/>
  <cols>
    <col min="1" max="3" width="20" customWidth="1"/>
  </cols>
  <sheetData>
    <row r="1" spans="1:3" ht="34.049999999999997" customHeight="1">
      <c r="A1" s="10" t="s">
        <v>109</v>
      </c>
      <c r="B1" s="10" t="s">
        <v>111</v>
      </c>
      <c r="C1" s="10" t="s">
        <v>98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"/>
  <dimension ref="A1:U8"/>
  <sheetViews>
    <sheetView showGridLines="0" zoomScale="85" workbookViewId="0"/>
  </sheetViews>
  <sheetFormatPr defaultRowHeight="14.4"/>
  <cols>
    <col min="1" max="21" width="20" customWidth="1"/>
  </cols>
  <sheetData>
    <row r="1" spans="1:21" ht="34.049999999999997" customHeight="1">
      <c r="A1" s="10" t="s">
        <v>112</v>
      </c>
      <c r="B1" s="10" t="s">
        <v>113</v>
      </c>
      <c r="C1" s="69" t="s">
        <v>5</v>
      </c>
      <c r="D1" s="10" t="s">
        <v>114</v>
      </c>
      <c r="E1" s="10" t="s">
        <v>108</v>
      </c>
      <c r="F1" s="10" t="s">
        <v>109</v>
      </c>
      <c r="G1" s="10" t="s">
        <v>95</v>
      </c>
      <c r="H1" s="10" t="s">
        <v>94</v>
      </c>
      <c r="I1" s="10" t="s">
        <v>62</v>
      </c>
      <c r="J1" s="10" t="s">
        <v>13</v>
      </c>
      <c r="K1" s="10" t="s">
        <v>93</v>
      </c>
      <c r="L1" s="10" t="s">
        <v>77</v>
      </c>
      <c r="M1" s="10" t="s">
        <v>57</v>
      </c>
      <c r="N1" s="10" t="s">
        <v>64</v>
      </c>
      <c r="O1" s="10" t="s">
        <v>98</v>
      </c>
      <c r="P1" s="10" t="s">
        <v>115</v>
      </c>
      <c r="Q1" s="10" t="s">
        <v>116</v>
      </c>
      <c r="R1" s="10" t="s">
        <v>99</v>
      </c>
      <c r="S1" s="10" t="s">
        <v>60</v>
      </c>
      <c r="T1" s="10" t="s">
        <v>0</v>
      </c>
      <c r="U1" s="10" t="s">
        <v>96</v>
      </c>
    </row>
    <row r="2" spans="1:21">
      <c r="C2" s="11"/>
      <c r="G2" s="8"/>
      <c r="O2" s="9"/>
      <c r="P2" s="9"/>
    </row>
    <row r="3" spans="1:21">
      <c r="C3" s="11"/>
      <c r="G3" s="8"/>
      <c r="O3" s="9"/>
      <c r="P3" s="9"/>
    </row>
    <row r="4" spans="1:21">
      <c r="C4" s="11"/>
      <c r="G4" s="8"/>
      <c r="O4" s="9"/>
      <c r="P4" s="9"/>
    </row>
    <row r="5" spans="1:21">
      <c r="C5" s="11"/>
      <c r="G5" s="8"/>
      <c r="O5" s="9"/>
      <c r="P5" s="9"/>
    </row>
    <row r="6" spans="1:21">
      <c r="C6" s="11"/>
      <c r="G6" s="8"/>
      <c r="O6" s="9"/>
      <c r="P6" s="9"/>
    </row>
    <row r="7" spans="1:21">
      <c r="C7" s="11"/>
      <c r="G7" s="8"/>
      <c r="O7" s="9"/>
      <c r="P7" s="9"/>
    </row>
    <row r="8" spans="1:21">
      <c r="C8" s="11"/>
      <c r="G8" s="8"/>
      <c r="O8" s="9"/>
      <c r="P8" s="9"/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>
    <tabColor rgb="FF2563EB"/>
  </sheetPr>
  <dimension ref="A1:Z15"/>
  <sheetViews>
    <sheetView showGridLines="0" zoomScale="85" zoomScaleNormal="85" workbookViewId="0">
      <pane xSplit="3" ySplit="12" topLeftCell="D13" activePane="bottomRight" state="frozenSplit"/>
      <selection pane="topRight" activeCell="D1" sqref="D1"/>
      <selection pane="bottomLeft" activeCell="A13" sqref="A13"/>
      <selection pane="bottomRight" activeCell="D13" sqref="D13"/>
    </sheetView>
  </sheetViews>
  <sheetFormatPr defaultRowHeight="14.4"/>
  <cols>
    <col min="1" max="1" width="20.77734375" customWidth="1"/>
    <col min="2" max="2" width="14.77734375" style="45" customWidth="1"/>
    <col min="3" max="3" width="28.77734375" customWidth="1"/>
    <col min="4" max="4" width="18.77734375" customWidth="1"/>
    <col min="5" max="5" width="14.77734375" customWidth="1"/>
    <col min="6" max="6" width="14.77734375" style="45" customWidth="1"/>
    <col min="7" max="8" width="17.77734375" style="48" customWidth="1"/>
    <col min="9" max="11" width="18.77734375" style="48" customWidth="1"/>
    <col min="12" max="12" width="23.77734375" customWidth="1"/>
    <col min="13" max="13" width="30.77734375" customWidth="1"/>
    <col min="14" max="14" width="32.77734375" customWidth="1"/>
    <col min="15" max="15" width="35.77734375" customWidth="1"/>
    <col min="16" max="17" width="40.77734375" hidden="1" customWidth="1"/>
    <col min="18" max="18" width="22.77734375" hidden="1" customWidth="1"/>
    <col min="19" max="19" width="14.77734375" hidden="1" customWidth="1"/>
    <col min="20" max="23" width="22.77734375" hidden="1" customWidth="1"/>
    <col min="24" max="24" width="35.77734375" hidden="1" customWidth="1"/>
    <col min="26" max="26" width="0" hidden="1" customWidth="1"/>
  </cols>
  <sheetData>
    <row r="1" spans="1:26" ht="24" customHeight="1">
      <c r="A1" s="35"/>
      <c r="B1" s="70"/>
      <c r="C1" s="35"/>
      <c r="D1" s="35"/>
      <c r="E1" s="35"/>
      <c r="F1" s="70"/>
      <c r="G1" s="72"/>
      <c r="H1" s="72"/>
      <c r="I1" s="72"/>
      <c r="J1" s="72"/>
      <c r="K1" s="72"/>
      <c r="L1" s="35"/>
      <c r="M1" s="35"/>
      <c r="N1" s="35"/>
      <c r="O1" s="35"/>
      <c r="P1" s="35"/>
      <c r="Q1" s="35"/>
      <c r="R1" s="35"/>
      <c r="S1" s="35"/>
      <c r="T1" s="35"/>
      <c r="U1" s="35"/>
      <c r="V1" s="35"/>
      <c r="W1" s="35"/>
      <c r="X1" s="35"/>
      <c r="Z1" t="s">
        <v>117</v>
      </c>
    </row>
    <row r="2" spans="1:26" ht="34.049999999999997" customHeight="1">
      <c r="A2" s="188" t="s">
        <v>1226</v>
      </c>
      <c r="B2" s="184"/>
      <c r="C2" s="184"/>
      <c r="D2" s="184"/>
      <c r="E2" s="184"/>
      <c r="F2" s="184"/>
      <c r="G2" s="184"/>
      <c r="H2" s="184"/>
      <c r="I2" s="184"/>
      <c r="J2" s="184"/>
      <c r="K2" s="184"/>
      <c r="L2" s="184"/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</row>
    <row r="3" spans="1:26" ht="24" customHeight="1">
      <c r="A3" s="189" t="s">
        <v>1227</v>
      </c>
      <c r="B3" s="185"/>
      <c r="C3" s="185"/>
      <c r="D3" s="185"/>
      <c r="E3" s="185"/>
      <c r="F3" s="185"/>
      <c r="G3" s="185"/>
      <c r="H3" s="185"/>
      <c r="I3" s="185"/>
      <c r="J3" s="185"/>
      <c r="K3" s="185"/>
      <c r="L3" s="185"/>
      <c r="M3" s="35"/>
      <c r="N3" s="35"/>
      <c r="O3" s="35"/>
      <c r="P3" s="35"/>
      <c r="Q3" s="35"/>
      <c r="R3" s="35"/>
      <c r="S3" s="35"/>
      <c r="T3" s="35"/>
      <c r="U3" s="35"/>
      <c r="V3" s="35"/>
      <c r="W3" s="35"/>
      <c r="X3" s="35"/>
    </row>
    <row r="4" spans="1:26" ht="24" customHeight="1">
      <c r="A4" s="35"/>
      <c r="B4" s="70"/>
      <c r="C4" s="35"/>
      <c r="D4" s="35"/>
      <c r="E4" s="35"/>
      <c r="F4" s="70"/>
      <c r="G4" s="72"/>
      <c r="H4" s="72"/>
      <c r="I4" s="72"/>
      <c r="J4" s="72"/>
      <c r="K4" s="72"/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</row>
    <row r="5" spans="1:26" ht="24" customHeight="1">
      <c r="A5" s="35"/>
      <c r="B5" s="70"/>
      <c r="C5" s="35"/>
      <c r="D5" s="35"/>
      <c r="E5" s="35"/>
      <c r="F5" s="70"/>
      <c r="G5" s="72"/>
      <c r="H5" s="72"/>
      <c r="I5" s="72"/>
      <c r="J5" s="72"/>
      <c r="K5" s="72"/>
      <c r="L5" s="35"/>
      <c r="M5" s="35"/>
      <c r="N5" s="35"/>
      <c r="O5" s="35"/>
      <c r="P5" s="35"/>
      <c r="Q5" s="35"/>
      <c r="R5" s="35"/>
      <c r="S5" s="35"/>
      <c r="T5" s="35"/>
      <c r="U5" s="35"/>
      <c r="V5" s="35"/>
      <c r="W5" s="35"/>
      <c r="X5" s="35"/>
    </row>
    <row r="6" spans="1:26" ht="24" customHeight="1">
      <c r="A6" s="35"/>
      <c r="B6" s="70"/>
      <c r="C6" s="35"/>
      <c r="D6" s="35"/>
      <c r="E6" s="35"/>
      <c r="F6" s="70"/>
      <c r="G6" s="72"/>
      <c r="H6" s="72"/>
      <c r="I6" s="72"/>
      <c r="J6" s="72"/>
      <c r="K6" s="72"/>
      <c r="L6" s="35"/>
      <c r="M6" s="35"/>
      <c r="N6" s="35"/>
      <c r="O6" s="35"/>
      <c r="P6" s="35"/>
      <c r="Q6" s="35"/>
      <c r="R6" s="35"/>
      <c r="S6" s="35"/>
      <c r="T6" s="35"/>
      <c r="U6" s="35"/>
      <c r="V6" s="35"/>
      <c r="W6" s="35"/>
      <c r="X6" s="35"/>
    </row>
    <row r="7" spans="1:26" ht="24" customHeight="1">
      <c r="A7" s="35"/>
      <c r="B7" s="70"/>
      <c r="C7" s="35"/>
      <c r="D7" s="35"/>
      <c r="E7" s="35"/>
      <c r="F7" s="70"/>
      <c r="G7" s="72"/>
      <c r="H7" s="72"/>
      <c r="I7" s="72"/>
      <c r="J7" s="72"/>
      <c r="K7" s="72"/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5"/>
    </row>
    <row r="8" spans="1:26" ht="24" customHeight="1">
      <c r="A8" s="190" t="s">
        <v>1228</v>
      </c>
      <c r="B8" s="175"/>
      <c r="C8" s="175"/>
      <c r="D8" s="192" t="s">
        <v>1230</v>
      </c>
      <c r="E8" s="181"/>
      <c r="F8" s="181"/>
      <c r="G8" s="193" t="s">
        <v>1231</v>
      </c>
      <c r="H8" s="193"/>
      <c r="I8" s="193"/>
      <c r="J8" s="195" t="s">
        <v>118</v>
      </c>
      <c r="K8" s="177"/>
      <c r="L8" s="177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</row>
    <row r="9" spans="1:26" ht="34.049999999999997" customHeight="1">
      <c r="A9" s="191">
        <f>SUMIFS(tTQMFacturi[Net_RON],tTQMFacturi[Stare],"Valida")</f>
        <v>0</v>
      </c>
      <c r="B9" s="176"/>
      <c r="C9" s="176"/>
      <c r="D9" s="182">
        <f>SUMIFS(tTQMFacturi[Sold_RON],tTQMFacturi[Stare],"Valida",tTQMFacturi[Sold_RON],"&gt;0")</f>
        <v>0</v>
      </c>
      <c r="E9" s="183"/>
      <c r="F9" s="183"/>
      <c r="G9" s="194">
        <f>SUMIFS(tTQMFacturi[Sold_RON],tTQMFacturi[Stare],"Valida",tTQMFacturi[Status_plata],"RESTANTA")</f>
        <v>0</v>
      </c>
      <c r="H9" s="194"/>
      <c r="I9" s="194"/>
      <c r="J9" s="196">
        <f>-SUMIFS(tTQMFacturi[Sold_RON],tTQMFacturi[Stare],"Valida",tTQMFacturi[Sold_RON],"&lt;0")</f>
        <v>0</v>
      </c>
      <c r="K9" s="178"/>
      <c r="L9" s="178"/>
      <c r="M9" s="35"/>
      <c r="N9" s="35"/>
      <c r="O9" s="35"/>
      <c r="P9" s="35"/>
      <c r="Q9" s="35"/>
      <c r="R9" s="35"/>
      <c r="S9" s="35"/>
      <c r="T9" s="35"/>
      <c r="U9" s="35"/>
      <c r="V9" s="35"/>
      <c r="W9" s="35"/>
      <c r="X9" s="35"/>
    </row>
    <row r="10" spans="1:26" ht="24" customHeight="1">
      <c r="A10" s="35"/>
      <c r="B10" s="70"/>
      <c r="C10" s="35"/>
      <c r="D10" s="35"/>
      <c r="E10" s="35"/>
      <c r="F10" s="70"/>
      <c r="G10" s="72"/>
      <c r="H10" s="72"/>
      <c r="I10" s="72"/>
      <c r="J10" s="72"/>
      <c r="K10" s="72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  <c r="W10" s="35"/>
      <c r="X10" s="35"/>
    </row>
    <row r="11" spans="1:26" ht="24" customHeight="1">
      <c r="A11" s="189" t="s">
        <v>1232</v>
      </c>
      <c r="B11" s="185"/>
      <c r="C11" s="185"/>
      <c r="D11" s="185"/>
      <c r="E11" s="185"/>
      <c r="F11" s="185"/>
      <c r="G11" s="185"/>
      <c r="H11" s="185"/>
      <c r="I11" s="185"/>
      <c r="J11" s="185"/>
      <c r="K11" s="185"/>
      <c r="L11" s="185"/>
      <c r="M11" s="35"/>
      <c r="N11" s="35"/>
      <c r="O11" s="35"/>
      <c r="P11" s="35"/>
      <c r="Q11" s="35"/>
      <c r="R11" s="35"/>
      <c r="S11" s="35"/>
      <c r="T11" s="35"/>
      <c r="U11" s="35"/>
      <c r="V11" s="35"/>
      <c r="W11" s="35"/>
      <c r="X11" s="35"/>
    </row>
    <row r="12" spans="1:26" ht="40.049999999999997" customHeight="1">
      <c r="A12" s="74" t="s">
        <v>119</v>
      </c>
      <c r="B12" s="75" t="s">
        <v>120</v>
      </c>
      <c r="C12" s="74" t="s">
        <v>0</v>
      </c>
      <c r="D12" s="74" t="s">
        <v>121</v>
      </c>
      <c r="E12" s="74" t="s">
        <v>122</v>
      </c>
      <c r="F12" s="75" t="s">
        <v>123</v>
      </c>
      <c r="G12" s="76" t="s">
        <v>124</v>
      </c>
      <c r="H12" s="76" t="s">
        <v>125</v>
      </c>
      <c r="I12" s="76" t="s">
        <v>126</v>
      </c>
      <c r="J12" s="76" t="s">
        <v>127</v>
      </c>
      <c r="K12" s="76" t="s">
        <v>128</v>
      </c>
      <c r="L12" s="74" t="s">
        <v>129</v>
      </c>
      <c r="M12" s="74" t="s">
        <v>130</v>
      </c>
      <c r="N12" s="74" t="s">
        <v>131</v>
      </c>
      <c r="O12" s="74" t="s">
        <v>13</v>
      </c>
      <c r="P12" s="74" t="s">
        <v>132</v>
      </c>
      <c r="Q12" s="74" t="s">
        <v>133</v>
      </c>
      <c r="R12" s="74" t="s">
        <v>62</v>
      </c>
      <c r="S12" s="74" t="s">
        <v>64</v>
      </c>
      <c r="T12" s="74" t="s">
        <v>98</v>
      </c>
      <c r="U12" s="74" t="s">
        <v>76</v>
      </c>
      <c r="V12" s="74" t="s">
        <v>115</v>
      </c>
      <c r="W12" s="74" t="s">
        <v>116</v>
      </c>
      <c r="X12" s="74" t="s">
        <v>99</v>
      </c>
    </row>
    <row r="13" spans="1:26">
      <c r="B13" s="13"/>
      <c r="F13" s="13"/>
      <c r="G13" s="14"/>
      <c r="H13" s="14"/>
      <c r="I13" s="14" t="str">
        <f t="shared" ref="I13:I15" si="0">IF($P13="","",ROUND($G13+$H13,2))</f>
        <v/>
      </c>
      <c r="J13" s="14" t="str">
        <f>IF($P13="","",ROUND(SUMIFS(_TQM_FP_PLATI!$G$2:$G$10,_TQM_FP_PLATI!$C$2:$C$10,$P13,_TQM_FP_PLATI!$N$2:$N$10,"Valida"),2))</f>
        <v/>
      </c>
      <c r="K13" s="14" t="str">
        <f t="shared" ref="K13:K15" si="1">IF($P13="","",IF($S13="Anulata",0,ROUND($I13-$J13,2)))</f>
        <v/>
      </c>
      <c r="L13" s="77" t="str">
        <f t="shared" ref="L13:L15" ca="1" si="2">IF($P13="","",IF($S13="Anulata","ANULATA",IF($I13*$K13&lt;0,"NECONCORDANTA",IF($K13=0,IF($I13&lt;0,"REGULARIZATA","ACHITATA"),IF($I13&lt;0,"CREDIT FURNIZOR",IF($F13&lt;TODAY(),"RESTANTA",IF($F13=TODAY(),"SCADENTA AZI",IF($J13&gt;0,"PARTIALA","NEACHITATA"))))))))</f>
        <v/>
      </c>
    </row>
    <row r="14" spans="1:26">
      <c r="B14" s="13"/>
      <c r="F14" s="13"/>
      <c r="G14" s="14"/>
      <c r="H14" s="14"/>
      <c r="I14" s="14" t="str">
        <f t="shared" si="0"/>
        <v/>
      </c>
      <c r="J14" s="14" t="str">
        <f>IF($P14="","",ROUND(SUMIFS(_TQM_FP_PLATI!$G$2:$G$10,_TQM_FP_PLATI!$C$2:$C$10,$P14,_TQM_FP_PLATI!$N$2:$N$10,"Valida"),2))</f>
        <v/>
      </c>
      <c r="K14" s="14" t="str">
        <f t="shared" si="1"/>
        <v/>
      </c>
      <c r="L14" s="77" t="str">
        <f t="shared" ca="1" si="2"/>
        <v/>
      </c>
    </row>
    <row r="15" spans="1:26">
      <c r="B15" s="13"/>
      <c r="F15" s="13"/>
      <c r="G15" s="14"/>
      <c r="H15" s="14"/>
      <c r="I15" s="14" t="str">
        <f t="shared" si="0"/>
        <v/>
      </c>
      <c r="J15" s="14" t="str">
        <f>IF($P15="","",ROUND(SUMIFS(_TQM_FP_PLATI!$G$2:$G$10,_TQM_FP_PLATI!$C$2:$C$10,$P15,_TQM_FP_PLATI!$N$2:$N$10,"Valida"),2))</f>
        <v/>
      </c>
      <c r="K15" s="14" t="str">
        <f t="shared" si="1"/>
        <v/>
      </c>
      <c r="L15" s="77" t="str">
        <f t="shared" ca="1" si="2"/>
        <v/>
      </c>
    </row>
  </sheetData>
  <sheetProtection sheet="1" objects="1" scenarios="1" autoFilter="0"/>
  <mergeCells count="11">
    <mergeCell ref="A2:L2"/>
    <mergeCell ref="A3:L3"/>
    <mergeCell ref="A11:L11"/>
    <mergeCell ref="A8:C8"/>
    <mergeCell ref="A9:C9"/>
    <mergeCell ref="D8:F8"/>
    <mergeCell ref="D9:F9"/>
    <mergeCell ref="G8:I8"/>
    <mergeCell ref="G9:I9"/>
    <mergeCell ref="J8:L8"/>
    <mergeCell ref="J9:L9"/>
  </mergeCells>
  <conditionalFormatting sqref="L13:L5012">
    <cfRule type="expression" dxfId="274" priority="1" stopIfTrue="1">
      <formula>$L13="RESTANTA"</formula>
    </cfRule>
    <cfRule type="expression" dxfId="273" priority="2" stopIfTrue="1">
      <formula>$L13="SCADENTA AZI"</formula>
    </cfRule>
    <cfRule type="expression" dxfId="272" priority="3" stopIfTrue="1">
      <formula>$L13="ACHITATA"</formula>
    </cfRule>
    <cfRule type="expression" dxfId="271" priority="4" stopIfTrue="1">
      <formula>$L13="NECONCORDANTA"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3"/>
  <dimension ref="A1:P5"/>
  <sheetViews>
    <sheetView showGridLines="0" zoomScale="85" workbookViewId="0"/>
  </sheetViews>
  <sheetFormatPr defaultRowHeight="14.4"/>
  <cols>
    <col min="1" max="16" width="21" customWidth="1"/>
  </cols>
  <sheetData>
    <row r="1" spans="1:16" ht="40.049999999999997" customHeight="1">
      <c r="A1" s="12" t="s">
        <v>134</v>
      </c>
      <c r="B1" s="12" t="s">
        <v>132</v>
      </c>
      <c r="C1" s="12" t="s">
        <v>60</v>
      </c>
      <c r="D1" s="12" t="s">
        <v>124</v>
      </c>
      <c r="E1" s="12" t="s">
        <v>125</v>
      </c>
      <c r="F1" s="12" t="s">
        <v>126</v>
      </c>
      <c r="G1" s="12" t="s">
        <v>127</v>
      </c>
      <c r="H1" s="12" t="s">
        <v>128</v>
      </c>
      <c r="I1" s="12" t="s">
        <v>57</v>
      </c>
      <c r="J1" s="12" t="s">
        <v>77</v>
      </c>
      <c r="K1" s="12" t="s">
        <v>93</v>
      </c>
      <c r="L1" s="12" t="s">
        <v>135</v>
      </c>
      <c r="M1" s="12" t="s">
        <v>64</v>
      </c>
      <c r="N1" s="12" t="s">
        <v>98</v>
      </c>
      <c r="O1" s="12" t="s">
        <v>136</v>
      </c>
      <c r="P1" s="12" t="s">
        <v>137</v>
      </c>
    </row>
    <row r="2" spans="1:16">
      <c r="D2" s="14"/>
      <c r="E2" s="14"/>
      <c r="F2" s="14" t="str">
        <f t="shared" ref="F2:F5" si="0">IF($A2="","",ROUND($D2+$E2,2))</f>
        <v/>
      </c>
      <c r="G2" s="14" t="str">
        <f>IF($A2="","",ROUND(SUMIFS(_TQM_FP_PLATI!$G$2:$G$10,_TQM_FP_PLATI!$D$2:$D$10,$A2,_TQM_FP_PLATI!$N$2:$N$10,"Valida"),2))</f>
        <v/>
      </c>
      <c r="H2" s="14" t="str">
        <f t="shared" ref="H2:H5" si="1">IF($A2="","",IF($M2="Anulata",0,ROUND($F2-$G2,2)))</f>
        <v/>
      </c>
    </row>
    <row r="3" spans="1:16">
      <c r="D3" s="14"/>
      <c r="E3" s="14"/>
      <c r="F3" s="14" t="str">
        <f t="shared" si="0"/>
        <v/>
      </c>
      <c r="G3" s="14" t="str">
        <f>IF($A3="","",ROUND(SUMIFS(_TQM_FP_PLATI!$G$2:$G$10,_TQM_FP_PLATI!$D$2:$D$10,$A3,_TQM_FP_PLATI!$N$2:$N$10,"Valida"),2))</f>
        <v/>
      </c>
      <c r="H3" s="14" t="str">
        <f t="shared" si="1"/>
        <v/>
      </c>
    </row>
    <row r="4" spans="1:16">
      <c r="D4" s="14"/>
      <c r="E4" s="14"/>
      <c r="F4" s="14" t="str">
        <f t="shared" si="0"/>
        <v/>
      </c>
      <c r="G4" s="14" t="str">
        <f>IF($A4="","",ROUND(SUMIFS(_TQM_FP_PLATI!$G$2:$G$10,_TQM_FP_PLATI!$D$2:$D$10,$A4,_TQM_FP_PLATI!$N$2:$N$10,"Valida"),2))</f>
        <v/>
      </c>
      <c r="H4" s="14" t="str">
        <f t="shared" si="1"/>
        <v/>
      </c>
    </row>
    <row r="5" spans="1:16">
      <c r="D5" s="14"/>
      <c r="E5" s="14"/>
      <c r="F5" s="14" t="str">
        <f t="shared" si="0"/>
        <v/>
      </c>
      <c r="G5" s="14" t="str">
        <f>IF($A5="","",ROUND(SUMIFS(_TQM_FP_PLATI!$G$2:$G$10,_TQM_FP_PLATI!$D$2:$D$10,$A5,_TQM_FP_PLATI!$N$2:$N$10,"Valida"),2))</f>
        <v/>
      </c>
      <c r="H5" s="14" t="str">
        <f t="shared" si="1"/>
        <v/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"/>
  <dimension ref="A1:S10"/>
  <sheetViews>
    <sheetView showGridLines="0" zoomScale="85" workbookViewId="0"/>
  </sheetViews>
  <sheetFormatPr defaultRowHeight="14.4"/>
  <cols>
    <col min="1" max="19" width="21" customWidth="1"/>
  </cols>
  <sheetData>
    <row r="1" spans="1:19" ht="40.049999999999997" customHeight="1">
      <c r="A1" s="12" t="s">
        <v>112</v>
      </c>
      <c r="B1" s="12" t="s">
        <v>113</v>
      </c>
      <c r="C1" s="12" t="s">
        <v>132</v>
      </c>
      <c r="D1" s="12" t="s">
        <v>134</v>
      </c>
      <c r="E1" s="12" t="s">
        <v>60</v>
      </c>
      <c r="F1" s="71" t="s">
        <v>5</v>
      </c>
      <c r="G1" s="73" t="s">
        <v>138</v>
      </c>
      <c r="H1" s="12" t="s">
        <v>114</v>
      </c>
      <c r="I1" s="12" t="s">
        <v>139</v>
      </c>
      <c r="J1" s="12" t="s">
        <v>94</v>
      </c>
      <c r="K1" s="12" t="s">
        <v>62</v>
      </c>
      <c r="L1" s="12" t="s">
        <v>13</v>
      </c>
      <c r="M1" s="12" t="s">
        <v>96</v>
      </c>
      <c r="N1" s="12" t="s">
        <v>64</v>
      </c>
      <c r="O1" s="12" t="s">
        <v>98</v>
      </c>
      <c r="P1" s="12" t="s">
        <v>115</v>
      </c>
      <c r="Q1" s="12" t="s">
        <v>116</v>
      </c>
      <c r="R1" s="12" t="s">
        <v>99</v>
      </c>
      <c r="S1" s="12" t="s">
        <v>140</v>
      </c>
    </row>
    <row r="2" spans="1:19">
      <c r="F2" s="13"/>
      <c r="G2" s="14"/>
    </row>
    <row r="3" spans="1:19">
      <c r="F3" s="13"/>
      <c r="G3" s="14"/>
    </row>
    <row r="4" spans="1:19">
      <c r="F4" s="13"/>
      <c r="G4" s="14"/>
    </row>
    <row r="5" spans="1:19">
      <c r="F5" s="13"/>
      <c r="G5" s="14"/>
    </row>
    <row r="6" spans="1:19">
      <c r="F6" s="13"/>
      <c r="G6" s="14"/>
    </row>
    <row r="7" spans="1:19">
      <c r="F7" s="13"/>
      <c r="G7" s="14"/>
    </row>
    <row r="8" spans="1:19">
      <c r="F8" s="13"/>
      <c r="G8" s="14"/>
    </row>
    <row r="9" spans="1:19">
      <c r="F9" s="13"/>
      <c r="G9" s="14"/>
    </row>
    <row r="10" spans="1:19">
      <c r="F10" s="13"/>
      <c r="G10" s="14"/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5">
    <tabColor rgb="FF2563EB"/>
  </sheetPr>
  <dimension ref="A1:R70"/>
  <sheetViews>
    <sheetView showGridLines="0" zoomScale="85" zoomScaleNormal="85" workbookViewId="0">
      <pane xSplit="2" ySplit="12" topLeftCell="C13" activePane="bottomRight" state="frozen"/>
      <selection pane="bottomRight" activeCell="C13" sqref="C13"/>
    </sheetView>
  </sheetViews>
  <sheetFormatPr defaultRowHeight="14.4"/>
  <cols>
    <col min="1" max="1" width="19" customWidth="1"/>
    <col min="2" max="2" width="25.88671875" customWidth="1"/>
    <col min="3" max="3" width="28" customWidth="1"/>
    <col min="4" max="4" width="24" customWidth="1"/>
    <col min="5" max="5" width="52" customWidth="1"/>
    <col min="6" max="6" width="9" customWidth="1"/>
    <col min="7" max="7" width="24" customWidth="1"/>
    <col min="8" max="8" width="20" customWidth="1"/>
    <col min="9" max="9" width="18" customWidth="1"/>
    <col min="10" max="10" width="32" customWidth="1"/>
    <col min="11" max="11" width="43" customWidth="1"/>
    <col min="12" max="12" width="10" customWidth="1"/>
    <col min="13" max="14" width="22" customWidth="1"/>
    <col min="15" max="15" width="24" customWidth="1"/>
    <col min="16" max="16" width="65" customWidth="1"/>
  </cols>
  <sheetData>
    <row r="1" spans="1:18" ht="24" customHeight="1">
      <c r="A1" s="37"/>
      <c r="B1" s="37"/>
      <c r="C1" s="37"/>
      <c r="D1" s="37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R1" t="s">
        <v>141</v>
      </c>
    </row>
    <row r="2" spans="1:18" ht="24" customHeight="1">
      <c r="A2" s="204" t="s">
        <v>142</v>
      </c>
      <c r="B2" s="204" t="s">
        <v>142</v>
      </c>
      <c r="C2" s="204" t="s">
        <v>142</v>
      </c>
      <c r="D2" s="204" t="s">
        <v>142</v>
      </c>
      <c r="E2" s="204" t="s">
        <v>142</v>
      </c>
      <c r="F2" s="204" t="s">
        <v>142</v>
      </c>
      <c r="G2" s="204" t="s">
        <v>142</v>
      </c>
      <c r="H2" s="204" t="s">
        <v>142</v>
      </c>
      <c r="I2" s="204" t="s">
        <v>142</v>
      </c>
      <c r="J2" s="204" t="s">
        <v>142</v>
      </c>
      <c r="K2" s="37"/>
      <c r="L2" s="37"/>
      <c r="M2" s="37"/>
      <c r="N2" s="37"/>
      <c r="O2" s="37"/>
      <c r="P2" s="37"/>
    </row>
    <row r="3" spans="1:18" ht="24" customHeight="1">
      <c r="A3" s="199" t="s">
        <v>143</v>
      </c>
      <c r="B3" s="200" t="s">
        <v>143</v>
      </c>
      <c r="C3" s="200" t="s">
        <v>143</v>
      </c>
      <c r="D3" s="200" t="s">
        <v>143</v>
      </c>
      <c r="E3" s="200" t="s">
        <v>143</v>
      </c>
      <c r="F3" s="200" t="s">
        <v>143</v>
      </c>
      <c r="G3" s="200" t="s">
        <v>143</v>
      </c>
      <c r="H3" s="200" t="s">
        <v>143</v>
      </c>
      <c r="I3" s="200" t="s">
        <v>143</v>
      </c>
      <c r="J3" s="200" t="s">
        <v>143</v>
      </c>
      <c r="K3" s="37"/>
      <c r="L3" s="37"/>
      <c r="M3" s="37"/>
      <c r="N3" s="37"/>
      <c r="O3" s="37"/>
      <c r="P3" s="37"/>
    </row>
    <row r="4" spans="1:18" ht="24" customHeight="1">
      <c r="A4" s="205" t="s">
        <v>144</v>
      </c>
      <c r="B4" s="200" t="s">
        <v>144</v>
      </c>
      <c r="C4" s="200" t="s">
        <v>144</v>
      </c>
      <c r="D4" s="200" t="s">
        <v>144</v>
      </c>
      <c r="E4" s="200" t="s">
        <v>144</v>
      </c>
      <c r="F4" s="200" t="s">
        <v>144</v>
      </c>
      <c r="G4" s="200" t="s">
        <v>144</v>
      </c>
      <c r="H4" s="200" t="s">
        <v>144</v>
      </c>
      <c r="I4" s="200" t="s">
        <v>144</v>
      </c>
      <c r="J4" s="200" t="s">
        <v>144</v>
      </c>
      <c r="K4" s="37"/>
      <c r="L4" s="37"/>
      <c r="M4" s="37"/>
      <c r="N4" s="37"/>
      <c r="O4" s="37"/>
      <c r="P4" s="37"/>
    </row>
    <row r="5" spans="1:18" ht="24" customHeight="1">
      <c r="A5" s="203" t="s">
        <v>145</v>
      </c>
      <c r="B5" s="203" t="s">
        <v>145</v>
      </c>
      <c r="C5" s="203" t="s">
        <v>146</v>
      </c>
      <c r="D5" s="203" t="s">
        <v>146</v>
      </c>
      <c r="E5" s="203" t="s">
        <v>147</v>
      </c>
      <c r="F5" s="203" t="s">
        <v>147</v>
      </c>
      <c r="G5" s="203" t="s">
        <v>148</v>
      </c>
      <c r="H5" s="203" t="s">
        <v>148</v>
      </c>
      <c r="I5" s="203" t="s">
        <v>130</v>
      </c>
      <c r="J5" s="203" t="s">
        <v>130</v>
      </c>
      <c r="K5" s="37"/>
      <c r="L5" s="37"/>
      <c r="M5" s="37"/>
      <c r="N5" s="37"/>
      <c r="O5" s="37"/>
      <c r="P5" s="37"/>
    </row>
    <row r="6" spans="1:18" ht="24" customHeight="1">
      <c r="A6" s="203" t="s">
        <v>149</v>
      </c>
      <c r="B6" s="203" t="s">
        <v>149</v>
      </c>
      <c r="C6" s="203" t="s">
        <v>150</v>
      </c>
      <c r="D6" s="203" t="s">
        <v>150</v>
      </c>
      <c r="E6" s="203" t="s">
        <v>151</v>
      </c>
      <c r="F6" s="203" t="s">
        <v>151</v>
      </c>
      <c r="G6" s="203" t="s">
        <v>55</v>
      </c>
      <c r="H6" s="203" t="s">
        <v>55</v>
      </c>
      <c r="I6" s="203" t="s">
        <v>152</v>
      </c>
      <c r="J6" s="203" t="s">
        <v>152</v>
      </c>
      <c r="K6" s="37"/>
      <c r="L6" s="37"/>
      <c r="M6" s="37"/>
      <c r="N6" s="37"/>
      <c r="O6" s="37"/>
      <c r="P6" s="37"/>
    </row>
    <row r="7" spans="1:18" ht="24" customHeight="1">
      <c r="A7" s="37"/>
      <c r="B7" s="37"/>
      <c r="C7" s="37"/>
      <c r="D7" s="37"/>
      <c r="E7" s="37"/>
      <c r="F7" s="37"/>
      <c r="G7" s="37"/>
      <c r="H7" s="37"/>
      <c r="I7" s="37"/>
      <c r="J7" s="37"/>
      <c r="K7" s="37"/>
      <c r="L7" s="37"/>
      <c r="M7" s="37"/>
      <c r="N7" s="37"/>
      <c r="O7" s="37"/>
      <c r="P7" s="37"/>
    </row>
    <row r="8" spans="1:18" ht="24" customHeight="1">
      <c r="A8" s="197" t="s">
        <v>153</v>
      </c>
      <c r="B8" s="197" t="s">
        <v>153</v>
      </c>
      <c r="C8" s="201" t="s">
        <v>154</v>
      </c>
      <c r="D8" s="201" t="s">
        <v>154</v>
      </c>
      <c r="E8" s="201" t="s">
        <v>154</v>
      </c>
      <c r="F8" s="197" t="s">
        <v>155</v>
      </c>
      <c r="G8" s="197" t="s">
        <v>155</v>
      </c>
      <c r="H8" s="197" t="s">
        <v>156</v>
      </c>
      <c r="I8" s="197" t="s">
        <v>156</v>
      </c>
      <c r="J8" s="197" t="s">
        <v>156</v>
      </c>
      <c r="K8" s="37"/>
      <c r="L8" s="37"/>
      <c r="M8" s="37"/>
      <c r="N8" s="37"/>
      <c r="O8" s="37"/>
      <c r="P8" s="37"/>
    </row>
    <row r="9" spans="1:18" ht="24" customHeight="1">
      <c r="A9" s="198">
        <f>COUNTIFS(tTQMNMMateriale[Stare],"Activ",tTQMNMMateriale[ID_material],"&lt;&gt;")</f>
        <v>0</v>
      </c>
      <c r="B9" s="198"/>
      <c r="C9" s="202">
        <f>COUNTIFS(tTQMNMMateriale[Stare],"De verificat",tTQMNMMateriale[ID_material],"&lt;&gt;")</f>
        <v>51</v>
      </c>
      <c r="D9" s="202"/>
      <c r="E9" s="202"/>
      <c r="F9" s="198">
        <f>COUNTIFS(tTQMNMParteneri[Stare],"Activ",tTQMNMParteneri[ID_partener],"&lt;&gt;")</f>
        <v>0</v>
      </c>
      <c r="G9" s="198"/>
      <c r="H9" s="198">
        <f>COUNTIFS(tTQMNMLocatii[Stare],"Activ",tTQMNMLocatii[ID_locatie],"&lt;&gt;")</f>
        <v>0</v>
      </c>
      <c r="I9" s="198"/>
      <c r="J9" s="198"/>
      <c r="K9" s="37"/>
      <c r="L9" s="37"/>
      <c r="M9" s="37"/>
      <c r="N9" s="37"/>
      <c r="O9" s="37"/>
      <c r="P9" s="37"/>
    </row>
    <row r="10" spans="1:18" ht="24" customHeight="1">
      <c r="A10" s="37"/>
      <c r="B10" s="37"/>
      <c r="C10" s="37"/>
      <c r="D10" s="37"/>
      <c r="E10" s="37"/>
      <c r="F10" s="37"/>
      <c r="G10" s="37"/>
      <c r="H10" s="37"/>
      <c r="I10" s="37"/>
      <c r="J10" s="37"/>
      <c r="K10" s="37"/>
      <c r="L10" s="37"/>
      <c r="M10" s="37"/>
      <c r="N10" s="37"/>
      <c r="O10" s="37"/>
      <c r="P10" s="37"/>
    </row>
    <row r="11" spans="1:18" ht="24" customHeight="1">
      <c r="A11" s="199" t="s">
        <v>157</v>
      </c>
      <c r="B11" s="200" t="s">
        <v>157</v>
      </c>
      <c r="C11" s="200" t="s">
        <v>157</v>
      </c>
      <c r="D11" s="200" t="s">
        <v>157</v>
      </c>
      <c r="E11" s="200" t="s">
        <v>157</v>
      </c>
      <c r="F11" s="200" t="s">
        <v>157</v>
      </c>
      <c r="G11" s="200" t="s">
        <v>157</v>
      </c>
      <c r="H11" s="200" t="s">
        <v>157</v>
      </c>
      <c r="I11" s="200" t="s">
        <v>157</v>
      </c>
      <c r="J11" s="200" t="s">
        <v>157</v>
      </c>
      <c r="K11" s="37"/>
      <c r="L11" s="37"/>
      <c r="M11" s="37"/>
      <c r="N11" s="37"/>
      <c r="O11" s="37"/>
      <c r="P11" s="37"/>
    </row>
    <row r="12" spans="1:18" ht="24" customHeight="1">
      <c r="A12" s="36" t="s">
        <v>78</v>
      </c>
      <c r="B12" s="36" t="s">
        <v>111</v>
      </c>
      <c r="C12" s="36" t="s">
        <v>158</v>
      </c>
      <c r="D12" s="36" t="s">
        <v>159</v>
      </c>
      <c r="E12" s="36" t="s">
        <v>80</v>
      </c>
      <c r="F12" s="36" t="s">
        <v>81</v>
      </c>
      <c r="G12" s="36" t="s">
        <v>29</v>
      </c>
      <c r="H12" s="36" t="s">
        <v>160</v>
      </c>
      <c r="I12" s="36" t="s">
        <v>64</v>
      </c>
      <c r="J12" s="36" t="s">
        <v>13</v>
      </c>
      <c r="K12" s="36" t="s">
        <v>108</v>
      </c>
      <c r="L12" s="36" t="s">
        <v>74</v>
      </c>
      <c r="M12" s="36" t="s">
        <v>98</v>
      </c>
      <c r="N12" s="36" t="s">
        <v>76</v>
      </c>
      <c r="O12" s="36" t="s">
        <v>75</v>
      </c>
      <c r="P12" s="36" t="s">
        <v>161</v>
      </c>
    </row>
    <row r="13" spans="1:18" ht="24" customHeight="1">
      <c r="A13" s="39" t="s">
        <v>162</v>
      </c>
      <c r="B13" s="39" t="s">
        <v>163</v>
      </c>
      <c r="C13" s="39" t="s">
        <v>164</v>
      </c>
      <c r="D13" s="39" t="s">
        <v>165</v>
      </c>
      <c r="E13" s="40" t="s">
        <v>166</v>
      </c>
      <c r="F13" s="39" t="s">
        <v>167</v>
      </c>
      <c r="G13" s="39"/>
      <c r="H13" s="39"/>
      <c r="I13" s="39" t="s">
        <v>168</v>
      </c>
      <c r="J13" s="39"/>
      <c r="K13" s="39" t="s">
        <v>169</v>
      </c>
      <c r="L13" s="37">
        <v>1</v>
      </c>
      <c r="M13" s="41">
        <v>46304</v>
      </c>
      <c r="N13" s="41">
        <v>46304</v>
      </c>
      <c r="O13" s="37" t="s">
        <v>170</v>
      </c>
      <c r="P13" s="37" t="s">
        <v>171</v>
      </c>
    </row>
    <row r="14" spans="1:18" ht="24" customHeight="1">
      <c r="A14" s="39" t="s">
        <v>172</v>
      </c>
      <c r="B14" s="39" t="s">
        <v>173</v>
      </c>
      <c r="C14" s="39" t="s">
        <v>164</v>
      </c>
      <c r="D14" s="39" t="s">
        <v>174</v>
      </c>
      <c r="E14" s="40" t="s">
        <v>175</v>
      </c>
      <c r="F14" s="39" t="s">
        <v>167</v>
      </c>
      <c r="G14" s="39"/>
      <c r="H14" s="39"/>
      <c r="I14" s="39" t="s">
        <v>168</v>
      </c>
      <c r="J14" s="39"/>
      <c r="K14" s="39" t="s">
        <v>176</v>
      </c>
      <c r="L14" s="37">
        <v>1</v>
      </c>
      <c r="M14" s="41">
        <v>46304</v>
      </c>
      <c r="N14" s="41">
        <v>46304</v>
      </c>
      <c r="O14" s="37" t="s">
        <v>170</v>
      </c>
      <c r="P14" s="37" t="s">
        <v>177</v>
      </c>
    </row>
    <row r="15" spans="1:18" ht="24" customHeight="1">
      <c r="A15" s="39" t="s">
        <v>178</v>
      </c>
      <c r="B15" s="39" t="s">
        <v>179</v>
      </c>
      <c r="C15" s="39" t="s">
        <v>164</v>
      </c>
      <c r="D15" s="39" t="s">
        <v>174</v>
      </c>
      <c r="E15" s="40" t="s">
        <v>180</v>
      </c>
      <c r="F15" s="39" t="s">
        <v>167</v>
      </c>
      <c r="G15" s="39"/>
      <c r="H15" s="39"/>
      <c r="I15" s="39" t="s">
        <v>168</v>
      </c>
      <c r="J15" s="39"/>
      <c r="K15" s="39" t="s">
        <v>181</v>
      </c>
      <c r="L15" s="37">
        <v>1</v>
      </c>
      <c r="M15" s="41">
        <v>46304</v>
      </c>
      <c r="N15" s="41">
        <v>46304</v>
      </c>
      <c r="O15" s="37" t="s">
        <v>170</v>
      </c>
      <c r="P15" s="37" t="s">
        <v>182</v>
      </c>
    </row>
    <row r="16" spans="1:18" ht="24" customHeight="1">
      <c r="A16" s="39" t="s">
        <v>183</v>
      </c>
      <c r="B16" s="39" t="s">
        <v>184</v>
      </c>
      <c r="C16" s="39" t="s">
        <v>164</v>
      </c>
      <c r="D16" s="39" t="s">
        <v>185</v>
      </c>
      <c r="E16" s="40" t="s">
        <v>186</v>
      </c>
      <c r="F16" s="39" t="s">
        <v>167</v>
      </c>
      <c r="G16" s="39"/>
      <c r="H16" s="39"/>
      <c r="I16" s="39" t="s">
        <v>168</v>
      </c>
      <c r="J16" s="39"/>
      <c r="K16" s="39" t="s">
        <v>187</v>
      </c>
      <c r="L16" s="37">
        <v>1</v>
      </c>
      <c r="M16" s="41">
        <v>46304</v>
      </c>
      <c r="N16" s="41">
        <v>46304</v>
      </c>
      <c r="O16" s="37" t="s">
        <v>170</v>
      </c>
      <c r="P16" s="37" t="s">
        <v>188</v>
      </c>
    </row>
    <row r="17" spans="1:16" ht="24" customHeight="1">
      <c r="A17" s="39" t="s">
        <v>189</v>
      </c>
      <c r="B17" s="39" t="s">
        <v>190</v>
      </c>
      <c r="C17" s="39" t="s">
        <v>164</v>
      </c>
      <c r="D17" s="39" t="s">
        <v>191</v>
      </c>
      <c r="E17" s="40" t="s">
        <v>192</v>
      </c>
      <c r="F17" s="39" t="s">
        <v>167</v>
      </c>
      <c r="G17" s="39"/>
      <c r="H17" s="39"/>
      <c r="I17" s="39" t="s">
        <v>168</v>
      </c>
      <c r="J17" s="39"/>
      <c r="K17" s="39" t="s">
        <v>193</v>
      </c>
      <c r="L17" s="37">
        <v>1</v>
      </c>
      <c r="M17" s="41">
        <v>46304</v>
      </c>
      <c r="N17" s="41">
        <v>46304</v>
      </c>
      <c r="O17" s="37" t="s">
        <v>170</v>
      </c>
      <c r="P17" s="37" t="s">
        <v>194</v>
      </c>
    </row>
    <row r="18" spans="1:16" ht="24" customHeight="1">
      <c r="A18" s="39" t="s">
        <v>195</v>
      </c>
      <c r="B18" s="39" t="s">
        <v>196</v>
      </c>
      <c r="C18" s="39" t="s">
        <v>164</v>
      </c>
      <c r="D18" s="39" t="s">
        <v>197</v>
      </c>
      <c r="E18" s="40" t="s">
        <v>198</v>
      </c>
      <c r="F18" s="39" t="s">
        <v>167</v>
      </c>
      <c r="G18" s="39"/>
      <c r="H18" s="39"/>
      <c r="I18" s="39" t="s">
        <v>168</v>
      </c>
      <c r="J18" s="39"/>
      <c r="K18" s="39" t="s">
        <v>199</v>
      </c>
      <c r="L18" s="37">
        <v>1</v>
      </c>
      <c r="M18" s="41">
        <v>46304</v>
      </c>
      <c r="N18" s="41">
        <v>46304</v>
      </c>
      <c r="O18" s="37" t="s">
        <v>170</v>
      </c>
      <c r="P18" s="37" t="s">
        <v>200</v>
      </c>
    </row>
    <row r="19" spans="1:16" ht="24" customHeight="1">
      <c r="A19" s="39" t="s">
        <v>201</v>
      </c>
      <c r="B19" s="39" t="s">
        <v>202</v>
      </c>
      <c r="C19" s="39" t="s">
        <v>203</v>
      </c>
      <c r="D19" s="39" t="s">
        <v>204</v>
      </c>
      <c r="E19" s="40" t="s">
        <v>205</v>
      </c>
      <c r="F19" s="39" t="s">
        <v>206</v>
      </c>
      <c r="G19" s="39"/>
      <c r="H19" s="39" t="s">
        <v>207</v>
      </c>
      <c r="I19" s="39" t="s">
        <v>168</v>
      </c>
      <c r="J19" s="39"/>
      <c r="K19" s="39" t="s">
        <v>208</v>
      </c>
      <c r="L19" s="37">
        <v>1</v>
      </c>
      <c r="M19" s="41">
        <v>46304</v>
      </c>
      <c r="N19" s="41">
        <v>46304</v>
      </c>
      <c r="O19" s="37" t="s">
        <v>170</v>
      </c>
      <c r="P19" s="37" t="s">
        <v>209</v>
      </c>
    </row>
    <row r="20" spans="1:16" ht="24" customHeight="1">
      <c r="A20" s="39" t="s">
        <v>210</v>
      </c>
      <c r="B20" s="39" t="s">
        <v>202</v>
      </c>
      <c r="C20" s="39" t="s">
        <v>203</v>
      </c>
      <c r="D20" s="39" t="s">
        <v>204</v>
      </c>
      <c r="E20" s="40" t="s">
        <v>211</v>
      </c>
      <c r="F20" s="39" t="s">
        <v>206</v>
      </c>
      <c r="G20" s="39"/>
      <c r="H20" s="39" t="s">
        <v>212</v>
      </c>
      <c r="I20" s="39" t="s">
        <v>168</v>
      </c>
      <c r="J20" s="39"/>
      <c r="K20" s="39" t="s">
        <v>213</v>
      </c>
      <c r="L20" s="37">
        <v>1</v>
      </c>
      <c r="M20" s="41">
        <v>46304</v>
      </c>
      <c r="N20" s="41">
        <v>46304</v>
      </c>
      <c r="O20" s="37" t="s">
        <v>170</v>
      </c>
      <c r="P20" s="37" t="s">
        <v>214</v>
      </c>
    </row>
    <row r="21" spans="1:16" ht="24" customHeight="1">
      <c r="A21" s="39" t="s">
        <v>215</v>
      </c>
      <c r="B21" s="39" t="s">
        <v>216</v>
      </c>
      <c r="C21" s="39" t="s">
        <v>203</v>
      </c>
      <c r="D21" s="39" t="s">
        <v>217</v>
      </c>
      <c r="E21" s="40" t="s">
        <v>218</v>
      </c>
      <c r="F21" s="39" t="s">
        <v>206</v>
      </c>
      <c r="G21" s="39"/>
      <c r="H21" s="39" t="s">
        <v>219</v>
      </c>
      <c r="I21" s="39" t="s">
        <v>168</v>
      </c>
      <c r="J21" s="39"/>
      <c r="K21" s="39" t="s">
        <v>220</v>
      </c>
      <c r="L21" s="37">
        <v>1</v>
      </c>
      <c r="M21" s="41">
        <v>46304</v>
      </c>
      <c r="N21" s="41">
        <v>46304</v>
      </c>
      <c r="O21" s="37" t="s">
        <v>170</v>
      </c>
      <c r="P21" s="37" t="s">
        <v>221</v>
      </c>
    </row>
    <row r="22" spans="1:16" ht="24" customHeight="1">
      <c r="A22" s="39" t="s">
        <v>222</v>
      </c>
      <c r="B22" s="39" t="s">
        <v>223</v>
      </c>
      <c r="C22" s="39" t="s">
        <v>203</v>
      </c>
      <c r="D22" s="39" t="s">
        <v>224</v>
      </c>
      <c r="E22" s="40" t="s">
        <v>225</v>
      </c>
      <c r="F22" s="39" t="s">
        <v>206</v>
      </c>
      <c r="G22" s="39"/>
      <c r="H22" s="39" t="s">
        <v>226</v>
      </c>
      <c r="I22" s="39" t="s">
        <v>168</v>
      </c>
      <c r="J22" s="39"/>
      <c r="K22" s="39" t="s">
        <v>227</v>
      </c>
      <c r="L22" s="37">
        <v>1</v>
      </c>
      <c r="M22" s="41">
        <v>46304</v>
      </c>
      <c r="N22" s="41">
        <v>46304</v>
      </c>
      <c r="O22" s="37" t="s">
        <v>170</v>
      </c>
      <c r="P22" s="37" t="s">
        <v>228</v>
      </c>
    </row>
    <row r="23" spans="1:16" ht="24" customHeight="1">
      <c r="A23" s="39" t="s">
        <v>229</v>
      </c>
      <c r="B23" s="39" t="s">
        <v>230</v>
      </c>
      <c r="C23" s="39" t="s">
        <v>203</v>
      </c>
      <c r="D23" s="39" t="s">
        <v>231</v>
      </c>
      <c r="E23" s="40" t="s">
        <v>232</v>
      </c>
      <c r="F23" s="39" t="s">
        <v>206</v>
      </c>
      <c r="G23" s="39"/>
      <c r="H23" s="39" t="s">
        <v>233</v>
      </c>
      <c r="I23" s="39" t="s">
        <v>168</v>
      </c>
      <c r="J23" s="39"/>
      <c r="K23" s="39" t="s">
        <v>234</v>
      </c>
      <c r="L23" s="37">
        <v>1</v>
      </c>
      <c r="M23" s="41">
        <v>46304</v>
      </c>
      <c r="N23" s="41">
        <v>46304</v>
      </c>
      <c r="O23" s="37" t="s">
        <v>170</v>
      </c>
      <c r="P23" s="37" t="s">
        <v>235</v>
      </c>
    </row>
    <row r="24" spans="1:16" ht="24" customHeight="1">
      <c r="A24" s="39" t="s">
        <v>236</v>
      </c>
      <c r="B24" s="39" t="s">
        <v>237</v>
      </c>
      <c r="C24" s="39" t="s">
        <v>203</v>
      </c>
      <c r="D24" s="39" t="s">
        <v>238</v>
      </c>
      <c r="E24" s="40" t="s">
        <v>239</v>
      </c>
      <c r="F24" s="39" t="s">
        <v>206</v>
      </c>
      <c r="G24" s="39"/>
      <c r="H24" s="39" t="s">
        <v>240</v>
      </c>
      <c r="I24" s="39" t="s">
        <v>168</v>
      </c>
      <c r="J24" s="39"/>
      <c r="K24" s="39" t="s">
        <v>241</v>
      </c>
      <c r="L24" s="37">
        <v>1</v>
      </c>
      <c r="M24" s="41">
        <v>46304</v>
      </c>
      <c r="N24" s="41">
        <v>46304</v>
      </c>
      <c r="O24" s="37" t="s">
        <v>170</v>
      </c>
      <c r="P24" s="37" t="s">
        <v>242</v>
      </c>
    </row>
    <row r="25" spans="1:16" ht="24" customHeight="1">
      <c r="A25" s="39" t="s">
        <v>243</v>
      </c>
      <c r="B25" s="39" t="s">
        <v>244</v>
      </c>
      <c r="C25" s="39" t="s">
        <v>203</v>
      </c>
      <c r="D25" s="39" t="s">
        <v>245</v>
      </c>
      <c r="E25" s="40" t="s">
        <v>246</v>
      </c>
      <c r="F25" s="39" t="s">
        <v>206</v>
      </c>
      <c r="G25" s="39"/>
      <c r="H25" s="39" t="s">
        <v>247</v>
      </c>
      <c r="I25" s="39" t="s">
        <v>168</v>
      </c>
      <c r="J25" s="39"/>
      <c r="K25" s="39" t="s">
        <v>248</v>
      </c>
      <c r="L25" s="37">
        <v>1</v>
      </c>
      <c r="M25" s="41">
        <v>46304</v>
      </c>
      <c r="N25" s="41">
        <v>46304</v>
      </c>
      <c r="O25" s="37" t="s">
        <v>170</v>
      </c>
      <c r="P25" s="37" t="s">
        <v>249</v>
      </c>
    </row>
    <row r="26" spans="1:16" ht="24" customHeight="1">
      <c r="A26" s="39" t="s">
        <v>250</v>
      </c>
      <c r="B26" s="39" t="s">
        <v>251</v>
      </c>
      <c r="C26" s="39" t="s">
        <v>203</v>
      </c>
      <c r="D26" s="39" t="s">
        <v>252</v>
      </c>
      <c r="E26" s="40" t="s">
        <v>253</v>
      </c>
      <c r="F26" s="39" t="s">
        <v>206</v>
      </c>
      <c r="G26" s="39"/>
      <c r="H26" s="39" t="s">
        <v>254</v>
      </c>
      <c r="I26" s="39" t="s">
        <v>168</v>
      </c>
      <c r="J26" s="39"/>
      <c r="K26" s="39" t="s">
        <v>255</v>
      </c>
      <c r="L26" s="37">
        <v>1</v>
      </c>
      <c r="M26" s="41">
        <v>46304</v>
      </c>
      <c r="N26" s="41">
        <v>46304</v>
      </c>
      <c r="O26" s="37" t="s">
        <v>170</v>
      </c>
      <c r="P26" s="37" t="s">
        <v>256</v>
      </c>
    </row>
    <row r="27" spans="1:16" ht="24" customHeight="1">
      <c r="A27" s="39" t="s">
        <v>257</v>
      </c>
      <c r="B27" s="39" t="s">
        <v>258</v>
      </c>
      <c r="C27" s="39" t="s">
        <v>203</v>
      </c>
      <c r="D27" s="39" t="s">
        <v>259</v>
      </c>
      <c r="E27" s="40" t="s">
        <v>260</v>
      </c>
      <c r="F27" s="39" t="s">
        <v>206</v>
      </c>
      <c r="G27" s="39"/>
      <c r="H27" s="39" t="s">
        <v>261</v>
      </c>
      <c r="I27" s="39" t="s">
        <v>168</v>
      </c>
      <c r="J27" s="39"/>
      <c r="K27" s="39" t="s">
        <v>262</v>
      </c>
      <c r="L27" s="37">
        <v>1</v>
      </c>
      <c r="M27" s="41">
        <v>46304</v>
      </c>
      <c r="N27" s="41">
        <v>46304</v>
      </c>
      <c r="O27" s="37" t="s">
        <v>170</v>
      </c>
      <c r="P27" s="37" t="s">
        <v>263</v>
      </c>
    </row>
    <row r="28" spans="1:16" ht="24" customHeight="1">
      <c r="A28" s="39" t="s">
        <v>264</v>
      </c>
      <c r="B28" s="39" t="s">
        <v>265</v>
      </c>
      <c r="C28" s="39" t="s">
        <v>203</v>
      </c>
      <c r="D28" s="39" t="s">
        <v>266</v>
      </c>
      <c r="E28" s="40" t="s">
        <v>267</v>
      </c>
      <c r="F28" s="39" t="s">
        <v>206</v>
      </c>
      <c r="G28" s="39"/>
      <c r="H28" s="39" t="s">
        <v>268</v>
      </c>
      <c r="I28" s="39" t="s">
        <v>168</v>
      </c>
      <c r="J28" s="39"/>
      <c r="K28" s="39" t="s">
        <v>269</v>
      </c>
      <c r="L28" s="37">
        <v>1</v>
      </c>
      <c r="M28" s="41">
        <v>46304</v>
      </c>
      <c r="N28" s="41">
        <v>46304</v>
      </c>
      <c r="O28" s="37" t="s">
        <v>170</v>
      </c>
      <c r="P28" s="37" t="s">
        <v>270</v>
      </c>
    </row>
    <row r="29" spans="1:16" ht="24" customHeight="1">
      <c r="A29" s="39" t="s">
        <v>271</v>
      </c>
      <c r="B29" s="39" t="s">
        <v>272</v>
      </c>
      <c r="C29" s="39" t="s">
        <v>273</v>
      </c>
      <c r="D29" s="39" t="s">
        <v>274</v>
      </c>
      <c r="E29" s="40"/>
      <c r="F29" s="39" t="s">
        <v>206</v>
      </c>
      <c r="G29" s="39"/>
      <c r="H29" s="39"/>
      <c r="I29" s="39" t="s">
        <v>168</v>
      </c>
      <c r="J29" s="39"/>
      <c r="K29" s="39" t="s">
        <v>275</v>
      </c>
      <c r="L29" s="37">
        <v>1</v>
      </c>
      <c r="M29" s="41">
        <v>46304</v>
      </c>
      <c r="N29" s="41">
        <v>46304</v>
      </c>
      <c r="O29" s="37" t="s">
        <v>170</v>
      </c>
      <c r="P29" s="37" t="s">
        <v>276</v>
      </c>
    </row>
    <row r="30" spans="1:16" ht="24" customHeight="1">
      <c r="A30" s="39" t="s">
        <v>277</v>
      </c>
      <c r="B30" s="39" t="s">
        <v>278</v>
      </c>
      <c r="C30" s="39" t="s">
        <v>273</v>
      </c>
      <c r="D30" s="39" t="s">
        <v>279</v>
      </c>
      <c r="E30" s="40"/>
      <c r="F30" s="39" t="s">
        <v>206</v>
      </c>
      <c r="G30" s="39"/>
      <c r="H30" s="39"/>
      <c r="I30" s="39" t="s">
        <v>168</v>
      </c>
      <c r="J30" s="39"/>
      <c r="K30" s="39" t="s">
        <v>280</v>
      </c>
      <c r="L30" s="37">
        <v>1</v>
      </c>
      <c r="M30" s="41">
        <v>46304</v>
      </c>
      <c r="N30" s="41">
        <v>46304</v>
      </c>
      <c r="O30" s="37" t="s">
        <v>170</v>
      </c>
      <c r="P30" s="37" t="s">
        <v>281</v>
      </c>
    </row>
    <row r="31" spans="1:16" ht="24" customHeight="1">
      <c r="A31" s="39" t="s">
        <v>282</v>
      </c>
      <c r="B31" s="39" t="s">
        <v>283</v>
      </c>
      <c r="C31" s="39" t="s">
        <v>273</v>
      </c>
      <c r="D31" s="39" t="s">
        <v>284</v>
      </c>
      <c r="E31" s="40"/>
      <c r="F31" s="39" t="s">
        <v>206</v>
      </c>
      <c r="G31" s="39"/>
      <c r="H31" s="39"/>
      <c r="I31" s="39" t="s">
        <v>168</v>
      </c>
      <c r="J31" s="39"/>
      <c r="K31" s="39" t="s">
        <v>285</v>
      </c>
      <c r="L31" s="37">
        <v>1</v>
      </c>
      <c r="M31" s="41">
        <v>46304</v>
      </c>
      <c r="N31" s="41">
        <v>46304</v>
      </c>
      <c r="O31" s="37" t="s">
        <v>170</v>
      </c>
      <c r="P31" s="37" t="s">
        <v>286</v>
      </c>
    </row>
    <row r="32" spans="1:16" ht="24" customHeight="1">
      <c r="A32" s="39" t="s">
        <v>287</v>
      </c>
      <c r="B32" s="39" t="s">
        <v>288</v>
      </c>
      <c r="C32" s="39" t="s">
        <v>273</v>
      </c>
      <c r="D32" s="39" t="s">
        <v>289</v>
      </c>
      <c r="E32" s="40"/>
      <c r="F32" s="39" t="s">
        <v>167</v>
      </c>
      <c r="G32" s="39"/>
      <c r="H32" s="39"/>
      <c r="I32" s="39" t="s">
        <v>168</v>
      </c>
      <c r="J32" s="39"/>
      <c r="K32" s="39" t="s">
        <v>290</v>
      </c>
      <c r="L32" s="37">
        <v>1</v>
      </c>
      <c r="M32" s="41">
        <v>46304</v>
      </c>
      <c r="N32" s="41">
        <v>46304</v>
      </c>
      <c r="O32" s="37" t="s">
        <v>170</v>
      </c>
      <c r="P32" s="37" t="s">
        <v>291</v>
      </c>
    </row>
    <row r="33" spans="1:16" ht="24" customHeight="1">
      <c r="A33" s="39" t="s">
        <v>292</v>
      </c>
      <c r="B33" s="39" t="s">
        <v>293</v>
      </c>
      <c r="C33" s="39" t="s">
        <v>273</v>
      </c>
      <c r="D33" s="39" t="s">
        <v>294</v>
      </c>
      <c r="E33" s="40"/>
      <c r="F33" s="39" t="s">
        <v>167</v>
      </c>
      <c r="G33" s="39"/>
      <c r="H33" s="39"/>
      <c r="I33" s="39" t="s">
        <v>168</v>
      </c>
      <c r="J33" s="39"/>
      <c r="K33" s="39" t="s">
        <v>295</v>
      </c>
      <c r="L33" s="37">
        <v>1</v>
      </c>
      <c r="M33" s="41">
        <v>46304</v>
      </c>
      <c r="N33" s="41">
        <v>46304</v>
      </c>
      <c r="O33" s="37" t="s">
        <v>170</v>
      </c>
      <c r="P33" s="37" t="s">
        <v>296</v>
      </c>
    </row>
    <row r="34" spans="1:16" ht="24" customHeight="1">
      <c r="A34" s="39" t="s">
        <v>297</v>
      </c>
      <c r="B34" s="39" t="s">
        <v>298</v>
      </c>
      <c r="C34" s="39" t="s">
        <v>299</v>
      </c>
      <c r="D34" s="39" t="s">
        <v>165</v>
      </c>
      <c r="E34" s="40"/>
      <c r="F34" s="39" t="s">
        <v>206</v>
      </c>
      <c r="G34" s="39"/>
      <c r="H34" s="39"/>
      <c r="I34" s="39" t="s">
        <v>168</v>
      </c>
      <c r="J34" s="39"/>
      <c r="K34" s="39" t="s">
        <v>300</v>
      </c>
      <c r="L34" s="37">
        <v>1</v>
      </c>
      <c r="M34" s="41">
        <v>46304</v>
      </c>
      <c r="N34" s="41">
        <v>46304</v>
      </c>
      <c r="O34" s="37" t="s">
        <v>170</v>
      </c>
      <c r="P34" s="37" t="s">
        <v>301</v>
      </c>
    </row>
    <row r="35" spans="1:16" ht="24" customHeight="1">
      <c r="A35" s="39" t="s">
        <v>302</v>
      </c>
      <c r="B35" s="39" t="s">
        <v>303</v>
      </c>
      <c r="C35" s="39" t="s">
        <v>299</v>
      </c>
      <c r="D35" s="39" t="s">
        <v>165</v>
      </c>
      <c r="E35" s="40"/>
      <c r="F35" s="39" t="s">
        <v>206</v>
      </c>
      <c r="G35" s="39"/>
      <c r="H35" s="39"/>
      <c r="I35" s="39" t="s">
        <v>168</v>
      </c>
      <c r="J35" s="39"/>
      <c r="K35" s="39" t="s">
        <v>304</v>
      </c>
      <c r="L35" s="37">
        <v>1</v>
      </c>
      <c r="M35" s="41">
        <v>46304</v>
      </c>
      <c r="N35" s="41">
        <v>46304</v>
      </c>
      <c r="O35" s="37" t="s">
        <v>170</v>
      </c>
      <c r="P35" s="37" t="s">
        <v>305</v>
      </c>
    </row>
    <row r="36" spans="1:16" ht="24" customHeight="1">
      <c r="A36" s="39" t="s">
        <v>306</v>
      </c>
      <c r="B36" s="39" t="s">
        <v>244</v>
      </c>
      <c r="C36" s="39" t="s">
        <v>299</v>
      </c>
      <c r="D36" s="39" t="s">
        <v>174</v>
      </c>
      <c r="E36" s="40"/>
      <c r="F36" s="39" t="s">
        <v>206</v>
      </c>
      <c r="G36" s="39"/>
      <c r="H36" s="39"/>
      <c r="I36" s="39" t="s">
        <v>168</v>
      </c>
      <c r="J36" s="39"/>
      <c r="K36" s="39" t="s">
        <v>307</v>
      </c>
      <c r="L36" s="37">
        <v>1</v>
      </c>
      <c r="M36" s="41">
        <v>46304</v>
      </c>
      <c r="N36" s="41">
        <v>46304</v>
      </c>
      <c r="O36" s="37" t="s">
        <v>170</v>
      </c>
      <c r="P36" s="37" t="s">
        <v>308</v>
      </c>
    </row>
    <row r="37" spans="1:16" ht="24" customHeight="1">
      <c r="A37" s="39" t="s">
        <v>309</v>
      </c>
      <c r="B37" s="39" t="s">
        <v>310</v>
      </c>
      <c r="C37" s="39" t="s">
        <v>299</v>
      </c>
      <c r="D37" s="39" t="s">
        <v>311</v>
      </c>
      <c r="E37" s="40"/>
      <c r="F37" s="39" t="s">
        <v>206</v>
      </c>
      <c r="G37" s="39"/>
      <c r="H37" s="39"/>
      <c r="I37" s="39" t="s">
        <v>168</v>
      </c>
      <c r="J37" s="39"/>
      <c r="K37" s="39" t="s">
        <v>312</v>
      </c>
      <c r="L37" s="37">
        <v>1</v>
      </c>
      <c r="M37" s="41">
        <v>46304</v>
      </c>
      <c r="N37" s="41">
        <v>46304</v>
      </c>
      <c r="O37" s="37" t="s">
        <v>170</v>
      </c>
      <c r="P37" s="37" t="s">
        <v>313</v>
      </c>
    </row>
    <row r="38" spans="1:16" ht="24" customHeight="1">
      <c r="A38" s="39" t="s">
        <v>314</v>
      </c>
      <c r="B38" s="39" t="s">
        <v>315</v>
      </c>
      <c r="C38" s="39" t="s">
        <v>299</v>
      </c>
      <c r="D38" s="39" t="s">
        <v>316</v>
      </c>
      <c r="E38" s="40"/>
      <c r="F38" s="39" t="s">
        <v>206</v>
      </c>
      <c r="G38" s="39"/>
      <c r="H38" s="39"/>
      <c r="I38" s="39" t="s">
        <v>168</v>
      </c>
      <c r="J38" s="39"/>
      <c r="K38" s="39" t="s">
        <v>317</v>
      </c>
      <c r="L38" s="37">
        <v>1</v>
      </c>
      <c r="M38" s="41">
        <v>46304</v>
      </c>
      <c r="N38" s="41">
        <v>46304</v>
      </c>
      <c r="O38" s="37" t="s">
        <v>170</v>
      </c>
      <c r="P38" s="37" t="s">
        <v>318</v>
      </c>
    </row>
    <row r="39" spans="1:16" ht="24" customHeight="1">
      <c r="A39" s="39" t="s">
        <v>319</v>
      </c>
      <c r="B39" s="39" t="s">
        <v>320</v>
      </c>
      <c r="C39" s="39" t="s">
        <v>321</v>
      </c>
      <c r="D39" s="39" t="s">
        <v>322</v>
      </c>
      <c r="E39" s="40"/>
      <c r="F39" s="39" t="s">
        <v>206</v>
      </c>
      <c r="G39" s="39"/>
      <c r="H39" s="39"/>
      <c r="I39" s="39" t="s">
        <v>168</v>
      </c>
      <c r="J39" s="39"/>
      <c r="K39" s="39" t="s">
        <v>323</v>
      </c>
      <c r="L39" s="37">
        <v>1</v>
      </c>
      <c r="M39" s="41">
        <v>46304</v>
      </c>
      <c r="N39" s="41">
        <v>46304</v>
      </c>
      <c r="O39" s="37" t="s">
        <v>170</v>
      </c>
      <c r="P39" s="37" t="s">
        <v>324</v>
      </c>
    </row>
    <row r="40" spans="1:16" ht="24" customHeight="1">
      <c r="A40" s="39" t="s">
        <v>325</v>
      </c>
      <c r="B40" s="39" t="s">
        <v>326</v>
      </c>
      <c r="C40" s="39" t="s">
        <v>321</v>
      </c>
      <c r="D40" s="39" t="s">
        <v>327</v>
      </c>
      <c r="E40" s="40"/>
      <c r="F40" s="39" t="s">
        <v>206</v>
      </c>
      <c r="G40" s="39"/>
      <c r="H40" s="39"/>
      <c r="I40" s="39" t="s">
        <v>168</v>
      </c>
      <c r="J40" s="39"/>
      <c r="K40" s="39" t="s">
        <v>328</v>
      </c>
      <c r="L40" s="37">
        <v>1</v>
      </c>
      <c r="M40" s="41">
        <v>46304</v>
      </c>
      <c r="N40" s="41">
        <v>46304</v>
      </c>
      <c r="O40" s="37" t="s">
        <v>170</v>
      </c>
      <c r="P40" s="37" t="s">
        <v>329</v>
      </c>
    </row>
    <row r="41" spans="1:16" ht="24" customHeight="1">
      <c r="A41" s="39" t="s">
        <v>330</v>
      </c>
      <c r="B41" s="39" t="s">
        <v>331</v>
      </c>
      <c r="C41" s="39" t="s">
        <v>321</v>
      </c>
      <c r="D41" s="39" t="s">
        <v>332</v>
      </c>
      <c r="E41" s="40"/>
      <c r="F41" s="39" t="s">
        <v>206</v>
      </c>
      <c r="G41" s="39"/>
      <c r="H41" s="39"/>
      <c r="I41" s="39" t="s">
        <v>168</v>
      </c>
      <c r="J41" s="39"/>
      <c r="K41" s="39" t="s">
        <v>333</v>
      </c>
      <c r="L41" s="37">
        <v>1</v>
      </c>
      <c r="M41" s="41">
        <v>46304</v>
      </c>
      <c r="N41" s="41">
        <v>46304</v>
      </c>
      <c r="O41" s="37" t="s">
        <v>170</v>
      </c>
      <c r="P41" s="37" t="s">
        <v>334</v>
      </c>
    </row>
    <row r="42" spans="1:16" ht="24" customHeight="1">
      <c r="A42" s="39" t="s">
        <v>335</v>
      </c>
      <c r="B42" s="39" t="s">
        <v>336</v>
      </c>
      <c r="C42" s="39" t="s">
        <v>321</v>
      </c>
      <c r="D42" s="39" t="s">
        <v>337</v>
      </c>
      <c r="E42" s="40"/>
      <c r="F42" s="39" t="s">
        <v>206</v>
      </c>
      <c r="G42" s="39"/>
      <c r="H42" s="39"/>
      <c r="I42" s="39" t="s">
        <v>168</v>
      </c>
      <c r="J42" s="39"/>
      <c r="K42" s="39" t="s">
        <v>338</v>
      </c>
      <c r="L42" s="37">
        <v>1</v>
      </c>
      <c r="M42" s="41">
        <v>46304</v>
      </c>
      <c r="N42" s="41">
        <v>46304</v>
      </c>
      <c r="O42" s="37" t="s">
        <v>170</v>
      </c>
      <c r="P42" s="37" t="s">
        <v>339</v>
      </c>
    </row>
    <row r="43" spans="1:16" ht="24" customHeight="1">
      <c r="A43" s="39" t="s">
        <v>340</v>
      </c>
      <c r="B43" s="39" t="s">
        <v>341</v>
      </c>
      <c r="C43" s="39" t="s">
        <v>321</v>
      </c>
      <c r="D43" s="39" t="s">
        <v>342</v>
      </c>
      <c r="E43" s="40"/>
      <c r="F43" s="39" t="s">
        <v>167</v>
      </c>
      <c r="G43" s="39"/>
      <c r="H43" s="39"/>
      <c r="I43" s="39" t="s">
        <v>168</v>
      </c>
      <c r="J43" s="39"/>
      <c r="K43" s="39" t="s">
        <v>343</v>
      </c>
      <c r="L43" s="37">
        <v>1</v>
      </c>
      <c r="M43" s="41">
        <v>46304</v>
      </c>
      <c r="N43" s="41">
        <v>46304</v>
      </c>
      <c r="O43" s="37" t="s">
        <v>170</v>
      </c>
      <c r="P43" s="37" t="s">
        <v>344</v>
      </c>
    </row>
    <row r="44" spans="1:16" ht="24" customHeight="1">
      <c r="A44" s="39" t="s">
        <v>345</v>
      </c>
      <c r="B44" s="39" t="s">
        <v>346</v>
      </c>
      <c r="C44" s="39" t="s">
        <v>347</v>
      </c>
      <c r="D44" s="39" t="s">
        <v>348</v>
      </c>
      <c r="E44" s="40"/>
      <c r="F44" s="39" t="s">
        <v>206</v>
      </c>
      <c r="G44" s="39"/>
      <c r="H44" s="39"/>
      <c r="I44" s="39" t="s">
        <v>168</v>
      </c>
      <c r="J44" s="39"/>
      <c r="K44" s="39" t="s">
        <v>349</v>
      </c>
      <c r="L44" s="37">
        <v>1</v>
      </c>
      <c r="M44" s="41">
        <v>46304</v>
      </c>
      <c r="N44" s="41">
        <v>46304</v>
      </c>
      <c r="O44" s="37" t="s">
        <v>170</v>
      </c>
      <c r="P44" s="37" t="s">
        <v>350</v>
      </c>
    </row>
    <row r="45" spans="1:16" ht="24" customHeight="1">
      <c r="A45" s="39" t="s">
        <v>351</v>
      </c>
      <c r="B45" s="39" t="s">
        <v>352</v>
      </c>
      <c r="C45" s="39" t="s">
        <v>347</v>
      </c>
      <c r="D45" s="39" t="s">
        <v>353</v>
      </c>
      <c r="E45" s="40"/>
      <c r="F45" s="39" t="s">
        <v>206</v>
      </c>
      <c r="G45" s="39"/>
      <c r="H45" s="39"/>
      <c r="I45" s="39" t="s">
        <v>168</v>
      </c>
      <c r="J45" s="39"/>
      <c r="K45" s="39" t="s">
        <v>354</v>
      </c>
      <c r="L45" s="37">
        <v>1</v>
      </c>
      <c r="M45" s="41">
        <v>46304</v>
      </c>
      <c r="N45" s="41">
        <v>46304</v>
      </c>
      <c r="O45" s="37" t="s">
        <v>170</v>
      </c>
      <c r="P45" s="37" t="s">
        <v>355</v>
      </c>
    </row>
    <row r="46" spans="1:16" ht="24" customHeight="1">
      <c r="A46" s="39" t="s">
        <v>356</v>
      </c>
      <c r="B46" s="39" t="s">
        <v>357</v>
      </c>
      <c r="C46" s="39" t="s">
        <v>347</v>
      </c>
      <c r="D46" s="39" t="s">
        <v>358</v>
      </c>
      <c r="E46" s="40"/>
      <c r="F46" s="39" t="s">
        <v>206</v>
      </c>
      <c r="G46" s="39"/>
      <c r="H46" s="39"/>
      <c r="I46" s="39" t="s">
        <v>168</v>
      </c>
      <c r="J46" s="39"/>
      <c r="K46" s="39" t="s">
        <v>359</v>
      </c>
      <c r="L46" s="37">
        <v>1</v>
      </c>
      <c r="M46" s="41">
        <v>46304</v>
      </c>
      <c r="N46" s="41">
        <v>46304</v>
      </c>
      <c r="O46" s="37" t="s">
        <v>170</v>
      </c>
      <c r="P46" s="37" t="s">
        <v>360</v>
      </c>
    </row>
    <row r="47" spans="1:16" ht="24" customHeight="1">
      <c r="A47" s="39" t="s">
        <v>361</v>
      </c>
      <c r="B47" s="39" t="s">
        <v>362</v>
      </c>
      <c r="C47" s="39" t="s">
        <v>347</v>
      </c>
      <c r="D47" s="39" t="s">
        <v>363</v>
      </c>
      <c r="E47" s="40"/>
      <c r="F47" s="39" t="s">
        <v>206</v>
      </c>
      <c r="G47" s="39"/>
      <c r="H47" s="39"/>
      <c r="I47" s="39" t="s">
        <v>168</v>
      </c>
      <c r="J47" s="39"/>
      <c r="K47" s="39" t="s">
        <v>364</v>
      </c>
      <c r="L47" s="37">
        <v>1</v>
      </c>
      <c r="M47" s="41">
        <v>46304</v>
      </c>
      <c r="N47" s="41">
        <v>46304</v>
      </c>
      <c r="O47" s="37" t="s">
        <v>170</v>
      </c>
      <c r="P47" s="37" t="s">
        <v>365</v>
      </c>
    </row>
    <row r="48" spans="1:16" ht="24" customHeight="1">
      <c r="A48" s="39" t="s">
        <v>366</v>
      </c>
      <c r="B48" s="39" t="s">
        <v>367</v>
      </c>
      <c r="C48" s="39" t="s">
        <v>347</v>
      </c>
      <c r="D48" s="39" t="s">
        <v>367</v>
      </c>
      <c r="E48" s="40"/>
      <c r="F48" s="39" t="s">
        <v>206</v>
      </c>
      <c r="G48" s="39"/>
      <c r="H48" s="39"/>
      <c r="I48" s="39" t="s">
        <v>168</v>
      </c>
      <c r="J48" s="39"/>
      <c r="K48" s="39" t="s">
        <v>368</v>
      </c>
      <c r="L48" s="37">
        <v>1</v>
      </c>
      <c r="M48" s="41">
        <v>46304</v>
      </c>
      <c r="N48" s="41">
        <v>46304</v>
      </c>
      <c r="O48" s="37" t="s">
        <v>170</v>
      </c>
      <c r="P48" s="37" t="s">
        <v>369</v>
      </c>
    </row>
    <row r="49" spans="1:16" ht="24" customHeight="1">
      <c r="A49" s="39" t="s">
        <v>370</v>
      </c>
      <c r="B49" s="39" t="s">
        <v>371</v>
      </c>
      <c r="C49" s="39" t="s">
        <v>372</v>
      </c>
      <c r="D49" s="39" t="s">
        <v>373</v>
      </c>
      <c r="E49" s="40"/>
      <c r="F49" s="39" t="s">
        <v>167</v>
      </c>
      <c r="G49" s="39"/>
      <c r="H49" s="39"/>
      <c r="I49" s="39" t="s">
        <v>168</v>
      </c>
      <c r="J49" s="39"/>
      <c r="K49" s="39" t="s">
        <v>374</v>
      </c>
      <c r="L49" s="37">
        <v>1</v>
      </c>
      <c r="M49" s="41">
        <v>46304</v>
      </c>
      <c r="N49" s="41">
        <v>46304</v>
      </c>
      <c r="O49" s="37" t="s">
        <v>170</v>
      </c>
      <c r="P49" s="37" t="s">
        <v>375</v>
      </c>
    </row>
    <row r="50" spans="1:16" ht="24" customHeight="1">
      <c r="A50" s="39" t="s">
        <v>376</v>
      </c>
      <c r="B50" s="39" t="s">
        <v>377</v>
      </c>
      <c r="C50" s="39" t="s">
        <v>372</v>
      </c>
      <c r="D50" s="39" t="s">
        <v>378</v>
      </c>
      <c r="E50" s="40"/>
      <c r="F50" s="39" t="s">
        <v>167</v>
      </c>
      <c r="G50" s="39"/>
      <c r="H50" s="39"/>
      <c r="I50" s="39" t="s">
        <v>168</v>
      </c>
      <c r="J50" s="39"/>
      <c r="K50" s="39" t="s">
        <v>379</v>
      </c>
      <c r="L50" s="37">
        <v>1</v>
      </c>
      <c r="M50" s="41">
        <v>46304</v>
      </c>
      <c r="N50" s="41">
        <v>46304</v>
      </c>
      <c r="O50" s="37" t="s">
        <v>170</v>
      </c>
      <c r="P50" s="37" t="s">
        <v>380</v>
      </c>
    </row>
    <row r="51" spans="1:16" ht="24" customHeight="1">
      <c r="A51" s="39" t="s">
        <v>381</v>
      </c>
      <c r="B51" s="39" t="s">
        <v>382</v>
      </c>
      <c r="C51" s="39" t="s">
        <v>372</v>
      </c>
      <c r="D51" s="39" t="s">
        <v>383</v>
      </c>
      <c r="E51" s="40"/>
      <c r="F51" s="39" t="s">
        <v>206</v>
      </c>
      <c r="G51" s="39"/>
      <c r="H51" s="39"/>
      <c r="I51" s="39" t="s">
        <v>168</v>
      </c>
      <c r="J51" s="39"/>
      <c r="K51" s="39" t="s">
        <v>384</v>
      </c>
      <c r="L51" s="37">
        <v>1</v>
      </c>
      <c r="M51" s="41">
        <v>46304</v>
      </c>
      <c r="N51" s="41">
        <v>46304</v>
      </c>
      <c r="O51" s="37" t="s">
        <v>170</v>
      </c>
      <c r="P51" s="37" t="s">
        <v>385</v>
      </c>
    </row>
    <row r="52" spans="1:16" ht="24" customHeight="1">
      <c r="A52" s="39" t="s">
        <v>386</v>
      </c>
      <c r="B52" s="39" t="s">
        <v>387</v>
      </c>
      <c r="C52" s="39" t="s">
        <v>372</v>
      </c>
      <c r="D52" s="39" t="s">
        <v>388</v>
      </c>
      <c r="E52" s="40"/>
      <c r="F52" s="39" t="s">
        <v>167</v>
      </c>
      <c r="G52" s="39"/>
      <c r="H52" s="39"/>
      <c r="I52" s="39" t="s">
        <v>168</v>
      </c>
      <c r="J52" s="39"/>
      <c r="K52" s="39" t="s">
        <v>389</v>
      </c>
      <c r="L52" s="37">
        <v>1</v>
      </c>
      <c r="M52" s="41">
        <v>46304</v>
      </c>
      <c r="N52" s="41">
        <v>46304</v>
      </c>
      <c r="O52" s="37" t="s">
        <v>170</v>
      </c>
      <c r="P52" s="37" t="s">
        <v>390</v>
      </c>
    </row>
    <row r="53" spans="1:16" ht="24" customHeight="1">
      <c r="A53" s="39" t="s">
        <v>391</v>
      </c>
      <c r="B53" s="39" t="s">
        <v>392</v>
      </c>
      <c r="C53" s="39" t="s">
        <v>372</v>
      </c>
      <c r="D53" s="39" t="s">
        <v>284</v>
      </c>
      <c r="E53" s="40"/>
      <c r="F53" s="39" t="s">
        <v>206</v>
      </c>
      <c r="G53" s="39"/>
      <c r="H53" s="39"/>
      <c r="I53" s="39" t="s">
        <v>168</v>
      </c>
      <c r="J53" s="39"/>
      <c r="K53" s="39" t="s">
        <v>393</v>
      </c>
      <c r="L53" s="37">
        <v>1</v>
      </c>
      <c r="M53" s="41">
        <v>46304</v>
      </c>
      <c r="N53" s="41">
        <v>46304</v>
      </c>
      <c r="O53" s="37" t="s">
        <v>170</v>
      </c>
      <c r="P53" s="37" t="s">
        <v>394</v>
      </c>
    </row>
    <row r="54" spans="1:16" ht="24" customHeight="1">
      <c r="A54" s="39" t="s">
        <v>395</v>
      </c>
      <c r="B54" s="39" t="s">
        <v>396</v>
      </c>
      <c r="C54" s="39" t="s">
        <v>397</v>
      </c>
      <c r="D54" s="39" t="s">
        <v>398</v>
      </c>
      <c r="E54" s="40"/>
      <c r="F54" s="39" t="s">
        <v>206</v>
      </c>
      <c r="G54" s="39"/>
      <c r="H54" s="39"/>
      <c r="I54" s="39" t="s">
        <v>168</v>
      </c>
      <c r="J54" s="39"/>
      <c r="K54" s="39" t="s">
        <v>399</v>
      </c>
      <c r="L54" s="37">
        <v>1</v>
      </c>
      <c r="M54" s="41">
        <v>46304</v>
      </c>
      <c r="N54" s="41">
        <v>46304</v>
      </c>
      <c r="O54" s="37" t="s">
        <v>170</v>
      </c>
      <c r="P54" s="37" t="s">
        <v>400</v>
      </c>
    </row>
    <row r="55" spans="1:16" ht="24" customHeight="1">
      <c r="A55" s="39" t="s">
        <v>401</v>
      </c>
      <c r="B55" s="39" t="s">
        <v>402</v>
      </c>
      <c r="C55" s="39" t="s">
        <v>397</v>
      </c>
      <c r="D55" s="39" t="s">
        <v>403</v>
      </c>
      <c r="E55" s="40"/>
      <c r="F55" s="39" t="s">
        <v>206</v>
      </c>
      <c r="G55" s="39"/>
      <c r="H55" s="39"/>
      <c r="I55" s="39" t="s">
        <v>168</v>
      </c>
      <c r="J55" s="39"/>
      <c r="K55" s="39" t="s">
        <v>404</v>
      </c>
      <c r="L55" s="37">
        <v>1</v>
      </c>
      <c r="M55" s="41">
        <v>46304</v>
      </c>
      <c r="N55" s="41">
        <v>46304</v>
      </c>
      <c r="O55" s="37" t="s">
        <v>170</v>
      </c>
      <c r="P55" s="37" t="s">
        <v>405</v>
      </c>
    </row>
    <row r="56" spans="1:16" ht="24" customHeight="1">
      <c r="A56" s="39" t="s">
        <v>406</v>
      </c>
      <c r="B56" s="39" t="s">
        <v>407</v>
      </c>
      <c r="C56" s="39" t="s">
        <v>397</v>
      </c>
      <c r="D56" s="39" t="s">
        <v>408</v>
      </c>
      <c r="E56" s="40"/>
      <c r="F56" s="39" t="s">
        <v>206</v>
      </c>
      <c r="G56" s="39"/>
      <c r="H56" s="39"/>
      <c r="I56" s="39" t="s">
        <v>168</v>
      </c>
      <c r="J56" s="39"/>
      <c r="K56" s="39" t="s">
        <v>409</v>
      </c>
      <c r="L56" s="37">
        <v>1</v>
      </c>
      <c r="M56" s="41">
        <v>46304</v>
      </c>
      <c r="N56" s="41">
        <v>46304</v>
      </c>
      <c r="O56" s="37" t="s">
        <v>170</v>
      </c>
      <c r="P56" s="37" t="s">
        <v>410</v>
      </c>
    </row>
    <row r="57" spans="1:16" ht="24" customHeight="1">
      <c r="A57" s="39" t="s">
        <v>411</v>
      </c>
      <c r="B57" s="39" t="s">
        <v>412</v>
      </c>
      <c r="C57" s="39" t="s">
        <v>397</v>
      </c>
      <c r="D57" s="39" t="s">
        <v>413</v>
      </c>
      <c r="E57" s="40"/>
      <c r="F57" s="39" t="s">
        <v>206</v>
      </c>
      <c r="G57" s="39"/>
      <c r="H57" s="39"/>
      <c r="I57" s="39" t="s">
        <v>168</v>
      </c>
      <c r="J57" s="39"/>
      <c r="K57" s="39" t="s">
        <v>414</v>
      </c>
      <c r="L57" s="37">
        <v>1</v>
      </c>
      <c r="M57" s="41">
        <v>46304</v>
      </c>
      <c r="N57" s="41">
        <v>46304</v>
      </c>
      <c r="O57" s="37" t="s">
        <v>170</v>
      </c>
      <c r="P57" s="37" t="s">
        <v>415</v>
      </c>
    </row>
    <row r="58" spans="1:16" ht="24" customHeight="1">
      <c r="A58" s="39" t="s">
        <v>416</v>
      </c>
      <c r="B58" s="39" t="s">
        <v>417</v>
      </c>
      <c r="C58" s="39" t="s">
        <v>397</v>
      </c>
      <c r="D58" s="39" t="s">
        <v>418</v>
      </c>
      <c r="E58" s="40"/>
      <c r="F58" s="39" t="s">
        <v>206</v>
      </c>
      <c r="G58" s="39"/>
      <c r="H58" s="39"/>
      <c r="I58" s="39" t="s">
        <v>168</v>
      </c>
      <c r="J58" s="39"/>
      <c r="K58" s="39" t="s">
        <v>419</v>
      </c>
      <c r="L58" s="37">
        <v>1</v>
      </c>
      <c r="M58" s="41">
        <v>46304</v>
      </c>
      <c r="N58" s="41">
        <v>46304</v>
      </c>
      <c r="O58" s="37" t="s">
        <v>170</v>
      </c>
      <c r="P58" s="37" t="s">
        <v>420</v>
      </c>
    </row>
    <row r="59" spans="1:16" ht="24" customHeight="1">
      <c r="A59" s="39" t="s">
        <v>421</v>
      </c>
      <c r="B59" s="39" t="s">
        <v>422</v>
      </c>
      <c r="C59" s="39" t="s">
        <v>423</v>
      </c>
      <c r="D59" s="39" t="s">
        <v>424</v>
      </c>
      <c r="E59" s="40"/>
      <c r="F59" s="39" t="s">
        <v>206</v>
      </c>
      <c r="G59" s="39"/>
      <c r="H59" s="39"/>
      <c r="I59" s="39" t="s">
        <v>168</v>
      </c>
      <c r="J59" s="39"/>
      <c r="K59" s="39" t="s">
        <v>425</v>
      </c>
      <c r="L59" s="37">
        <v>1</v>
      </c>
      <c r="M59" s="41">
        <v>46304</v>
      </c>
      <c r="N59" s="41">
        <v>46304</v>
      </c>
      <c r="O59" s="37" t="s">
        <v>170</v>
      </c>
      <c r="P59" s="37" t="s">
        <v>426</v>
      </c>
    </row>
    <row r="60" spans="1:16" ht="24" customHeight="1">
      <c r="A60" s="39" t="s">
        <v>427</v>
      </c>
      <c r="B60" s="39" t="s">
        <v>428</v>
      </c>
      <c r="C60" s="39" t="s">
        <v>423</v>
      </c>
      <c r="D60" s="39" t="s">
        <v>429</v>
      </c>
      <c r="E60" s="40"/>
      <c r="F60" s="39" t="s">
        <v>206</v>
      </c>
      <c r="G60" s="39"/>
      <c r="H60" s="39"/>
      <c r="I60" s="39" t="s">
        <v>168</v>
      </c>
      <c r="J60" s="39"/>
      <c r="K60" s="39" t="s">
        <v>430</v>
      </c>
      <c r="L60" s="37">
        <v>1</v>
      </c>
      <c r="M60" s="41">
        <v>46304</v>
      </c>
      <c r="N60" s="41">
        <v>46304</v>
      </c>
      <c r="O60" s="37" t="s">
        <v>170</v>
      </c>
      <c r="P60" s="37" t="s">
        <v>431</v>
      </c>
    </row>
    <row r="61" spans="1:16" ht="24" customHeight="1">
      <c r="A61" s="39" t="s">
        <v>432</v>
      </c>
      <c r="B61" s="39" t="s">
        <v>433</v>
      </c>
      <c r="C61" s="39" t="s">
        <v>423</v>
      </c>
      <c r="D61" s="39" t="s">
        <v>434</v>
      </c>
      <c r="E61" s="40"/>
      <c r="F61" s="39" t="s">
        <v>206</v>
      </c>
      <c r="G61" s="39"/>
      <c r="H61" s="39"/>
      <c r="I61" s="39" t="s">
        <v>168</v>
      </c>
      <c r="J61" s="39"/>
      <c r="K61" s="39" t="s">
        <v>435</v>
      </c>
      <c r="L61" s="37">
        <v>1</v>
      </c>
      <c r="M61" s="41">
        <v>46304</v>
      </c>
      <c r="N61" s="41">
        <v>46304</v>
      </c>
      <c r="O61" s="37" t="s">
        <v>170</v>
      </c>
      <c r="P61" s="37" t="s">
        <v>436</v>
      </c>
    </row>
    <row r="62" spans="1:16" ht="24" customHeight="1">
      <c r="A62" s="39" t="s">
        <v>437</v>
      </c>
      <c r="B62" s="39" t="s">
        <v>438</v>
      </c>
      <c r="C62" s="39" t="s">
        <v>423</v>
      </c>
      <c r="D62" s="39" t="s">
        <v>439</v>
      </c>
      <c r="E62" s="40"/>
      <c r="F62" s="39" t="s">
        <v>206</v>
      </c>
      <c r="G62" s="39"/>
      <c r="H62" s="39"/>
      <c r="I62" s="39" t="s">
        <v>168</v>
      </c>
      <c r="J62" s="39"/>
      <c r="K62" s="39" t="s">
        <v>440</v>
      </c>
      <c r="L62" s="37">
        <v>1</v>
      </c>
      <c r="M62" s="41">
        <v>46304</v>
      </c>
      <c r="N62" s="41">
        <v>46304</v>
      </c>
      <c r="O62" s="37" t="s">
        <v>170</v>
      </c>
      <c r="P62" s="37" t="s">
        <v>441</v>
      </c>
    </row>
    <row r="63" spans="1:16" ht="24" customHeight="1">
      <c r="A63" s="39" t="s">
        <v>442</v>
      </c>
      <c r="B63" s="39" t="s">
        <v>443</v>
      </c>
      <c r="C63" s="39" t="s">
        <v>423</v>
      </c>
      <c r="D63" s="39" t="s">
        <v>444</v>
      </c>
      <c r="E63" s="40"/>
      <c r="F63" s="39" t="s">
        <v>206</v>
      </c>
      <c r="G63" s="39"/>
      <c r="H63" s="39"/>
      <c r="I63" s="39" t="s">
        <v>168</v>
      </c>
      <c r="J63" s="39"/>
      <c r="K63" s="39" t="s">
        <v>445</v>
      </c>
      <c r="L63" s="37">
        <v>1</v>
      </c>
      <c r="M63" s="41">
        <v>46304</v>
      </c>
      <c r="N63" s="41">
        <v>46304</v>
      </c>
      <c r="O63" s="37" t="s">
        <v>170</v>
      </c>
      <c r="P63" s="37" t="s">
        <v>446</v>
      </c>
    </row>
    <row r="64" spans="1:16" ht="24" customHeight="1">
      <c r="A64" s="37"/>
      <c r="B64" s="37"/>
      <c r="C64" s="37"/>
      <c r="D64" s="37"/>
      <c r="E64" s="37"/>
      <c r="F64" s="37"/>
      <c r="G64" s="37"/>
      <c r="H64" s="37"/>
      <c r="I64" s="37"/>
      <c r="J64" s="37"/>
      <c r="K64" s="37"/>
      <c r="L64" s="37"/>
      <c r="M64" s="37"/>
      <c r="N64" s="37"/>
      <c r="O64" s="37"/>
      <c r="P64" s="37"/>
    </row>
    <row r="65" spans="1:16" ht="24" customHeight="1">
      <c r="A65" s="37"/>
      <c r="B65" s="37"/>
      <c r="C65" s="37"/>
      <c r="D65" s="37"/>
      <c r="E65" s="37"/>
      <c r="F65" s="37"/>
      <c r="G65" s="37"/>
      <c r="H65" s="37"/>
      <c r="I65" s="37"/>
      <c r="J65" s="37"/>
      <c r="K65" s="37"/>
      <c r="L65" s="37"/>
      <c r="M65" s="37"/>
      <c r="N65" s="37"/>
      <c r="O65" s="37"/>
      <c r="P65" s="37"/>
    </row>
    <row r="66" spans="1:16" ht="24" customHeight="1">
      <c r="A66" s="37"/>
      <c r="B66" s="37"/>
      <c r="C66" s="37"/>
      <c r="D66" s="37"/>
      <c r="E66" s="37"/>
      <c r="F66" s="37"/>
      <c r="G66" s="37"/>
      <c r="H66" s="37"/>
      <c r="I66" s="37"/>
      <c r="J66" s="37"/>
      <c r="K66" s="37"/>
      <c r="L66" s="37"/>
      <c r="M66" s="37"/>
      <c r="N66" s="37"/>
      <c r="O66" s="37"/>
      <c r="P66" s="37"/>
    </row>
    <row r="67" spans="1:16" ht="24" customHeight="1">
      <c r="A67" s="37"/>
      <c r="B67" s="37"/>
      <c r="C67" s="37"/>
      <c r="D67" s="37"/>
      <c r="E67" s="37"/>
      <c r="F67" s="37"/>
      <c r="G67" s="37"/>
      <c r="H67" s="37"/>
      <c r="I67" s="37"/>
      <c r="J67" s="37"/>
      <c r="K67" s="37"/>
      <c r="L67" s="37"/>
      <c r="M67" s="37"/>
      <c r="N67" s="37"/>
      <c r="O67" s="37"/>
      <c r="P67" s="37"/>
    </row>
    <row r="68" spans="1:16" ht="24" customHeight="1">
      <c r="A68" s="37"/>
      <c r="B68" s="37"/>
      <c r="C68" s="37"/>
      <c r="D68" s="37"/>
      <c r="E68" s="37"/>
      <c r="F68" s="37"/>
      <c r="G68" s="37"/>
      <c r="H68" s="37"/>
      <c r="I68" s="37"/>
      <c r="J68" s="37"/>
      <c r="K68" s="37"/>
      <c r="L68" s="37"/>
      <c r="M68" s="37"/>
      <c r="N68" s="37"/>
      <c r="O68" s="37"/>
      <c r="P68" s="37"/>
    </row>
    <row r="69" spans="1:16" ht="24" customHeight="1">
      <c r="A69" s="37"/>
      <c r="B69" s="37"/>
      <c r="C69" s="37"/>
      <c r="D69" s="37"/>
      <c r="E69" s="37"/>
      <c r="F69" s="37"/>
      <c r="G69" s="37"/>
      <c r="H69" s="37"/>
      <c r="I69" s="37"/>
      <c r="J69" s="37"/>
      <c r="K69" s="37"/>
      <c r="L69" s="37"/>
      <c r="M69" s="37"/>
      <c r="N69" s="37"/>
      <c r="O69" s="37"/>
      <c r="P69" s="37"/>
    </row>
    <row r="70" spans="1:16" ht="24" customHeight="1">
      <c r="A70" s="37"/>
      <c r="B70" s="37"/>
      <c r="C70" s="37"/>
      <c r="D70" s="37"/>
      <c r="E70" s="37"/>
      <c r="F70" s="37"/>
      <c r="G70" s="37"/>
      <c r="H70" s="37"/>
      <c r="I70" s="37"/>
      <c r="J70" s="37"/>
      <c r="K70" s="37"/>
      <c r="L70" s="37"/>
      <c r="M70" s="37"/>
      <c r="N70" s="37"/>
      <c r="O70" s="37"/>
      <c r="P70" s="37"/>
    </row>
  </sheetData>
  <sheetProtection autoFilter="0"/>
  <mergeCells count="22">
    <mergeCell ref="A2:J2"/>
    <mergeCell ref="A3:J3"/>
    <mergeCell ref="A4:J4"/>
    <mergeCell ref="A5:B5"/>
    <mergeCell ref="C5:D5"/>
    <mergeCell ref="E5:F5"/>
    <mergeCell ref="G5:H5"/>
    <mergeCell ref="I5:J5"/>
    <mergeCell ref="A6:B6"/>
    <mergeCell ref="C6:D6"/>
    <mergeCell ref="E6:F6"/>
    <mergeCell ref="G6:H6"/>
    <mergeCell ref="I6:J6"/>
    <mergeCell ref="H8:J8"/>
    <mergeCell ref="H9:J9"/>
    <mergeCell ref="A11:J11"/>
    <mergeCell ref="A8:B8"/>
    <mergeCell ref="A9:B9"/>
    <mergeCell ref="C8:E8"/>
    <mergeCell ref="C9:E9"/>
    <mergeCell ref="F8:G8"/>
    <mergeCell ref="F9:G9"/>
  </mergeCells>
  <conditionalFormatting sqref="I13:I5012">
    <cfRule type="expression" dxfId="254" priority="1">
      <formula>$I13="De verificat"</formula>
    </cfRule>
    <cfRule type="expression" dxfId="253" priority="2">
      <formula>$I13="Inactiv"</formula>
    </cfRule>
    <cfRule type="expression" dxfId="252" priority="3">
      <formula>$I13="Activ"</formula>
    </cfRule>
  </conditionalFormatting>
  <pageMargins left="0.7" right="0.7" top="0.75" bottom="0.75" header="0.3" footer="0.3"/>
  <pageSetup orientation="portrait" r:id="rId1"/>
  <drawing r:id="rId3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6"/>
  <dimension ref="A1:Q1"/>
  <sheetViews>
    <sheetView showGridLines="0" zoomScale="85" workbookViewId="0"/>
  </sheetViews>
  <sheetFormatPr defaultRowHeight="14.4"/>
  <cols>
    <col min="1" max="17" width="23" customWidth="1"/>
  </cols>
  <sheetData>
    <row r="1" spans="1:17" ht="40.049999999999997" customHeight="1">
      <c r="A1" s="15" t="s">
        <v>447</v>
      </c>
      <c r="B1" s="15" t="s">
        <v>448</v>
      </c>
      <c r="C1" s="15" t="s">
        <v>111</v>
      </c>
      <c r="D1" s="15" t="s">
        <v>449</v>
      </c>
      <c r="E1" s="15" t="s">
        <v>114</v>
      </c>
      <c r="F1" s="15" t="s">
        <v>450</v>
      </c>
      <c r="G1" s="15" t="s">
        <v>451</v>
      </c>
      <c r="H1" s="15" t="s">
        <v>452</v>
      </c>
      <c r="I1" s="15" t="s">
        <v>453</v>
      </c>
      <c r="J1" s="15" t="s">
        <v>454</v>
      </c>
      <c r="K1" s="15" t="s">
        <v>455</v>
      </c>
      <c r="L1" s="15" t="s">
        <v>456</v>
      </c>
      <c r="M1" s="15" t="s">
        <v>64</v>
      </c>
      <c r="N1" s="15" t="s">
        <v>13</v>
      </c>
      <c r="O1" s="15" t="s">
        <v>74</v>
      </c>
      <c r="P1" s="15" t="s">
        <v>76</v>
      </c>
      <c r="Q1" s="15" t="s">
        <v>75</v>
      </c>
    </row>
  </sheetData>
  <sheetProtection sheet="1" objects="1" scenarios="1" autoFilter="0"/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7"/>
  <dimension ref="A1:L1"/>
  <sheetViews>
    <sheetView showGridLines="0" zoomScale="85" workbookViewId="0"/>
  </sheetViews>
  <sheetFormatPr defaultRowHeight="14.4"/>
  <cols>
    <col min="1" max="12" width="23" customWidth="1"/>
  </cols>
  <sheetData>
    <row r="1" spans="1:12" ht="40.049999999999997" customHeight="1">
      <c r="A1" s="15" t="s">
        <v>457</v>
      </c>
      <c r="B1" s="15" t="s">
        <v>458</v>
      </c>
      <c r="C1" s="15" t="s">
        <v>111</v>
      </c>
      <c r="D1" s="15" t="s">
        <v>459</v>
      </c>
      <c r="E1" s="15" t="s">
        <v>456</v>
      </c>
      <c r="F1" s="15" t="s">
        <v>460</v>
      </c>
      <c r="G1" s="15" t="s">
        <v>62</v>
      </c>
      <c r="H1" s="15" t="s">
        <v>64</v>
      </c>
      <c r="I1" s="15" t="s">
        <v>13</v>
      </c>
      <c r="J1" s="15" t="s">
        <v>74</v>
      </c>
      <c r="K1" s="15" t="s">
        <v>76</v>
      </c>
      <c r="L1" s="15" t="s">
        <v>75</v>
      </c>
    </row>
  </sheetData>
  <sheetProtection sheet="1" objects="1" scenarios="1" autoFilter="0"/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8"/>
  <dimension ref="A1:L1"/>
  <sheetViews>
    <sheetView showGridLines="0" zoomScale="85" workbookViewId="0"/>
  </sheetViews>
  <sheetFormatPr defaultRowHeight="14.4"/>
  <cols>
    <col min="1" max="12" width="23" customWidth="1"/>
  </cols>
  <sheetData>
    <row r="1" spans="1:12" ht="40.049999999999997" customHeight="1">
      <c r="A1" s="15" t="s">
        <v>109</v>
      </c>
      <c r="B1" s="15" t="s">
        <v>461</v>
      </c>
      <c r="C1" s="15" t="s">
        <v>111</v>
      </c>
      <c r="D1" s="15" t="s">
        <v>114</v>
      </c>
      <c r="E1" s="15" t="s">
        <v>457</v>
      </c>
      <c r="F1" s="15" t="s">
        <v>456</v>
      </c>
      <c r="G1" s="15" t="s">
        <v>62</v>
      </c>
      <c r="H1" s="15" t="s">
        <v>64</v>
      </c>
      <c r="I1" s="15" t="s">
        <v>13</v>
      </c>
      <c r="J1" s="15" t="s">
        <v>74</v>
      </c>
      <c r="K1" s="15" t="s">
        <v>76</v>
      </c>
      <c r="L1" s="15" t="s">
        <v>75</v>
      </c>
    </row>
  </sheetData>
  <sheetProtection sheet="1" objects="1" scenarios="1" autoFilter="0"/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9"/>
  <dimension ref="A1:F321"/>
  <sheetViews>
    <sheetView showGridLines="0" zoomScale="85" workbookViewId="0"/>
  </sheetViews>
  <sheetFormatPr defaultRowHeight="14.4"/>
  <cols>
    <col min="1" max="2" width="44" customWidth="1"/>
    <col min="3" max="3" width="33" customWidth="1"/>
    <col min="4" max="4" width="40" customWidth="1"/>
    <col min="5" max="5" width="10" customWidth="1"/>
    <col min="6" max="6" width="100" customWidth="1"/>
  </cols>
  <sheetData>
    <row r="1" spans="1:6" ht="40.049999999999997" customHeight="1">
      <c r="A1" s="15" t="s">
        <v>462</v>
      </c>
      <c r="B1" s="15" t="s">
        <v>108</v>
      </c>
      <c r="C1" s="15" t="s">
        <v>463</v>
      </c>
      <c r="D1" s="15" t="s">
        <v>464</v>
      </c>
      <c r="E1" s="15" t="s">
        <v>81</v>
      </c>
      <c r="F1" s="15" t="s">
        <v>161</v>
      </c>
    </row>
    <row r="2" spans="1:6">
      <c r="A2" s="16" t="s">
        <v>465</v>
      </c>
      <c r="B2" s="16" t="s">
        <v>169</v>
      </c>
      <c r="C2" s="16" t="s">
        <v>466</v>
      </c>
      <c r="D2" s="16" t="s">
        <v>162</v>
      </c>
      <c r="E2" s="16"/>
      <c r="F2" s="16" t="s">
        <v>171</v>
      </c>
    </row>
    <row r="3" spans="1:6">
      <c r="A3" s="16" t="s">
        <v>467</v>
      </c>
      <c r="B3" s="16" t="s">
        <v>169</v>
      </c>
      <c r="C3" s="16" t="s">
        <v>468</v>
      </c>
      <c r="D3" s="16" t="s">
        <v>165</v>
      </c>
      <c r="E3" s="16"/>
      <c r="F3" s="16" t="s">
        <v>171</v>
      </c>
    </row>
    <row r="4" spans="1:6">
      <c r="A4" s="16" t="s">
        <v>469</v>
      </c>
      <c r="B4" s="16" t="s">
        <v>169</v>
      </c>
      <c r="C4" s="16" t="s">
        <v>470</v>
      </c>
      <c r="D4" s="16" t="s">
        <v>163</v>
      </c>
      <c r="E4" s="16"/>
      <c r="F4" s="16" t="s">
        <v>171</v>
      </c>
    </row>
    <row r="5" spans="1:6">
      <c r="A5" s="16" t="s">
        <v>471</v>
      </c>
      <c r="B5" s="16" t="s">
        <v>169</v>
      </c>
      <c r="C5" s="16" t="s">
        <v>472</v>
      </c>
      <c r="D5" s="16" t="s">
        <v>473</v>
      </c>
      <c r="E5" s="16"/>
      <c r="F5" s="16" t="s">
        <v>171</v>
      </c>
    </row>
    <row r="6" spans="1:6">
      <c r="A6" s="16" t="s">
        <v>474</v>
      </c>
      <c r="B6" s="16" t="s">
        <v>169</v>
      </c>
      <c r="C6" s="16" t="s">
        <v>81</v>
      </c>
      <c r="D6" s="16" t="s">
        <v>167</v>
      </c>
      <c r="E6" s="16"/>
      <c r="F6" s="16" t="s">
        <v>171</v>
      </c>
    </row>
    <row r="7" spans="1:6">
      <c r="A7" s="16" t="s">
        <v>475</v>
      </c>
      <c r="B7" s="16" t="s">
        <v>169</v>
      </c>
      <c r="C7" s="16" t="s">
        <v>476</v>
      </c>
      <c r="D7" s="16" t="s">
        <v>477</v>
      </c>
      <c r="E7" s="16"/>
      <c r="F7" s="16" t="s">
        <v>171</v>
      </c>
    </row>
    <row r="8" spans="1:6">
      <c r="A8" s="16" t="s">
        <v>478</v>
      </c>
      <c r="B8" s="16" t="s">
        <v>169</v>
      </c>
      <c r="C8" s="16" t="s">
        <v>479</v>
      </c>
      <c r="D8" s="16" t="s">
        <v>473</v>
      </c>
      <c r="E8" s="16"/>
      <c r="F8" s="16" t="s">
        <v>171</v>
      </c>
    </row>
    <row r="9" spans="1:6">
      <c r="A9" s="16" t="s">
        <v>480</v>
      </c>
      <c r="B9" s="16" t="s">
        <v>169</v>
      </c>
      <c r="C9" s="16" t="s">
        <v>481</v>
      </c>
      <c r="D9" s="16" t="s">
        <v>482</v>
      </c>
      <c r="E9" s="16"/>
      <c r="F9" s="16" t="s">
        <v>171</v>
      </c>
    </row>
    <row r="10" spans="1:6">
      <c r="A10" s="16" t="s">
        <v>483</v>
      </c>
      <c r="B10" s="16" t="s">
        <v>169</v>
      </c>
      <c r="C10" s="16" t="s">
        <v>484</v>
      </c>
      <c r="D10" s="16" t="s">
        <v>485</v>
      </c>
      <c r="E10" s="16"/>
      <c r="F10" s="16" t="s">
        <v>171</v>
      </c>
    </row>
    <row r="11" spans="1:6">
      <c r="A11" s="16" t="s">
        <v>486</v>
      </c>
      <c r="B11" s="16" t="s">
        <v>176</v>
      </c>
      <c r="C11" s="16" t="s">
        <v>466</v>
      </c>
      <c r="D11" s="16" t="s">
        <v>172</v>
      </c>
      <c r="E11" s="16"/>
      <c r="F11" s="16" t="s">
        <v>177</v>
      </c>
    </row>
    <row r="12" spans="1:6">
      <c r="A12" s="16" t="s">
        <v>487</v>
      </c>
      <c r="B12" s="16" t="s">
        <v>176</v>
      </c>
      <c r="C12" s="16" t="s">
        <v>468</v>
      </c>
      <c r="D12" s="16" t="s">
        <v>174</v>
      </c>
      <c r="E12" s="16"/>
      <c r="F12" s="16" t="s">
        <v>177</v>
      </c>
    </row>
    <row r="13" spans="1:6">
      <c r="A13" s="16" t="s">
        <v>488</v>
      </c>
      <c r="B13" s="16" t="s">
        <v>176</v>
      </c>
      <c r="C13" s="16" t="s">
        <v>470</v>
      </c>
      <c r="D13" s="16" t="s">
        <v>173</v>
      </c>
      <c r="E13" s="16"/>
      <c r="F13" s="16" t="s">
        <v>177</v>
      </c>
    </row>
    <row r="14" spans="1:6">
      <c r="A14" s="16" t="s">
        <v>489</v>
      </c>
      <c r="B14" s="16" t="s">
        <v>176</v>
      </c>
      <c r="C14" s="16" t="s">
        <v>472</v>
      </c>
      <c r="D14" s="16" t="s">
        <v>175</v>
      </c>
      <c r="E14" s="16"/>
      <c r="F14" s="16" t="s">
        <v>177</v>
      </c>
    </row>
    <row r="15" spans="1:6">
      <c r="A15" s="16" t="s">
        <v>490</v>
      </c>
      <c r="B15" s="16" t="s">
        <v>176</v>
      </c>
      <c r="C15" s="16" t="s">
        <v>81</v>
      </c>
      <c r="D15" s="16" t="s">
        <v>167</v>
      </c>
      <c r="E15" s="16"/>
      <c r="F15" s="16" t="s">
        <v>177</v>
      </c>
    </row>
    <row r="16" spans="1:6">
      <c r="A16" s="16" t="s">
        <v>491</v>
      </c>
      <c r="B16" s="16" t="s">
        <v>176</v>
      </c>
      <c r="C16" s="16" t="s">
        <v>479</v>
      </c>
      <c r="D16" s="16" t="s">
        <v>175</v>
      </c>
      <c r="E16" s="16"/>
      <c r="F16" s="16" t="s">
        <v>177</v>
      </c>
    </row>
    <row r="17" spans="1:6">
      <c r="A17" s="16" t="s">
        <v>492</v>
      </c>
      <c r="B17" s="16" t="s">
        <v>176</v>
      </c>
      <c r="C17" s="16" t="s">
        <v>481</v>
      </c>
      <c r="D17" s="16" t="s">
        <v>482</v>
      </c>
      <c r="E17" s="16"/>
      <c r="F17" s="16" t="s">
        <v>177</v>
      </c>
    </row>
    <row r="18" spans="1:6">
      <c r="A18" s="16" t="s">
        <v>493</v>
      </c>
      <c r="B18" s="16" t="s">
        <v>176</v>
      </c>
      <c r="C18" s="16" t="s">
        <v>484</v>
      </c>
      <c r="D18" s="16" t="s">
        <v>485</v>
      </c>
      <c r="E18" s="16"/>
      <c r="F18" s="16" t="s">
        <v>177</v>
      </c>
    </row>
    <row r="19" spans="1:6">
      <c r="A19" s="16" t="s">
        <v>494</v>
      </c>
      <c r="B19" s="16" t="s">
        <v>181</v>
      </c>
      <c r="C19" s="16" t="s">
        <v>466</v>
      </c>
      <c r="D19" s="16" t="s">
        <v>178</v>
      </c>
      <c r="E19" s="16"/>
      <c r="F19" s="16" t="s">
        <v>182</v>
      </c>
    </row>
    <row r="20" spans="1:6">
      <c r="A20" s="16" t="s">
        <v>495</v>
      </c>
      <c r="B20" s="16" t="s">
        <v>181</v>
      </c>
      <c r="C20" s="16" t="s">
        <v>468</v>
      </c>
      <c r="D20" s="16" t="s">
        <v>174</v>
      </c>
      <c r="E20" s="16"/>
      <c r="F20" s="16" t="s">
        <v>182</v>
      </c>
    </row>
    <row r="21" spans="1:6">
      <c r="A21" s="16" t="s">
        <v>496</v>
      </c>
      <c r="B21" s="16" t="s">
        <v>181</v>
      </c>
      <c r="C21" s="16" t="s">
        <v>470</v>
      </c>
      <c r="D21" s="16" t="s">
        <v>179</v>
      </c>
      <c r="E21" s="16"/>
      <c r="F21" s="16" t="s">
        <v>182</v>
      </c>
    </row>
    <row r="22" spans="1:6">
      <c r="A22" s="16" t="s">
        <v>497</v>
      </c>
      <c r="B22" s="16" t="s">
        <v>181</v>
      </c>
      <c r="C22" s="16" t="s">
        <v>472</v>
      </c>
      <c r="D22" s="16" t="s">
        <v>180</v>
      </c>
      <c r="E22" s="16"/>
      <c r="F22" s="16" t="s">
        <v>182</v>
      </c>
    </row>
    <row r="23" spans="1:6">
      <c r="A23" s="16" t="s">
        <v>498</v>
      </c>
      <c r="B23" s="16" t="s">
        <v>181</v>
      </c>
      <c r="C23" s="16" t="s">
        <v>81</v>
      </c>
      <c r="D23" s="16" t="s">
        <v>167</v>
      </c>
      <c r="E23" s="16"/>
      <c r="F23" s="16" t="s">
        <v>182</v>
      </c>
    </row>
    <row r="24" spans="1:6">
      <c r="A24" s="16" t="s">
        <v>499</v>
      </c>
      <c r="B24" s="16" t="s">
        <v>181</v>
      </c>
      <c r="C24" s="16" t="s">
        <v>479</v>
      </c>
      <c r="D24" s="16" t="s">
        <v>180</v>
      </c>
      <c r="E24" s="16"/>
      <c r="F24" s="16" t="s">
        <v>182</v>
      </c>
    </row>
    <row r="25" spans="1:6">
      <c r="A25" s="16" t="s">
        <v>500</v>
      </c>
      <c r="B25" s="16" t="s">
        <v>181</v>
      </c>
      <c r="C25" s="16" t="s">
        <v>481</v>
      </c>
      <c r="D25" s="16" t="s">
        <v>482</v>
      </c>
      <c r="E25" s="16"/>
      <c r="F25" s="16" t="s">
        <v>182</v>
      </c>
    </row>
    <row r="26" spans="1:6">
      <c r="A26" s="16" t="s">
        <v>501</v>
      </c>
      <c r="B26" s="16" t="s">
        <v>181</v>
      </c>
      <c r="C26" s="16" t="s">
        <v>484</v>
      </c>
      <c r="D26" s="16" t="s">
        <v>485</v>
      </c>
      <c r="E26" s="16"/>
      <c r="F26" s="16" t="s">
        <v>182</v>
      </c>
    </row>
    <row r="27" spans="1:6">
      <c r="A27" s="16" t="s">
        <v>502</v>
      </c>
      <c r="B27" s="16" t="s">
        <v>187</v>
      </c>
      <c r="C27" s="16" t="s">
        <v>466</v>
      </c>
      <c r="D27" s="16" t="s">
        <v>183</v>
      </c>
      <c r="E27" s="16"/>
      <c r="F27" s="16" t="s">
        <v>188</v>
      </c>
    </row>
    <row r="28" spans="1:6">
      <c r="A28" s="16" t="s">
        <v>503</v>
      </c>
      <c r="B28" s="16" t="s">
        <v>187</v>
      </c>
      <c r="C28" s="16" t="s">
        <v>468</v>
      </c>
      <c r="D28" s="16" t="s">
        <v>185</v>
      </c>
      <c r="E28" s="16"/>
      <c r="F28" s="16" t="s">
        <v>188</v>
      </c>
    </row>
    <row r="29" spans="1:6">
      <c r="A29" s="16" t="s">
        <v>504</v>
      </c>
      <c r="B29" s="16" t="s">
        <v>187</v>
      </c>
      <c r="C29" s="16" t="s">
        <v>470</v>
      </c>
      <c r="D29" s="16" t="s">
        <v>184</v>
      </c>
      <c r="E29" s="16"/>
      <c r="F29" s="16" t="s">
        <v>188</v>
      </c>
    </row>
    <row r="30" spans="1:6">
      <c r="A30" s="16" t="s">
        <v>505</v>
      </c>
      <c r="B30" s="16" t="s">
        <v>187</v>
      </c>
      <c r="C30" s="16" t="s">
        <v>472</v>
      </c>
      <c r="D30" s="16" t="s">
        <v>186</v>
      </c>
      <c r="E30" s="16"/>
      <c r="F30" s="16" t="s">
        <v>188</v>
      </c>
    </row>
    <row r="31" spans="1:6">
      <c r="A31" s="16" t="s">
        <v>506</v>
      </c>
      <c r="B31" s="16" t="s">
        <v>187</v>
      </c>
      <c r="C31" s="16" t="s">
        <v>81</v>
      </c>
      <c r="D31" s="16" t="s">
        <v>167</v>
      </c>
      <c r="E31" s="16"/>
      <c r="F31" s="16" t="s">
        <v>188</v>
      </c>
    </row>
    <row r="32" spans="1:6">
      <c r="A32" s="16" t="s">
        <v>507</v>
      </c>
      <c r="B32" s="16" t="s">
        <v>187</v>
      </c>
      <c r="C32" s="16" t="s">
        <v>481</v>
      </c>
      <c r="D32" s="16" t="s">
        <v>482</v>
      </c>
      <c r="E32" s="16"/>
      <c r="F32" s="16" t="s">
        <v>188</v>
      </c>
    </row>
    <row r="33" spans="1:6">
      <c r="A33" s="16" t="s">
        <v>508</v>
      </c>
      <c r="B33" s="16" t="s">
        <v>187</v>
      </c>
      <c r="C33" s="16" t="s">
        <v>484</v>
      </c>
      <c r="D33" s="16" t="s">
        <v>485</v>
      </c>
      <c r="E33" s="16"/>
      <c r="F33" s="16" t="s">
        <v>188</v>
      </c>
    </row>
    <row r="34" spans="1:6">
      <c r="A34" s="16" t="s">
        <v>509</v>
      </c>
      <c r="B34" s="16" t="s">
        <v>193</v>
      </c>
      <c r="C34" s="16" t="s">
        <v>466</v>
      </c>
      <c r="D34" s="16" t="s">
        <v>189</v>
      </c>
      <c r="E34" s="16"/>
      <c r="F34" s="16" t="s">
        <v>194</v>
      </c>
    </row>
    <row r="35" spans="1:6">
      <c r="A35" s="16" t="s">
        <v>510</v>
      </c>
      <c r="B35" s="16" t="s">
        <v>193</v>
      </c>
      <c r="C35" s="16" t="s">
        <v>468</v>
      </c>
      <c r="D35" s="16" t="s">
        <v>191</v>
      </c>
      <c r="E35" s="16"/>
      <c r="F35" s="16" t="s">
        <v>194</v>
      </c>
    </row>
    <row r="36" spans="1:6">
      <c r="A36" s="16" t="s">
        <v>511</v>
      </c>
      <c r="B36" s="16" t="s">
        <v>193</v>
      </c>
      <c r="C36" s="16" t="s">
        <v>470</v>
      </c>
      <c r="D36" s="16" t="s">
        <v>190</v>
      </c>
      <c r="E36" s="16"/>
      <c r="F36" s="16" t="s">
        <v>194</v>
      </c>
    </row>
    <row r="37" spans="1:6">
      <c r="A37" s="16" t="s">
        <v>512</v>
      </c>
      <c r="B37" s="16" t="s">
        <v>193</v>
      </c>
      <c r="C37" s="16" t="s">
        <v>472</v>
      </c>
      <c r="D37" s="16" t="s">
        <v>192</v>
      </c>
      <c r="E37" s="16"/>
      <c r="F37" s="16" t="s">
        <v>194</v>
      </c>
    </row>
    <row r="38" spans="1:6">
      <c r="A38" s="16" t="s">
        <v>513</v>
      </c>
      <c r="B38" s="16" t="s">
        <v>193</v>
      </c>
      <c r="C38" s="16" t="s">
        <v>81</v>
      </c>
      <c r="D38" s="16" t="s">
        <v>167</v>
      </c>
      <c r="E38" s="16"/>
      <c r="F38" s="16" t="s">
        <v>194</v>
      </c>
    </row>
    <row r="39" spans="1:6">
      <c r="A39" s="16" t="s">
        <v>514</v>
      </c>
      <c r="B39" s="16" t="s">
        <v>193</v>
      </c>
      <c r="C39" s="16" t="s">
        <v>481</v>
      </c>
      <c r="D39" s="16" t="s">
        <v>482</v>
      </c>
      <c r="E39" s="16"/>
      <c r="F39" s="16" t="s">
        <v>194</v>
      </c>
    </row>
    <row r="40" spans="1:6">
      <c r="A40" s="16" t="s">
        <v>515</v>
      </c>
      <c r="B40" s="16" t="s">
        <v>193</v>
      </c>
      <c r="C40" s="16" t="s">
        <v>484</v>
      </c>
      <c r="D40" s="16" t="s">
        <v>485</v>
      </c>
      <c r="E40" s="16"/>
      <c r="F40" s="16" t="s">
        <v>194</v>
      </c>
    </row>
    <row r="41" spans="1:6">
      <c r="A41" s="16" t="s">
        <v>516</v>
      </c>
      <c r="B41" s="16" t="s">
        <v>199</v>
      </c>
      <c r="C41" s="16" t="s">
        <v>466</v>
      </c>
      <c r="D41" s="16" t="s">
        <v>195</v>
      </c>
      <c r="E41" s="16"/>
      <c r="F41" s="16" t="s">
        <v>200</v>
      </c>
    </row>
    <row r="42" spans="1:6">
      <c r="A42" s="16" t="s">
        <v>517</v>
      </c>
      <c r="B42" s="16" t="s">
        <v>199</v>
      </c>
      <c r="C42" s="16" t="s">
        <v>468</v>
      </c>
      <c r="D42" s="16" t="s">
        <v>197</v>
      </c>
      <c r="E42" s="16"/>
      <c r="F42" s="16" t="s">
        <v>200</v>
      </c>
    </row>
    <row r="43" spans="1:6">
      <c r="A43" s="16" t="s">
        <v>518</v>
      </c>
      <c r="B43" s="16" t="s">
        <v>199</v>
      </c>
      <c r="C43" s="16" t="s">
        <v>470</v>
      </c>
      <c r="D43" s="16" t="s">
        <v>196</v>
      </c>
      <c r="E43" s="16"/>
      <c r="F43" s="16" t="s">
        <v>200</v>
      </c>
    </row>
    <row r="44" spans="1:6">
      <c r="A44" s="16" t="s">
        <v>519</v>
      </c>
      <c r="B44" s="16" t="s">
        <v>199</v>
      </c>
      <c r="C44" s="16" t="s">
        <v>472</v>
      </c>
      <c r="D44" s="16" t="s">
        <v>520</v>
      </c>
      <c r="E44" s="16"/>
      <c r="F44" s="16" t="s">
        <v>200</v>
      </c>
    </row>
    <row r="45" spans="1:6">
      <c r="A45" s="16" t="s">
        <v>521</v>
      </c>
      <c r="B45" s="16" t="s">
        <v>199</v>
      </c>
      <c r="C45" s="16" t="s">
        <v>81</v>
      </c>
      <c r="D45" s="16" t="s">
        <v>167</v>
      </c>
      <c r="E45" s="16"/>
      <c r="F45" s="16" t="s">
        <v>200</v>
      </c>
    </row>
    <row r="46" spans="1:6">
      <c r="A46" s="16" t="s">
        <v>522</v>
      </c>
      <c r="B46" s="16" t="s">
        <v>199</v>
      </c>
      <c r="C46" s="16" t="s">
        <v>479</v>
      </c>
      <c r="D46" s="16" t="s">
        <v>473</v>
      </c>
      <c r="E46" s="16"/>
      <c r="F46" s="16" t="s">
        <v>200</v>
      </c>
    </row>
    <row r="47" spans="1:6">
      <c r="A47" s="16" t="s">
        <v>523</v>
      </c>
      <c r="B47" s="16" t="s">
        <v>199</v>
      </c>
      <c r="C47" s="16" t="s">
        <v>481</v>
      </c>
      <c r="D47" s="16" t="s">
        <v>482</v>
      </c>
      <c r="E47" s="16"/>
      <c r="F47" s="16" t="s">
        <v>200</v>
      </c>
    </row>
    <row r="48" spans="1:6">
      <c r="A48" s="16" t="s">
        <v>524</v>
      </c>
      <c r="B48" s="16" t="s">
        <v>199</v>
      </c>
      <c r="C48" s="16" t="s">
        <v>484</v>
      </c>
      <c r="D48" s="16" t="s">
        <v>485</v>
      </c>
      <c r="E48" s="16"/>
      <c r="F48" s="16" t="s">
        <v>200</v>
      </c>
    </row>
    <row r="49" spans="1:6">
      <c r="A49" s="16" t="s">
        <v>525</v>
      </c>
      <c r="B49" s="16" t="s">
        <v>208</v>
      </c>
      <c r="C49" s="16" t="s">
        <v>466</v>
      </c>
      <c r="D49" s="16" t="s">
        <v>201</v>
      </c>
      <c r="E49" s="16"/>
      <c r="F49" s="16" t="s">
        <v>209</v>
      </c>
    </row>
    <row r="50" spans="1:6">
      <c r="A50" s="16" t="s">
        <v>526</v>
      </c>
      <c r="B50" s="16" t="s">
        <v>208</v>
      </c>
      <c r="C50" s="16" t="s">
        <v>527</v>
      </c>
      <c r="D50" s="16" t="s">
        <v>165</v>
      </c>
      <c r="E50" s="16"/>
      <c r="F50" s="16" t="s">
        <v>209</v>
      </c>
    </row>
    <row r="51" spans="1:6">
      <c r="A51" s="16" t="s">
        <v>528</v>
      </c>
      <c r="B51" s="16" t="s">
        <v>208</v>
      </c>
      <c r="C51" s="16" t="s">
        <v>159</v>
      </c>
      <c r="D51" s="16" t="s">
        <v>529</v>
      </c>
      <c r="E51" s="16"/>
      <c r="F51" s="16" t="s">
        <v>209</v>
      </c>
    </row>
    <row r="52" spans="1:6">
      <c r="A52" s="16" t="s">
        <v>530</v>
      </c>
      <c r="B52" s="16" t="s">
        <v>208</v>
      </c>
      <c r="C52" s="16" t="s">
        <v>531</v>
      </c>
      <c r="D52" s="16" t="s">
        <v>202</v>
      </c>
      <c r="E52" s="16"/>
      <c r="F52" s="16" t="s">
        <v>209</v>
      </c>
    </row>
    <row r="53" spans="1:6">
      <c r="A53" s="16" t="s">
        <v>532</v>
      </c>
      <c r="B53" s="16" t="s">
        <v>208</v>
      </c>
      <c r="C53" s="16" t="s">
        <v>533</v>
      </c>
      <c r="D53" s="16" t="s">
        <v>207</v>
      </c>
      <c r="E53" s="16"/>
      <c r="F53" s="16" t="s">
        <v>209</v>
      </c>
    </row>
    <row r="54" spans="1:6">
      <c r="A54" s="16" t="s">
        <v>534</v>
      </c>
      <c r="B54" s="16" t="s">
        <v>208</v>
      </c>
      <c r="C54" s="16" t="s">
        <v>81</v>
      </c>
      <c r="D54" s="16" t="s">
        <v>206</v>
      </c>
      <c r="E54" s="16"/>
      <c r="F54" s="16" t="s">
        <v>209</v>
      </c>
    </row>
    <row r="55" spans="1:6">
      <c r="A55" s="16" t="s">
        <v>535</v>
      </c>
      <c r="B55" s="16" t="s">
        <v>208</v>
      </c>
      <c r="C55" s="16" t="s">
        <v>479</v>
      </c>
      <c r="D55" s="16" t="s">
        <v>536</v>
      </c>
      <c r="E55" s="16"/>
      <c r="F55" s="16" t="s">
        <v>209</v>
      </c>
    </row>
    <row r="56" spans="1:6">
      <c r="A56" s="16" t="s">
        <v>537</v>
      </c>
      <c r="B56" s="16" t="s">
        <v>208</v>
      </c>
      <c r="C56" s="16" t="s">
        <v>481</v>
      </c>
      <c r="D56" s="16" t="s">
        <v>482</v>
      </c>
      <c r="E56" s="16"/>
      <c r="F56" s="16" t="s">
        <v>209</v>
      </c>
    </row>
    <row r="57" spans="1:6">
      <c r="A57" s="16" t="s">
        <v>538</v>
      </c>
      <c r="B57" s="16" t="s">
        <v>208</v>
      </c>
      <c r="C57" s="16" t="s">
        <v>484</v>
      </c>
      <c r="D57" s="16" t="s">
        <v>485</v>
      </c>
      <c r="E57" s="16"/>
      <c r="F57" s="16" t="s">
        <v>209</v>
      </c>
    </row>
    <row r="58" spans="1:6">
      <c r="A58" s="16" t="s">
        <v>539</v>
      </c>
      <c r="B58" s="16" t="s">
        <v>208</v>
      </c>
      <c r="C58" s="16" t="s">
        <v>540</v>
      </c>
      <c r="D58" s="16" t="s">
        <v>168</v>
      </c>
      <c r="E58" s="16"/>
      <c r="F58" s="16" t="s">
        <v>209</v>
      </c>
    </row>
    <row r="59" spans="1:6">
      <c r="A59" s="16" t="s">
        <v>541</v>
      </c>
      <c r="B59" s="16" t="s">
        <v>213</v>
      </c>
      <c r="C59" s="16" t="s">
        <v>466</v>
      </c>
      <c r="D59" s="16" t="s">
        <v>210</v>
      </c>
      <c r="E59" s="16"/>
      <c r="F59" s="16" t="s">
        <v>214</v>
      </c>
    </row>
    <row r="60" spans="1:6">
      <c r="A60" s="16" t="s">
        <v>542</v>
      </c>
      <c r="B60" s="16" t="s">
        <v>213</v>
      </c>
      <c r="C60" s="16" t="s">
        <v>527</v>
      </c>
      <c r="D60" s="16" t="s">
        <v>165</v>
      </c>
      <c r="E60" s="16"/>
      <c r="F60" s="16" t="s">
        <v>214</v>
      </c>
    </row>
    <row r="61" spans="1:6">
      <c r="A61" s="16" t="s">
        <v>543</v>
      </c>
      <c r="B61" s="16" t="s">
        <v>213</v>
      </c>
      <c r="C61" s="16" t="s">
        <v>159</v>
      </c>
      <c r="D61" s="16" t="s">
        <v>529</v>
      </c>
      <c r="E61" s="16"/>
      <c r="F61" s="16" t="s">
        <v>214</v>
      </c>
    </row>
    <row r="62" spans="1:6">
      <c r="A62" s="16" t="s">
        <v>544</v>
      </c>
      <c r="B62" s="16" t="s">
        <v>213</v>
      </c>
      <c r="C62" s="16" t="s">
        <v>531</v>
      </c>
      <c r="D62" s="16" t="s">
        <v>202</v>
      </c>
      <c r="E62" s="16"/>
      <c r="F62" s="16" t="s">
        <v>214</v>
      </c>
    </row>
    <row r="63" spans="1:6">
      <c r="A63" s="16" t="s">
        <v>545</v>
      </c>
      <c r="B63" s="16" t="s">
        <v>213</v>
      </c>
      <c r="C63" s="16" t="s">
        <v>533</v>
      </c>
      <c r="D63" s="16" t="s">
        <v>212</v>
      </c>
      <c r="E63" s="16"/>
      <c r="F63" s="16" t="s">
        <v>214</v>
      </c>
    </row>
    <row r="64" spans="1:6">
      <c r="A64" s="16" t="s">
        <v>546</v>
      </c>
      <c r="B64" s="16" t="s">
        <v>213</v>
      </c>
      <c r="C64" s="16" t="s">
        <v>81</v>
      </c>
      <c r="D64" s="16" t="s">
        <v>206</v>
      </c>
      <c r="E64" s="16"/>
      <c r="F64" s="16" t="s">
        <v>214</v>
      </c>
    </row>
    <row r="65" spans="1:6">
      <c r="A65" s="16" t="s">
        <v>547</v>
      </c>
      <c r="B65" s="16" t="s">
        <v>213</v>
      </c>
      <c r="C65" s="16" t="s">
        <v>479</v>
      </c>
      <c r="D65" s="16" t="s">
        <v>548</v>
      </c>
      <c r="E65" s="16"/>
      <c r="F65" s="16" t="s">
        <v>214</v>
      </c>
    </row>
    <row r="66" spans="1:6">
      <c r="A66" s="16" t="s">
        <v>549</v>
      </c>
      <c r="B66" s="16" t="s">
        <v>213</v>
      </c>
      <c r="C66" s="16" t="s">
        <v>481</v>
      </c>
      <c r="D66" s="16" t="s">
        <v>482</v>
      </c>
      <c r="E66" s="16"/>
      <c r="F66" s="16" t="s">
        <v>214</v>
      </c>
    </row>
    <row r="67" spans="1:6">
      <c r="A67" s="16" t="s">
        <v>550</v>
      </c>
      <c r="B67" s="16" t="s">
        <v>213</v>
      </c>
      <c r="C67" s="16" t="s">
        <v>484</v>
      </c>
      <c r="D67" s="16" t="s">
        <v>485</v>
      </c>
      <c r="E67" s="16"/>
      <c r="F67" s="16" t="s">
        <v>214</v>
      </c>
    </row>
    <row r="68" spans="1:6">
      <c r="A68" s="16" t="s">
        <v>551</v>
      </c>
      <c r="B68" s="16" t="s">
        <v>213</v>
      </c>
      <c r="C68" s="16" t="s">
        <v>540</v>
      </c>
      <c r="D68" s="16" t="s">
        <v>168</v>
      </c>
      <c r="E68" s="16"/>
      <c r="F68" s="16" t="s">
        <v>214</v>
      </c>
    </row>
    <row r="69" spans="1:6">
      <c r="A69" s="16" t="s">
        <v>552</v>
      </c>
      <c r="B69" s="16" t="s">
        <v>220</v>
      </c>
      <c r="C69" s="16" t="s">
        <v>466</v>
      </c>
      <c r="D69" s="16" t="s">
        <v>215</v>
      </c>
      <c r="E69" s="16"/>
      <c r="F69" s="16" t="s">
        <v>221</v>
      </c>
    </row>
    <row r="70" spans="1:6">
      <c r="A70" s="16" t="s">
        <v>553</v>
      </c>
      <c r="B70" s="16" t="s">
        <v>220</v>
      </c>
      <c r="C70" s="16" t="s">
        <v>527</v>
      </c>
      <c r="D70" s="16" t="s">
        <v>174</v>
      </c>
      <c r="E70" s="16"/>
      <c r="F70" s="16" t="s">
        <v>221</v>
      </c>
    </row>
    <row r="71" spans="1:6">
      <c r="A71" s="16" t="s">
        <v>554</v>
      </c>
      <c r="B71" s="16" t="s">
        <v>220</v>
      </c>
      <c r="C71" s="16" t="s">
        <v>159</v>
      </c>
      <c r="D71" s="16" t="s">
        <v>555</v>
      </c>
      <c r="E71" s="16"/>
      <c r="F71" s="16" t="s">
        <v>221</v>
      </c>
    </row>
    <row r="72" spans="1:6">
      <c r="A72" s="16" t="s">
        <v>556</v>
      </c>
      <c r="B72" s="16" t="s">
        <v>220</v>
      </c>
      <c r="C72" s="16" t="s">
        <v>531</v>
      </c>
      <c r="D72" s="16" t="s">
        <v>216</v>
      </c>
      <c r="E72" s="16"/>
      <c r="F72" s="16" t="s">
        <v>221</v>
      </c>
    </row>
    <row r="73" spans="1:6">
      <c r="A73" s="16" t="s">
        <v>557</v>
      </c>
      <c r="B73" s="16" t="s">
        <v>220</v>
      </c>
      <c r="C73" s="16" t="s">
        <v>533</v>
      </c>
      <c r="D73" s="16" t="s">
        <v>219</v>
      </c>
      <c r="E73" s="16"/>
      <c r="F73" s="16" t="s">
        <v>221</v>
      </c>
    </row>
    <row r="74" spans="1:6">
      <c r="A74" s="16" t="s">
        <v>558</v>
      </c>
      <c r="B74" s="16" t="s">
        <v>220</v>
      </c>
      <c r="C74" s="16" t="s">
        <v>81</v>
      </c>
      <c r="D74" s="16" t="s">
        <v>206</v>
      </c>
      <c r="E74" s="16"/>
      <c r="F74" s="16" t="s">
        <v>221</v>
      </c>
    </row>
    <row r="75" spans="1:6">
      <c r="A75" s="16" t="s">
        <v>559</v>
      </c>
      <c r="B75" s="16" t="s">
        <v>220</v>
      </c>
      <c r="C75" s="16" t="s">
        <v>479</v>
      </c>
      <c r="D75" s="16" t="s">
        <v>560</v>
      </c>
      <c r="E75" s="16"/>
      <c r="F75" s="16" t="s">
        <v>221</v>
      </c>
    </row>
    <row r="76" spans="1:6">
      <c r="A76" s="16" t="s">
        <v>561</v>
      </c>
      <c r="B76" s="16" t="s">
        <v>220</v>
      </c>
      <c r="C76" s="16" t="s">
        <v>481</v>
      </c>
      <c r="D76" s="16" t="s">
        <v>482</v>
      </c>
      <c r="E76" s="16"/>
      <c r="F76" s="16" t="s">
        <v>221</v>
      </c>
    </row>
    <row r="77" spans="1:6">
      <c r="A77" s="16" t="s">
        <v>562</v>
      </c>
      <c r="B77" s="16" t="s">
        <v>220</v>
      </c>
      <c r="C77" s="16" t="s">
        <v>484</v>
      </c>
      <c r="D77" s="16" t="s">
        <v>485</v>
      </c>
      <c r="E77" s="16"/>
      <c r="F77" s="16" t="s">
        <v>221</v>
      </c>
    </row>
    <row r="78" spans="1:6">
      <c r="A78" s="16" t="s">
        <v>563</v>
      </c>
      <c r="B78" s="16" t="s">
        <v>220</v>
      </c>
      <c r="C78" s="16" t="s">
        <v>540</v>
      </c>
      <c r="D78" s="16" t="s">
        <v>168</v>
      </c>
      <c r="E78" s="16"/>
      <c r="F78" s="16" t="s">
        <v>221</v>
      </c>
    </row>
    <row r="79" spans="1:6">
      <c r="A79" s="16" t="s">
        <v>564</v>
      </c>
      <c r="B79" s="16" t="s">
        <v>227</v>
      </c>
      <c r="C79" s="16" t="s">
        <v>466</v>
      </c>
      <c r="D79" s="16" t="s">
        <v>222</v>
      </c>
      <c r="E79" s="16"/>
      <c r="F79" s="16" t="s">
        <v>228</v>
      </c>
    </row>
    <row r="80" spans="1:6">
      <c r="A80" s="16" t="s">
        <v>565</v>
      </c>
      <c r="B80" s="16" t="s">
        <v>227</v>
      </c>
      <c r="C80" s="16" t="s">
        <v>527</v>
      </c>
      <c r="D80" s="16" t="s">
        <v>174</v>
      </c>
      <c r="E80" s="16"/>
      <c r="F80" s="16" t="s">
        <v>228</v>
      </c>
    </row>
    <row r="81" spans="1:6">
      <c r="A81" s="16" t="s">
        <v>566</v>
      </c>
      <c r="B81" s="16" t="s">
        <v>227</v>
      </c>
      <c r="C81" s="16" t="s">
        <v>159</v>
      </c>
      <c r="D81" s="16" t="s">
        <v>567</v>
      </c>
      <c r="E81" s="16"/>
      <c r="F81" s="16" t="s">
        <v>228</v>
      </c>
    </row>
    <row r="82" spans="1:6">
      <c r="A82" s="16" t="s">
        <v>568</v>
      </c>
      <c r="B82" s="16" t="s">
        <v>227</v>
      </c>
      <c r="C82" s="16" t="s">
        <v>531</v>
      </c>
      <c r="D82" s="16" t="s">
        <v>223</v>
      </c>
      <c r="E82" s="16"/>
      <c r="F82" s="16" t="s">
        <v>228</v>
      </c>
    </row>
    <row r="83" spans="1:6">
      <c r="A83" s="16" t="s">
        <v>569</v>
      </c>
      <c r="B83" s="16" t="s">
        <v>227</v>
      </c>
      <c r="C83" s="16" t="s">
        <v>533</v>
      </c>
      <c r="D83" s="16" t="s">
        <v>226</v>
      </c>
      <c r="E83" s="16"/>
      <c r="F83" s="16" t="s">
        <v>228</v>
      </c>
    </row>
    <row r="84" spans="1:6">
      <c r="A84" s="16" t="s">
        <v>570</v>
      </c>
      <c r="B84" s="16" t="s">
        <v>227</v>
      </c>
      <c r="C84" s="16" t="s">
        <v>81</v>
      </c>
      <c r="D84" s="16" t="s">
        <v>206</v>
      </c>
      <c r="E84" s="16"/>
      <c r="F84" s="16" t="s">
        <v>228</v>
      </c>
    </row>
    <row r="85" spans="1:6">
      <c r="A85" s="16" t="s">
        <v>571</v>
      </c>
      <c r="B85" s="16" t="s">
        <v>227</v>
      </c>
      <c r="C85" s="16" t="s">
        <v>479</v>
      </c>
      <c r="D85" s="16" t="s">
        <v>560</v>
      </c>
      <c r="E85" s="16"/>
      <c r="F85" s="16" t="s">
        <v>228</v>
      </c>
    </row>
    <row r="86" spans="1:6">
      <c r="A86" s="16" t="s">
        <v>572</v>
      </c>
      <c r="B86" s="16" t="s">
        <v>227</v>
      </c>
      <c r="C86" s="16" t="s">
        <v>481</v>
      </c>
      <c r="D86" s="16" t="s">
        <v>482</v>
      </c>
      <c r="E86" s="16"/>
      <c r="F86" s="16" t="s">
        <v>228</v>
      </c>
    </row>
    <row r="87" spans="1:6">
      <c r="A87" s="16" t="s">
        <v>573</v>
      </c>
      <c r="B87" s="16" t="s">
        <v>227</v>
      </c>
      <c r="C87" s="16" t="s">
        <v>484</v>
      </c>
      <c r="D87" s="16" t="s">
        <v>485</v>
      </c>
      <c r="E87" s="16"/>
      <c r="F87" s="16" t="s">
        <v>228</v>
      </c>
    </row>
    <row r="88" spans="1:6">
      <c r="A88" s="16" t="s">
        <v>574</v>
      </c>
      <c r="B88" s="16" t="s">
        <v>227</v>
      </c>
      <c r="C88" s="16" t="s">
        <v>540</v>
      </c>
      <c r="D88" s="16" t="s">
        <v>168</v>
      </c>
      <c r="E88" s="16"/>
      <c r="F88" s="16" t="s">
        <v>228</v>
      </c>
    </row>
    <row r="89" spans="1:6">
      <c r="A89" s="16" t="s">
        <v>575</v>
      </c>
      <c r="B89" s="16" t="s">
        <v>234</v>
      </c>
      <c r="C89" s="16" t="s">
        <v>466</v>
      </c>
      <c r="D89" s="16" t="s">
        <v>229</v>
      </c>
      <c r="E89" s="16"/>
      <c r="F89" s="16" t="s">
        <v>235</v>
      </c>
    </row>
    <row r="90" spans="1:6">
      <c r="A90" s="16" t="s">
        <v>576</v>
      </c>
      <c r="B90" s="16" t="s">
        <v>234</v>
      </c>
      <c r="C90" s="16" t="s">
        <v>527</v>
      </c>
      <c r="D90" s="16" t="s">
        <v>174</v>
      </c>
      <c r="E90" s="16"/>
      <c r="F90" s="16" t="s">
        <v>235</v>
      </c>
    </row>
    <row r="91" spans="1:6">
      <c r="A91" s="16" t="s">
        <v>577</v>
      </c>
      <c r="B91" s="16" t="s">
        <v>234</v>
      </c>
      <c r="C91" s="16" t="s">
        <v>159</v>
      </c>
      <c r="D91" s="16" t="s">
        <v>529</v>
      </c>
      <c r="E91" s="16"/>
      <c r="F91" s="16" t="s">
        <v>235</v>
      </c>
    </row>
    <row r="92" spans="1:6">
      <c r="A92" s="16" t="s">
        <v>578</v>
      </c>
      <c r="B92" s="16" t="s">
        <v>234</v>
      </c>
      <c r="C92" s="16" t="s">
        <v>531</v>
      </c>
      <c r="D92" s="16" t="s">
        <v>230</v>
      </c>
      <c r="E92" s="16"/>
      <c r="F92" s="16" t="s">
        <v>235</v>
      </c>
    </row>
    <row r="93" spans="1:6">
      <c r="A93" s="16" t="s">
        <v>579</v>
      </c>
      <c r="B93" s="16" t="s">
        <v>234</v>
      </c>
      <c r="C93" s="16" t="s">
        <v>533</v>
      </c>
      <c r="D93" s="16" t="s">
        <v>233</v>
      </c>
      <c r="E93" s="16"/>
      <c r="F93" s="16" t="s">
        <v>235</v>
      </c>
    </row>
    <row r="94" spans="1:6">
      <c r="A94" s="16" t="s">
        <v>580</v>
      </c>
      <c r="B94" s="16" t="s">
        <v>234</v>
      </c>
      <c r="C94" s="16" t="s">
        <v>81</v>
      </c>
      <c r="D94" s="16" t="s">
        <v>206</v>
      </c>
      <c r="E94" s="16"/>
      <c r="F94" s="16" t="s">
        <v>235</v>
      </c>
    </row>
    <row r="95" spans="1:6">
      <c r="A95" s="16" t="s">
        <v>581</v>
      </c>
      <c r="B95" s="16" t="s">
        <v>234</v>
      </c>
      <c r="C95" s="16" t="s">
        <v>479</v>
      </c>
      <c r="D95" s="16" t="s">
        <v>560</v>
      </c>
      <c r="E95" s="16"/>
      <c r="F95" s="16" t="s">
        <v>235</v>
      </c>
    </row>
    <row r="96" spans="1:6">
      <c r="A96" s="16" t="s">
        <v>582</v>
      </c>
      <c r="B96" s="16" t="s">
        <v>234</v>
      </c>
      <c r="C96" s="16" t="s">
        <v>481</v>
      </c>
      <c r="D96" s="16" t="s">
        <v>482</v>
      </c>
      <c r="E96" s="16"/>
      <c r="F96" s="16" t="s">
        <v>235</v>
      </c>
    </row>
    <row r="97" spans="1:6">
      <c r="A97" s="16" t="s">
        <v>583</v>
      </c>
      <c r="B97" s="16" t="s">
        <v>234</v>
      </c>
      <c r="C97" s="16" t="s">
        <v>484</v>
      </c>
      <c r="D97" s="16" t="s">
        <v>485</v>
      </c>
      <c r="E97" s="16"/>
      <c r="F97" s="16" t="s">
        <v>235</v>
      </c>
    </row>
    <row r="98" spans="1:6">
      <c r="A98" s="16" t="s">
        <v>584</v>
      </c>
      <c r="B98" s="16" t="s">
        <v>234</v>
      </c>
      <c r="C98" s="16" t="s">
        <v>540</v>
      </c>
      <c r="D98" s="16" t="s">
        <v>168</v>
      </c>
      <c r="E98" s="16"/>
      <c r="F98" s="16" t="s">
        <v>235</v>
      </c>
    </row>
    <row r="99" spans="1:6">
      <c r="A99" s="16" t="s">
        <v>585</v>
      </c>
      <c r="B99" s="16" t="s">
        <v>241</v>
      </c>
      <c r="C99" s="16" t="s">
        <v>466</v>
      </c>
      <c r="D99" s="16" t="s">
        <v>236</v>
      </c>
      <c r="E99" s="16"/>
      <c r="F99" s="16" t="s">
        <v>242</v>
      </c>
    </row>
    <row r="100" spans="1:6">
      <c r="A100" s="16" t="s">
        <v>586</v>
      </c>
      <c r="B100" s="16" t="s">
        <v>241</v>
      </c>
      <c r="C100" s="16" t="s">
        <v>527</v>
      </c>
      <c r="D100" s="16" t="s">
        <v>529</v>
      </c>
      <c r="E100" s="16"/>
      <c r="F100" s="16" t="s">
        <v>242</v>
      </c>
    </row>
    <row r="101" spans="1:6">
      <c r="A101" s="16" t="s">
        <v>587</v>
      </c>
      <c r="B101" s="16" t="s">
        <v>241</v>
      </c>
      <c r="C101" s="16" t="s">
        <v>159</v>
      </c>
      <c r="D101" s="16" t="s">
        <v>588</v>
      </c>
      <c r="E101" s="16"/>
      <c r="F101" s="16" t="s">
        <v>242</v>
      </c>
    </row>
    <row r="102" spans="1:6">
      <c r="A102" s="16" t="s">
        <v>589</v>
      </c>
      <c r="B102" s="16" t="s">
        <v>241</v>
      </c>
      <c r="C102" s="16" t="s">
        <v>531</v>
      </c>
      <c r="D102" s="16" t="s">
        <v>237</v>
      </c>
      <c r="E102" s="16"/>
      <c r="F102" s="16" t="s">
        <v>242</v>
      </c>
    </row>
    <row r="103" spans="1:6">
      <c r="A103" s="16" t="s">
        <v>590</v>
      </c>
      <c r="B103" s="16" t="s">
        <v>241</v>
      </c>
      <c r="C103" s="16" t="s">
        <v>533</v>
      </c>
      <c r="D103" s="16" t="s">
        <v>240</v>
      </c>
      <c r="E103" s="16"/>
      <c r="F103" s="16" t="s">
        <v>242</v>
      </c>
    </row>
    <row r="104" spans="1:6">
      <c r="A104" s="16" t="s">
        <v>591</v>
      </c>
      <c r="B104" s="16" t="s">
        <v>241</v>
      </c>
      <c r="C104" s="16" t="s">
        <v>81</v>
      </c>
      <c r="D104" s="16" t="s">
        <v>206</v>
      </c>
      <c r="E104" s="16"/>
      <c r="F104" s="16" t="s">
        <v>242</v>
      </c>
    </row>
    <row r="105" spans="1:6">
      <c r="A105" s="16" t="s">
        <v>592</v>
      </c>
      <c r="B105" s="16" t="s">
        <v>241</v>
      </c>
      <c r="C105" s="16" t="s">
        <v>593</v>
      </c>
      <c r="D105" s="16" t="s">
        <v>482</v>
      </c>
      <c r="E105" s="16"/>
      <c r="F105" s="16" t="s">
        <v>242</v>
      </c>
    </row>
    <row r="106" spans="1:6">
      <c r="A106" s="16" t="s">
        <v>594</v>
      </c>
      <c r="B106" s="16" t="s">
        <v>241</v>
      </c>
      <c r="C106" s="16" t="s">
        <v>595</v>
      </c>
      <c r="D106" s="16" t="s">
        <v>485</v>
      </c>
      <c r="E106" s="16"/>
      <c r="F106" s="16" t="s">
        <v>242</v>
      </c>
    </row>
    <row r="107" spans="1:6">
      <c r="A107" s="16" t="s">
        <v>596</v>
      </c>
      <c r="B107" s="16" t="s">
        <v>241</v>
      </c>
      <c r="C107" s="16" t="s">
        <v>484</v>
      </c>
      <c r="D107" s="16" t="s">
        <v>168</v>
      </c>
      <c r="E107" s="16"/>
      <c r="F107" s="16" t="s">
        <v>242</v>
      </c>
    </row>
    <row r="108" spans="1:6">
      <c r="A108" s="16" t="s">
        <v>597</v>
      </c>
      <c r="B108" s="16" t="s">
        <v>248</v>
      </c>
      <c r="C108" s="16" t="s">
        <v>466</v>
      </c>
      <c r="D108" s="16" t="s">
        <v>243</v>
      </c>
      <c r="E108" s="16"/>
      <c r="F108" s="16" t="s">
        <v>249</v>
      </c>
    </row>
    <row r="109" spans="1:6">
      <c r="A109" s="16" t="s">
        <v>598</v>
      </c>
      <c r="B109" s="16" t="s">
        <v>248</v>
      </c>
      <c r="C109" s="16" t="s">
        <v>527</v>
      </c>
      <c r="D109" s="16" t="s">
        <v>599</v>
      </c>
      <c r="E109" s="16"/>
      <c r="F109" s="16" t="s">
        <v>249</v>
      </c>
    </row>
    <row r="110" spans="1:6">
      <c r="A110" s="16" t="s">
        <v>600</v>
      </c>
      <c r="B110" s="16" t="s">
        <v>248</v>
      </c>
      <c r="C110" s="16" t="s">
        <v>159</v>
      </c>
      <c r="D110" s="16" t="s">
        <v>601</v>
      </c>
      <c r="E110" s="16"/>
      <c r="F110" s="16" t="s">
        <v>249</v>
      </c>
    </row>
    <row r="111" spans="1:6">
      <c r="A111" s="16" t="s">
        <v>602</v>
      </c>
      <c r="B111" s="16" t="s">
        <v>248</v>
      </c>
      <c r="C111" s="16" t="s">
        <v>531</v>
      </c>
      <c r="D111" s="16" t="s">
        <v>244</v>
      </c>
      <c r="E111" s="16"/>
      <c r="F111" s="16" t="s">
        <v>249</v>
      </c>
    </row>
    <row r="112" spans="1:6">
      <c r="A112" s="16" t="s">
        <v>603</v>
      </c>
      <c r="B112" s="16" t="s">
        <v>248</v>
      </c>
      <c r="C112" s="16" t="s">
        <v>533</v>
      </c>
      <c r="D112" s="16" t="s">
        <v>247</v>
      </c>
      <c r="E112" s="16"/>
      <c r="F112" s="16" t="s">
        <v>249</v>
      </c>
    </row>
    <row r="113" spans="1:6">
      <c r="A113" s="16" t="s">
        <v>604</v>
      </c>
      <c r="B113" s="16" t="s">
        <v>248</v>
      </c>
      <c r="C113" s="16" t="s">
        <v>81</v>
      </c>
      <c r="D113" s="16" t="s">
        <v>206</v>
      </c>
      <c r="E113" s="16"/>
      <c r="F113" s="16" t="s">
        <v>249</v>
      </c>
    </row>
    <row r="114" spans="1:6">
      <c r="A114" s="16" t="s">
        <v>605</v>
      </c>
      <c r="B114" s="16" t="s">
        <v>248</v>
      </c>
      <c r="C114" s="16" t="s">
        <v>479</v>
      </c>
      <c r="D114" s="16" t="s">
        <v>560</v>
      </c>
      <c r="E114" s="16"/>
      <c r="F114" s="16" t="s">
        <v>249</v>
      </c>
    </row>
    <row r="115" spans="1:6">
      <c r="A115" s="16" t="s">
        <v>606</v>
      </c>
      <c r="B115" s="16" t="s">
        <v>248</v>
      </c>
      <c r="C115" s="16" t="s">
        <v>481</v>
      </c>
      <c r="D115" s="16" t="s">
        <v>482</v>
      </c>
      <c r="E115" s="16"/>
      <c r="F115" s="16" t="s">
        <v>249</v>
      </c>
    </row>
    <row r="116" spans="1:6">
      <c r="A116" s="16" t="s">
        <v>607</v>
      </c>
      <c r="B116" s="16" t="s">
        <v>248</v>
      </c>
      <c r="C116" s="16" t="s">
        <v>484</v>
      </c>
      <c r="D116" s="16" t="s">
        <v>485</v>
      </c>
      <c r="E116" s="16"/>
      <c r="F116" s="16" t="s">
        <v>249</v>
      </c>
    </row>
    <row r="117" spans="1:6">
      <c r="A117" s="16" t="s">
        <v>608</v>
      </c>
      <c r="B117" s="16" t="s">
        <v>248</v>
      </c>
      <c r="C117" s="16" t="s">
        <v>540</v>
      </c>
      <c r="D117" s="16" t="s">
        <v>168</v>
      </c>
      <c r="E117" s="16"/>
      <c r="F117" s="16" t="s">
        <v>249</v>
      </c>
    </row>
    <row r="118" spans="1:6">
      <c r="A118" s="16" t="s">
        <v>609</v>
      </c>
      <c r="B118" s="16" t="s">
        <v>255</v>
      </c>
      <c r="C118" s="16" t="s">
        <v>466</v>
      </c>
      <c r="D118" s="16" t="s">
        <v>250</v>
      </c>
      <c r="E118" s="16"/>
      <c r="F118" s="16" t="s">
        <v>256</v>
      </c>
    </row>
    <row r="119" spans="1:6">
      <c r="A119" s="16" t="s">
        <v>610</v>
      </c>
      <c r="B119" s="16" t="s">
        <v>255</v>
      </c>
      <c r="C119" s="16" t="s">
        <v>527</v>
      </c>
      <c r="D119" s="16" t="s">
        <v>316</v>
      </c>
      <c r="E119" s="16"/>
      <c r="F119" s="16" t="s">
        <v>256</v>
      </c>
    </row>
    <row r="120" spans="1:6">
      <c r="A120" s="16" t="s">
        <v>611</v>
      </c>
      <c r="B120" s="16" t="s">
        <v>255</v>
      </c>
      <c r="C120" s="16" t="s">
        <v>159</v>
      </c>
      <c r="D120" s="16" t="s">
        <v>251</v>
      </c>
      <c r="E120" s="16"/>
      <c r="F120" s="16" t="s">
        <v>256</v>
      </c>
    </row>
    <row r="121" spans="1:6">
      <c r="A121" s="16" t="s">
        <v>612</v>
      </c>
      <c r="B121" s="16" t="s">
        <v>255</v>
      </c>
      <c r="C121" s="16" t="s">
        <v>531</v>
      </c>
      <c r="D121" s="16" t="s">
        <v>251</v>
      </c>
      <c r="E121" s="16"/>
      <c r="F121" s="16" t="s">
        <v>256</v>
      </c>
    </row>
    <row r="122" spans="1:6">
      <c r="A122" s="16" t="s">
        <v>613</v>
      </c>
      <c r="B122" s="16" t="s">
        <v>255</v>
      </c>
      <c r="C122" s="16" t="s">
        <v>533</v>
      </c>
      <c r="D122" s="16" t="s">
        <v>254</v>
      </c>
      <c r="E122" s="16"/>
      <c r="F122" s="16" t="s">
        <v>256</v>
      </c>
    </row>
    <row r="123" spans="1:6">
      <c r="A123" s="16" t="s">
        <v>614</v>
      </c>
      <c r="B123" s="16" t="s">
        <v>255</v>
      </c>
      <c r="C123" s="16" t="s">
        <v>81</v>
      </c>
      <c r="D123" s="16" t="s">
        <v>206</v>
      </c>
      <c r="E123" s="16"/>
      <c r="F123" s="16" t="s">
        <v>256</v>
      </c>
    </row>
    <row r="124" spans="1:6">
      <c r="A124" s="16" t="s">
        <v>615</v>
      </c>
      <c r="B124" s="16" t="s">
        <v>255</v>
      </c>
      <c r="C124" s="16" t="s">
        <v>479</v>
      </c>
      <c r="D124" s="16" t="s">
        <v>536</v>
      </c>
      <c r="E124" s="16"/>
      <c r="F124" s="16" t="s">
        <v>256</v>
      </c>
    </row>
    <row r="125" spans="1:6">
      <c r="A125" s="16" t="s">
        <v>616</v>
      </c>
      <c r="B125" s="16" t="s">
        <v>255</v>
      </c>
      <c r="C125" s="16" t="s">
        <v>481</v>
      </c>
      <c r="D125" s="16" t="s">
        <v>482</v>
      </c>
      <c r="E125" s="16"/>
      <c r="F125" s="16" t="s">
        <v>256</v>
      </c>
    </row>
    <row r="126" spans="1:6">
      <c r="A126" s="16" t="s">
        <v>617</v>
      </c>
      <c r="B126" s="16" t="s">
        <v>255</v>
      </c>
      <c r="C126" s="16" t="s">
        <v>484</v>
      </c>
      <c r="D126" s="16" t="s">
        <v>485</v>
      </c>
      <c r="E126" s="16"/>
      <c r="F126" s="16" t="s">
        <v>256</v>
      </c>
    </row>
    <row r="127" spans="1:6">
      <c r="A127" s="16" t="s">
        <v>618</v>
      </c>
      <c r="B127" s="16" t="s">
        <v>255</v>
      </c>
      <c r="C127" s="16" t="s">
        <v>540</v>
      </c>
      <c r="D127" s="16" t="s">
        <v>168</v>
      </c>
      <c r="E127" s="16"/>
      <c r="F127" s="16" t="s">
        <v>256</v>
      </c>
    </row>
    <row r="128" spans="1:6">
      <c r="A128" s="16" t="s">
        <v>619</v>
      </c>
      <c r="B128" s="16" t="s">
        <v>262</v>
      </c>
      <c r="C128" s="16" t="s">
        <v>466</v>
      </c>
      <c r="D128" s="16" t="s">
        <v>257</v>
      </c>
      <c r="E128" s="16"/>
      <c r="F128" s="16" t="s">
        <v>263</v>
      </c>
    </row>
    <row r="129" spans="1:6">
      <c r="A129" s="16" t="s">
        <v>620</v>
      </c>
      <c r="B129" s="16" t="s">
        <v>262</v>
      </c>
      <c r="C129" s="16" t="s">
        <v>527</v>
      </c>
      <c r="D129" s="16" t="s">
        <v>529</v>
      </c>
      <c r="E129" s="16"/>
      <c r="F129" s="16" t="s">
        <v>263</v>
      </c>
    </row>
    <row r="130" spans="1:6">
      <c r="A130" s="16" t="s">
        <v>621</v>
      </c>
      <c r="B130" s="16" t="s">
        <v>262</v>
      </c>
      <c r="C130" s="16" t="s">
        <v>159</v>
      </c>
      <c r="D130" s="16" t="s">
        <v>622</v>
      </c>
      <c r="E130" s="16"/>
      <c r="F130" s="16" t="s">
        <v>263</v>
      </c>
    </row>
    <row r="131" spans="1:6">
      <c r="A131" s="16" t="s">
        <v>623</v>
      </c>
      <c r="B131" s="16" t="s">
        <v>262</v>
      </c>
      <c r="C131" s="16" t="s">
        <v>531</v>
      </c>
      <c r="D131" s="16" t="s">
        <v>258</v>
      </c>
      <c r="E131" s="16"/>
      <c r="F131" s="16" t="s">
        <v>263</v>
      </c>
    </row>
    <row r="132" spans="1:6">
      <c r="A132" s="16" t="s">
        <v>624</v>
      </c>
      <c r="B132" s="16" t="s">
        <v>262</v>
      </c>
      <c r="C132" s="16" t="s">
        <v>533</v>
      </c>
      <c r="D132" s="16" t="s">
        <v>261</v>
      </c>
      <c r="E132" s="16"/>
      <c r="F132" s="16" t="s">
        <v>263</v>
      </c>
    </row>
    <row r="133" spans="1:6">
      <c r="A133" s="16" t="s">
        <v>625</v>
      </c>
      <c r="B133" s="16" t="s">
        <v>262</v>
      </c>
      <c r="C133" s="16" t="s">
        <v>81</v>
      </c>
      <c r="D133" s="16" t="s">
        <v>206</v>
      </c>
      <c r="E133" s="16"/>
      <c r="F133" s="16" t="s">
        <v>263</v>
      </c>
    </row>
    <row r="134" spans="1:6">
      <c r="A134" s="16" t="s">
        <v>626</v>
      </c>
      <c r="B134" s="16" t="s">
        <v>262</v>
      </c>
      <c r="C134" s="16" t="s">
        <v>593</v>
      </c>
      <c r="D134" s="16" t="s">
        <v>482</v>
      </c>
      <c r="E134" s="16"/>
      <c r="F134" s="16" t="s">
        <v>263</v>
      </c>
    </row>
    <row r="135" spans="1:6">
      <c r="A135" s="16" t="s">
        <v>627</v>
      </c>
      <c r="B135" s="16" t="s">
        <v>262</v>
      </c>
      <c r="C135" s="16" t="s">
        <v>595</v>
      </c>
      <c r="D135" s="16" t="s">
        <v>485</v>
      </c>
      <c r="E135" s="16"/>
      <c r="F135" s="16" t="s">
        <v>263</v>
      </c>
    </row>
    <row r="136" spans="1:6">
      <c r="A136" s="16" t="s">
        <v>628</v>
      </c>
      <c r="B136" s="16" t="s">
        <v>262</v>
      </c>
      <c r="C136" s="16" t="s">
        <v>484</v>
      </c>
      <c r="D136" s="16" t="s">
        <v>168</v>
      </c>
      <c r="E136" s="16"/>
      <c r="F136" s="16" t="s">
        <v>263</v>
      </c>
    </row>
    <row r="137" spans="1:6">
      <c r="A137" s="16" t="s">
        <v>629</v>
      </c>
      <c r="B137" s="16" t="s">
        <v>269</v>
      </c>
      <c r="C137" s="16" t="s">
        <v>466</v>
      </c>
      <c r="D137" s="16" t="s">
        <v>264</v>
      </c>
      <c r="E137" s="16"/>
      <c r="F137" s="16" t="s">
        <v>270</v>
      </c>
    </row>
    <row r="138" spans="1:6">
      <c r="A138" s="16" t="s">
        <v>630</v>
      </c>
      <c r="B138" s="16" t="s">
        <v>269</v>
      </c>
      <c r="C138" s="16" t="s">
        <v>527</v>
      </c>
      <c r="D138" s="16" t="s">
        <v>599</v>
      </c>
      <c r="E138" s="16"/>
      <c r="F138" s="16" t="s">
        <v>270</v>
      </c>
    </row>
    <row r="139" spans="1:6">
      <c r="A139" s="16" t="s">
        <v>631</v>
      </c>
      <c r="B139" s="16" t="s">
        <v>269</v>
      </c>
      <c r="C139" s="16" t="s">
        <v>159</v>
      </c>
      <c r="D139" s="16" t="s">
        <v>632</v>
      </c>
      <c r="E139" s="16"/>
      <c r="F139" s="16" t="s">
        <v>270</v>
      </c>
    </row>
    <row r="140" spans="1:6">
      <c r="A140" s="16" t="s">
        <v>633</v>
      </c>
      <c r="B140" s="16" t="s">
        <v>269</v>
      </c>
      <c r="C140" s="16" t="s">
        <v>531</v>
      </c>
      <c r="D140" s="16" t="s">
        <v>265</v>
      </c>
      <c r="E140" s="16"/>
      <c r="F140" s="16" t="s">
        <v>270</v>
      </c>
    </row>
    <row r="141" spans="1:6">
      <c r="A141" s="16" t="s">
        <v>634</v>
      </c>
      <c r="B141" s="16" t="s">
        <v>269</v>
      </c>
      <c r="C141" s="16" t="s">
        <v>533</v>
      </c>
      <c r="D141" s="16" t="s">
        <v>268</v>
      </c>
      <c r="E141" s="16"/>
      <c r="F141" s="16" t="s">
        <v>270</v>
      </c>
    </row>
    <row r="142" spans="1:6">
      <c r="A142" s="16" t="s">
        <v>635</v>
      </c>
      <c r="B142" s="16" t="s">
        <v>269</v>
      </c>
      <c r="C142" s="16" t="s">
        <v>81</v>
      </c>
      <c r="D142" s="16" t="s">
        <v>206</v>
      </c>
      <c r="E142" s="16"/>
      <c r="F142" s="16" t="s">
        <v>270</v>
      </c>
    </row>
    <row r="143" spans="1:6">
      <c r="A143" s="16" t="s">
        <v>636</v>
      </c>
      <c r="B143" s="16" t="s">
        <v>269</v>
      </c>
      <c r="C143" s="16" t="s">
        <v>479</v>
      </c>
      <c r="D143" s="16" t="s">
        <v>548</v>
      </c>
      <c r="E143" s="16"/>
      <c r="F143" s="16" t="s">
        <v>270</v>
      </c>
    </row>
    <row r="144" spans="1:6">
      <c r="A144" s="16" t="s">
        <v>637</v>
      </c>
      <c r="B144" s="16" t="s">
        <v>269</v>
      </c>
      <c r="C144" s="16" t="s">
        <v>481</v>
      </c>
      <c r="D144" s="16" t="s">
        <v>482</v>
      </c>
      <c r="E144" s="16"/>
      <c r="F144" s="16" t="s">
        <v>270</v>
      </c>
    </row>
    <row r="145" spans="1:6">
      <c r="A145" s="16" t="s">
        <v>638</v>
      </c>
      <c r="B145" s="16" t="s">
        <v>269</v>
      </c>
      <c r="C145" s="16" t="s">
        <v>484</v>
      </c>
      <c r="D145" s="16" t="s">
        <v>485</v>
      </c>
      <c r="E145" s="16"/>
      <c r="F145" s="16" t="s">
        <v>270</v>
      </c>
    </row>
    <row r="146" spans="1:6">
      <c r="A146" s="16" t="s">
        <v>639</v>
      </c>
      <c r="B146" s="16" t="s">
        <v>269</v>
      </c>
      <c r="C146" s="16" t="s">
        <v>540</v>
      </c>
      <c r="D146" s="16" t="s">
        <v>168</v>
      </c>
      <c r="E146" s="16"/>
      <c r="F146" s="16" t="s">
        <v>270</v>
      </c>
    </row>
    <row r="147" spans="1:6">
      <c r="A147" s="16" t="s">
        <v>640</v>
      </c>
      <c r="B147" s="16" t="s">
        <v>275</v>
      </c>
      <c r="C147" s="16" t="s">
        <v>466</v>
      </c>
      <c r="D147" s="16" t="s">
        <v>271</v>
      </c>
      <c r="E147" s="16"/>
      <c r="F147" s="16" t="s">
        <v>276</v>
      </c>
    </row>
    <row r="148" spans="1:6">
      <c r="A148" s="16" t="s">
        <v>641</v>
      </c>
      <c r="B148" s="16" t="s">
        <v>275</v>
      </c>
      <c r="C148" s="16" t="s">
        <v>159</v>
      </c>
      <c r="D148" s="16" t="s">
        <v>274</v>
      </c>
      <c r="E148" s="16"/>
      <c r="F148" s="16" t="s">
        <v>276</v>
      </c>
    </row>
    <row r="149" spans="1:6">
      <c r="A149" s="16" t="s">
        <v>642</v>
      </c>
      <c r="B149" s="16" t="s">
        <v>275</v>
      </c>
      <c r="C149" s="16" t="s">
        <v>643</v>
      </c>
      <c r="D149" s="16" t="s">
        <v>272</v>
      </c>
      <c r="E149" s="16"/>
      <c r="F149" s="16" t="s">
        <v>276</v>
      </c>
    </row>
    <row r="150" spans="1:6">
      <c r="A150" s="16" t="s">
        <v>644</v>
      </c>
      <c r="B150" s="16" t="s">
        <v>275</v>
      </c>
      <c r="C150" s="16" t="s">
        <v>81</v>
      </c>
      <c r="D150" s="16" t="s">
        <v>206</v>
      </c>
      <c r="E150" s="16"/>
      <c r="F150" s="16" t="s">
        <v>276</v>
      </c>
    </row>
    <row r="151" spans="1:6">
      <c r="A151" s="16" t="s">
        <v>645</v>
      </c>
      <c r="B151" s="16" t="s">
        <v>275</v>
      </c>
      <c r="C151" s="16" t="s">
        <v>484</v>
      </c>
      <c r="D151" s="16" t="s">
        <v>485</v>
      </c>
      <c r="E151" s="16"/>
      <c r="F151" s="16" t="s">
        <v>276</v>
      </c>
    </row>
    <row r="152" spans="1:6">
      <c r="A152" s="16" t="s">
        <v>646</v>
      </c>
      <c r="B152" s="16" t="s">
        <v>280</v>
      </c>
      <c r="C152" s="16" t="s">
        <v>466</v>
      </c>
      <c r="D152" s="16" t="s">
        <v>277</v>
      </c>
      <c r="E152" s="16"/>
      <c r="F152" s="16" t="s">
        <v>281</v>
      </c>
    </row>
    <row r="153" spans="1:6">
      <c r="A153" s="16" t="s">
        <v>647</v>
      </c>
      <c r="B153" s="16" t="s">
        <v>280</v>
      </c>
      <c r="C153" s="16" t="s">
        <v>159</v>
      </c>
      <c r="D153" s="16" t="s">
        <v>279</v>
      </c>
      <c r="E153" s="16"/>
      <c r="F153" s="16" t="s">
        <v>281</v>
      </c>
    </row>
    <row r="154" spans="1:6">
      <c r="A154" s="16" t="s">
        <v>648</v>
      </c>
      <c r="B154" s="16" t="s">
        <v>280</v>
      </c>
      <c r="C154" s="16" t="s">
        <v>643</v>
      </c>
      <c r="D154" s="16" t="s">
        <v>278</v>
      </c>
      <c r="E154" s="16"/>
      <c r="F154" s="16" t="s">
        <v>281</v>
      </c>
    </row>
    <row r="155" spans="1:6">
      <c r="A155" s="16" t="s">
        <v>649</v>
      </c>
      <c r="B155" s="16" t="s">
        <v>280</v>
      </c>
      <c r="C155" s="16" t="s">
        <v>81</v>
      </c>
      <c r="D155" s="16" t="s">
        <v>206</v>
      </c>
      <c r="E155" s="16"/>
      <c r="F155" s="16" t="s">
        <v>281</v>
      </c>
    </row>
    <row r="156" spans="1:6">
      <c r="A156" s="16" t="s">
        <v>650</v>
      </c>
      <c r="B156" s="16" t="s">
        <v>280</v>
      </c>
      <c r="C156" s="16" t="s">
        <v>484</v>
      </c>
      <c r="D156" s="16" t="s">
        <v>485</v>
      </c>
      <c r="E156" s="16"/>
      <c r="F156" s="16" t="s">
        <v>281</v>
      </c>
    </row>
    <row r="157" spans="1:6">
      <c r="A157" s="16" t="s">
        <v>651</v>
      </c>
      <c r="B157" s="16" t="s">
        <v>285</v>
      </c>
      <c r="C157" s="16" t="s">
        <v>466</v>
      </c>
      <c r="D157" s="16" t="s">
        <v>282</v>
      </c>
      <c r="E157" s="16"/>
      <c r="F157" s="16" t="s">
        <v>286</v>
      </c>
    </row>
    <row r="158" spans="1:6">
      <c r="A158" s="16" t="s">
        <v>652</v>
      </c>
      <c r="B158" s="16" t="s">
        <v>285</v>
      </c>
      <c r="C158" s="16" t="s">
        <v>159</v>
      </c>
      <c r="D158" s="16" t="s">
        <v>284</v>
      </c>
      <c r="E158" s="16"/>
      <c r="F158" s="16" t="s">
        <v>286</v>
      </c>
    </row>
    <row r="159" spans="1:6">
      <c r="A159" s="16" t="s">
        <v>653</v>
      </c>
      <c r="B159" s="16" t="s">
        <v>285</v>
      </c>
      <c r="C159" s="16" t="s">
        <v>643</v>
      </c>
      <c r="D159" s="16" t="s">
        <v>283</v>
      </c>
      <c r="E159" s="16"/>
      <c r="F159" s="16" t="s">
        <v>286</v>
      </c>
    </row>
    <row r="160" spans="1:6">
      <c r="A160" s="16" t="s">
        <v>654</v>
      </c>
      <c r="B160" s="16" t="s">
        <v>285</v>
      </c>
      <c r="C160" s="16" t="s">
        <v>81</v>
      </c>
      <c r="D160" s="16" t="s">
        <v>206</v>
      </c>
      <c r="E160" s="16"/>
      <c r="F160" s="16" t="s">
        <v>286</v>
      </c>
    </row>
    <row r="161" spans="1:6">
      <c r="A161" s="16" t="s">
        <v>655</v>
      </c>
      <c r="B161" s="16" t="s">
        <v>285</v>
      </c>
      <c r="C161" s="16" t="s">
        <v>484</v>
      </c>
      <c r="D161" s="16" t="s">
        <v>485</v>
      </c>
      <c r="E161" s="16"/>
      <c r="F161" s="16" t="s">
        <v>286</v>
      </c>
    </row>
    <row r="162" spans="1:6">
      <c r="A162" s="16" t="s">
        <v>656</v>
      </c>
      <c r="B162" s="16" t="s">
        <v>290</v>
      </c>
      <c r="C162" s="16" t="s">
        <v>466</v>
      </c>
      <c r="D162" s="16" t="s">
        <v>287</v>
      </c>
      <c r="E162" s="16"/>
      <c r="F162" s="16" t="s">
        <v>291</v>
      </c>
    </row>
    <row r="163" spans="1:6">
      <c r="A163" s="16" t="s">
        <v>657</v>
      </c>
      <c r="B163" s="16" t="s">
        <v>290</v>
      </c>
      <c r="C163" s="16" t="s">
        <v>159</v>
      </c>
      <c r="D163" s="16" t="s">
        <v>289</v>
      </c>
      <c r="E163" s="16"/>
      <c r="F163" s="16" t="s">
        <v>291</v>
      </c>
    </row>
    <row r="164" spans="1:6">
      <c r="A164" s="16" t="s">
        <v>658</v>
      </c>
      <c r="B164" s="16" t="s">
        <v>290</v>
      </c>
      <c r="C164" s="16" t="s">
        <v>643</v>
      </c>
      <c r="D164" s="16" t="s">
        <v>288</v>
      </c>
      <c r="E164" s="16"/>
      <c r="F164" s="16" t="s">
        <v>291</v>
      </c>
    </row>
    <row r="165" spans="1:6">
      <c r="A165" s="16" t="s">
        <v>659</v>
      </c>
      <c r="B165" s="16" t="s">
        <v>290</v>
      </c>
      <c r="C165" s="16" t="s">
        <v>81</v>
      </c>
      <c r="D165" s="16" t="s">
        <v>167</v>
      </c>
      <c r="E165" s="16"/>
      <c r="F165" s="16" t="s">
        <v>291</v>
      </c>
    </row>
    <row r="166" spans="1:6">
      <c r="A166" s="16" t="s">
        <v>660</v>
      </c>
      <c r="B166" s="16" t="s">
        <v>290</v>
      </c>
      <c r="C166" s="16" t="s">
        <v>484</v>
      </c>
      <c r="D166" s="16" t="s">
        <v>485</v>
      </c>
      <c r="E166" s="16"/>
      <c r="F166" s="16" t="s">
        <v>291</v>
      </c>
    </row>
    <row r="167" spans="1:6">
      <c r="A167" s="16" t="s">
        <v>661</v>
      </c>
      <c r="B167" s="16" t="s">
        <v>295</v>
      </c>
      <c r="C167" s="16" t="s">
        <v>466</v>
      </c>
      <c r="D167" s="16" t="s">
        <v>292</v>
      </c>
      <c r="E167" s="16"/>
      <c r="F167" s="16" t="s">
        <v>296</v>
      </c>
    </row>
    <row r="168" spans="1:6">
      <c r="A168" s="16" t="s">
        <v>662</v>
      </c>
      <c r="B168" s="16" t="s">
        <v>295</v>
      </c>
      <c r="C168" s="16" t="s">
        <v>159</v>
      </c>
      <c r="D168" s="16" t="s">
        <v>294</v>
      </c>
      <c r="E168" s="16"/>
      <c r="F168" s="16" t="s">
        <v>296</v>
      </c>
    </row>
    <row r="169" spans="1:6">
      <c r="A169" s="16" t="s">
        <v>663</v>
      </c>
      <c r="B169" s="16" t="s">
        <v>295</v>
      </c>
      <c r="C169" s="16" t="s">
        <v>643</v>
      </c>
      <c r="D169" s="16" t="s">
        <v>293</v>
      </c>
      <c r="E169" s="16"/>
      <c r="F169" s="16" t="s">
        <v>296</v>
      </c>
    </row>
    <row r="170" spans="1:6">
      <c r="A170" s="16" t="s">
        <v>664</v>
      </c>
      <c r="B170" s="16" t="s">
        <v>295</v>
      </c>
      <c r="C170" s="16" t="s">
        <v>81</v>
      </c>
      <c r="D170" s="16" t="s">
        <v>167</v>
      </c>
      <c r="E170" s="16"/>
      <c r="F170" s="16" t="s">
        <v>296</v>
      </c>
    </row>
    <row r="171" spans="1:6">
      <c r="A171" s="16" t="s">
        <v>665</v>
      </c>
      <c r="B171" s="16" t="s">
        <v>295</v>
      </c>
      <c r="C171" s="16" t="s">
        <v>484</v>
      </c>
      <c r="D171" s="16" t="s">
        <v>485</v>
      </c>
      <c r="E171" s="16"/>
      <c r="F171" s="16" t="s">
        <v>296</v>
      </c>
    </row>
    <row r="172" spans="1:6">
      <c r="A172" s="16" t="s">
        <v>666</v>
      </c>
      <c r="B172" s="16" t="s">
        <v>300</v>
      </c>
      <c r="C172" s="16" t="s">
        <v>466</v>
      </c>
      <c r="D172" s="16" t="s">
        <v>297</v>
      </c>
      <c r="E172" s="16"/>
      <c r="F172" s="16" t="s">
        <v>301</v>
      </c>
    </row>
    <row r="173" spans="1:6">
      <c r="A173" s="16" t="s">
        <v>667</v>
      </c>
      <c r="B173" s="16" t="s">
        <v>300</v>
      </c>
      <c r="C173" s="16" t="s">
        <v>159</v>
      </c>
      <c r="D173" s="16" t="s">
        <v>165</v>
      </c>
      <c r="E173" s="16"/>
      <c r="F173" s="16" t="s">
        <v>301</v>
      </c>
    </row>
    <row r="174" spans="1:6">
      <c r="A174" s="16" t="s">
        <v>668</v>
      </c>
      <c r="B174" s="16" t="s">
        <v>300</v>
      </c>
      <c r="C174" s="16" t="s">
        <v>643</v>
      </c>
      <c r="D174" s="16" t="s">
        <v>298</v>
      </c>
      <c r="E174" s="16"/>
      <c r="F174" s="16" t="s">
        <v>301</v>
      </c>
    </row>
    <row r="175" spans="1:6">
      <c r="A175" s="16" t="s">
        <v>669</v>
      </c>
      <c r="B175" s="16" t="s">
        <v>300</v>
      </c>
      <c r="C175" s="16" t="s">
        <v>81</v>
      </c>
      <c r="D175" s="16" t="s">
        <v>206</v>
      </c>
      <c r="E175" s="16"/>
      <c r="F175" s="16" t="s">
        <v>301</v>
      </c>
    </row>
    <row r="176" spans="1:6">
      <c r="A176" s="16" t="s">
        <v>670</v>
      </c>
      <c r="B176" s="16" t="s">
        <v>300</v>
      </c>
      <c r="C176" s="16" t="s">
        <v>484</v>
      </c>
      <c r="D176" s="16" t="s">
        <v>485</v>
      </c>
      <c r="E176" s="16"/>
      <c r="F176" s="16" t="s">
        <v>301</v>
      </c>
    </row>
    <row r="177" spans="1:6">
      <c r="A177" s="16" t="s">
        <v>671</v>
      </c>
      <c r="B177" s="16" t="s">
        <v>304</v>
      </c>
      <c r="C177" s="16" t="s">
        <v>466</v>
      </c>
      <c r="D177" s="16" t="s">
        <v>302</v>
      </c>
      <c r="E177" s="16"/>
      <c r="F177" s="16" t="s">
        <v>305</v>
      </c>
    </row>
    <row r="178" spans="1:6">
      <c r="A178" s="16" t="s">
        <v>672</v>
      </c>
      <c r="B178" s="16" t="s">
        <v>304</v>
      </c>
      <c r="C178" s="16" t="s">
        <v>159</v>
      </c>
      <c r="D178" s="16" t="s">
        <v>165</v>
      </c>
      <c r="E178" s="16"/>
      <c r="F178" s="16" t="s">
        <v>305</v>
      </c>
    </row>
    <row r="179" spans="1:6">
      <c r="A179" s="16" t="s">
        <v>673</v>
      </c>
      <c r="B179" s="16" t="s">
        <v>304</v>
      </c>
      <c r="C179" s="16" t="s">
        <v>643</v>
      </c>
      <c r="D179" s="16" t="s">
        <v>303</v>
      </c>
      <c r="E179" s="16"/>
      <c r="F179" s="16" t="s">
        <v>305</v>
      </c>
    </row>
    <row r="180" spans="1:6">
      <c r="A180" s="16" t="s">
        <v>674</v>
      </c>
      <c r="B180" s="16" t="s">
        <v>304</v>
      </c>
      <c r="C180" s="16" t="s">
        <v>81</v>
      </c>
      <c r="D180" s="16" t="s">
        <v>206</v>
      </c>
      <c r="E180" s="16"/>
      <c r="F180" s="16" t="s">
        <v>305</v>
      </c>
    </row>
    <row r="181" spans="1:6">
      <c r="A181" s="16" t="s">
        <v>675</v>
      </c>
      <c r="B181" s="16" t="s">
        <v>304</v>
      </c>
      <c r="C181" s="16" t="s">
        <v>484</v>
      </c>
      <c r="D181" s="16" t="s">
        <v>485</v>
      </c>
      <c r="E181" s="16"/>
      <c r="F181" s="16" t="s">
        <v>305</v>
      </c>
    </row>
    <row r="182" spans="1:6">
      <c r="A182" s="16" t="s">
        <v>676</v>
      </c>
      <c r="B182" s="16" t="s">
        <v>307</v>
      </c>
      <c r="C182" s="16" t="s">
        <v>466</v>
      </c>
      <c r="D182" s="16" t="s">
        <v>306</v>
      </c>
      <c r="E182" s="16"/>
      <c r="F182" s="16" t="s">
        <v>308</v>
      </c>
    </row>
    <row r="183" spans="1:6">
      <c r="A183" s="16" t="s">
        <v>677</v>
      </c>
      <c r="B183" s="16" t="s">
        <v>307</v>
      </c>
      <c r="C183" s="16" t="s">
        <v>159</v>
      </c>
      <c r="D183" s="16" t="s">
        <v>174</v>
      </c>
      <c r="E183" s="16"/>
      <c r="F183" s="16" t="s">
        <v>308</v>
      </c>
    </row>
    <row r="184" spans="1:6">
      <c r="A184" s="16" t="s">
        <v>678</v>
      </c>
      <c r="B184" s="16" t="s">
        <v>307</v>
      </c>
      <c r="C184" s="16" t="s">
        <v>643</v>
      </c>
      <c r="D184" s="16" t="s">
        <v>244</v>
      </c>
      <c r="E184" s="16"/>
      <c r="F184" s="16" t="s">
        <v>308</v>
      </c>
    </row>
    <row r="185" spans="1:6">
      <c r="A185" s="16" t="s">
        <v>679</v>
      </c>
      <c r="B185" s="16" t="s">
        <v>307</v>
      </c>
      <c r="C185" s="16" t="s">
        <v>81</v>
      </c>
      <c r="D185" s="16" t="s">
        <v>206</v>
      </c>
      <c r="E185" s="16"/>
      <c r="F185" s="16" t="s">
        <v>308</v>
      </c>
    </row>
    <row r="186" spans="1:6">
      <c r="A186" s="16" t="s">
        <v>680</v>
      </c>
      <c r="B186" s="16" t="s">
        <v>307</v>
      </c>
      <c r="C186" s="16" t="s">
        <v>484</v>
      </c>
      <c r="D186" s="16" t="s">
        <v>485</v>
      </c>
      <c r="E186" s="16"/>
      <c r="F186" s="16" t="s">
        <v>308</v>
      </c>
    </row>
    <row r="187" spans="1:6">
      <c r="A187" s="16" t="s">
        <v>681</v>
      </c>
      <c r="B187" s="16" t="s">
        <v>312</v>
      </c>
      <c r="C187" s="16" t="s">
        <v>466</v>
      </c>
      <c r="D187" s="16" t="s">
        <v>309</v>
      </c>
      <c r="E187" s="16"/>
      <c r="F187" s="16" t="s">
        <v>313</v>
      </c>
    </row>
    <row r="188" spans="1:6">
      <c r="A188" s="16" t="s">
        <v>682</v>
      </c>
      <c r="B188" s="16" t="s">
        <v>312</v>
      </c>
      <c r="C188" s="16" t="s">
        <v>159</v>
      </c>
      <c r="D188" s="16" t="s">
        <v>311</v>
      </c>
      <c r="E188" s="16"/>
      <c r="F188" s="16" t="s">
        <v>313</v>
      </c>
    </row>
    <row r="189" spans="1:6">
      <c r="A189" s="16" t="s">
        <v>683</v>
      </c>
      <c r="B189" s="16" t="s">
        <v>312</v>
      </c>
      <c r="C189" s="16" t="s">
        <v>643</v>
      </c>
      <c r="D189" s="16" t="s">
        <v>310</v>
      </c>
      <c r="E189" s="16"/>
      <c r="F189" s="16" t="s">
        <v>313</v>
      </c>
    </row>
    <row r="190" spans="1:6">
      <c r="A190" s="16" t="s">
        <v>684</v>
      </c>
      <c r="B190" s="16" t="s">
        <v>312</v>
      </c>
      <c r="C190" s="16" t="s">
        <v>81</v>
      </c>
      <c r="D190" s="16" t="s">
        <v>206</v>
      </c>
      <c r="E190" s="16"/>
      <c r="F190" s="16" t="s">
        <v>313</v>
      </c>
    </row>
    <row r="191" spans="1:6">
      <c r="A191" s="16" t="s">
        <v>685</v>
      </c>
      <c r="B191" s="16" t="s">
        <v>312</v>
      </c>
      <c r="C191" s="16" t="s">
        <v>484</v>
      </c>
      <c r="D191" s="16" t="s">
        <v>485</v>
      </c>
      <c r="E191" s="16"/>
      <c r="F191" s="16" t="s">
        <v>313</v>
      </c>
    </row>
    <row r="192" spans="1:6">
      <c r="A192" s="16" t="s">
        <v>686</v>
      </c>
      <c r="B192" s="16" t="s">
        <v>317</v>
      </c>
      <c r="C192" s="16" t="s">
        <v>466</v>
      </c>
      <c r="D192" s="16" t="s">
        <v>314</v>
      </c>
      <c r="E192" s="16"/>
      <c r="F192" s="16" t="s">
        <v>318</v>
      </c>
    </row>
    <row r="193" spans="1:6">
      <c r="A193" s="16" t="s">
        <v>687</v>
      </c>
      <c r="B193" s="16" t="s">
        <v>317</v>
      </c>
      <c r="C193" s="16" t="s">
        <v>159</v>
      </c>
      <c r="D193" s="16" t="s">
        <v>316</v>
      </c>
      <c r="E193" s="16"/>
      <c r="F193" s="16" t="s">
        <v>318</v>
      </c>
    </row>
    <row r="194" spans="1:6">
      <c r="A194" s="16" t="s">
        <v>688</v>
      </c>
      <c r="B194" s="16" t="s">
        <v>317</v>
      </c>
      <c r="C194" s="16" t="s">
        <v>643</v>
      </c>
      <c r="D194" s="16" t="s">
        <v>315</v>
      </c>
      <c r="E194" s="16"/>
      <c r="F194" s="16" t="s">
        <v>318</v>
      </c>
    </row>
    <row r="195" spans="1:6">
      <c r="A195" s="16" t="s">
        <v>689</v>
      </c>
      <c r="B195" s="16" t="s">
        <v>317</v>
      </c>
      <c r="C195" s="16" t="s">
        <v>81</v>
      </c>
      <c r="D195" s="16" t="s">
        <v>206</v>
      </c>
      <c r="E195" s="16"/>
      <c r="F195" s="16" t="s">
        <v>318</v>
      </c>
    </row>
    <row r="196" spans="1:6">
      <c r="A196" s="16" t="s">
        <v>690</v>
      </c>
      <c r="B196" s="16" t="s">
        <v>317</v>
      </c>
      <c r="C196" s="16" t="s">
        <v>484</v>
      </c>
      <c r="D196" s="16" t="s">
        <v>485</v>
      </c>
      <c r="E196" s="16"/>
      <c r="F196" s="16" t="s">
        <v>318</v>
      </c>
    </row>
    <row r="197" spans="1:6">
      <c r="A197" s="16" t="s">
        <v>691</v>
      </c>
      <c r="B197" s="16" t="s">
        <v>323</v>
      </c>
      <c r="C197" s="16" t="s">
        <v>466</v>
      </c>
      <c r="D197" s="16" t="s">
        <v>319</v>
      </c>
      <c r="E197" s="16"/>
      <c r="F197" s="16" t="s">
        <v>324</v>
      </c>
    </row>
    <row r="198" spans="1:6">
      <c r="A198" s="16" t="s">
        <v>692</v>
      </c>
      <c r="B198" s="16" t="s">
        <v>323</v>
      </c>
      <c r="C198" s="16" t="s">
        <v>159</v>
      </c>
      <c r="D198" s="16" t="s">
        <v>322</v>
      </c>
      <c r="E198" s="16"/>
      <c r="F198" s="16" t="s">
        <v>324</v>
      </c>
    </row>
    <row r="199" spans="1:6">
      <c r="A199" s="16" t="s">
        <v>693</v>
      </c>
      <c r="B199" s="16" t="s">
        <v>323</v>
      </c>
      <c r="C199" s="16" t="s">
        <v>643</v>
      </c>
      <c r="D199" s="16" t="s">
        <v>320</v>
      </c>
      <c r="E199" s="16"/>
      <c r="F199" s="16" t="s">
        <v>324</v>
      </c>
    </row>
    <row r="200" spans="1:6">
      <c r="A200" s="16" t="s">
        <v>694</v>
      </c>
      <c r="B200" s="16" t="s">
        <v>323</v>
      </c>
      <c r="C200" s="16" t="s">
        <v>81</v>
      </c>
      <c r="D200" s="16" t="s">
        <v>206</v>
      </c>
      <c r="E200" s="16"/>
      <c r="F200" s="16" t="s">
        <v>324</v>
      </c>
    </row>
    <row r="201" spans="1:6">
      <c r="A201" s="16" t="s">
        <v>695</v>
      </c>
      <c r="B201" s="16" t="s">
        <v>323</v>
      </c>
      <c r="C201" s="16" t="s">
        <v>484</v>
      </c>
      <c r="D201" s="16" t="s">
        <v>485</v>
      </c>
      <c r="E201" s="16"/>
      <c r="F201" s="16" t="s">
        <v>324</v>
      </c>
    </row>
    <row r="202" spans="1:6">
      <c r="A202" s="16" t="s">
        <v>696</v>
      </c>
      <c r="B202" s="16" t="s">
        <v>328</v>
      </c>
      <c r="C202" s="16" t="s">
        <v>466</v>
      </c>
      <c r="D202" s="16" t="s">
        <v>325</v>
      </c>
      <c r="E202" s="16"/>
      <c r="F202" s="16" t="s">
        <v>329</v>
      </c>
    </row>
    <row r="203" spans="1:6">
      <c r="A203" s="16" t="s">
        <v>697</v>
      </c>
      <c r="B203" s="16" t="s">
        <v>328</v>
      </c>
      <c r="C203" s="16" t="s">
        <v>159</v>
      </c>
      <c r="D203" s="16" t="s">
        <v>327</v>
      </c>
      <c r="E203" s="16"/>
      <c r="F203" s="16" t="s">
        <v>329</v>
      </c>
    </row>
    <row r="204" spans="1:6">
      <c r="A204" s="16" t="s">
        <v>698</v>
      </c>
      <c r="B204" s="16" t="s">
        <v>328</v>
      </c>
      <c r="C204" s="16" t="s">
        <v>643</v>
      </c>
      <c r="D204" s="16" t="s">
        <v>326</v>
      </c>
      <c r="E204" s="16"/>
      <c r="F204" s="16" t="s">
        <v>329</v>
      </c>
    </row>
    <row r="205" spans="1:6">
      <c r="A205" s="16" t="s">
        <v>699</v>
      </c>
      <c r="B205" s="16" t="s">
        <v>328</v>
      </c>
      <c r="C205" s="16" t="s">
        <v>81</v>
      </c>
      <c r="D205" s="16" t="s">
        <v>206</v>
      </c>
      <c r="E205" s="16"/>
      <c r="F205" s="16" t="s">
        <v>329</v>
      </c>
    </row>
    <row r="206" spans="1:6">
      <c r="A206" s="16" t="s">
        <v>700</v>
      </c>
      <c r="B206" s="16" t="s">
        <v>328</v>
      </c>
      <c r="C206" s="16" t="s">
        <v>484</v>
      </c>
      <c r="D206" s="16" t="s">
        <v>485</v>
      </c>
      <c r="E206" s="16"/>
      <c r="F206" s="16" t="s">
        <v>329</v>
      </c>
    </row>
    <row r="207" spans="1:6">
      <c r="A207" s="16" t="s">
        <v>701</v>
      </c>
      <c r="B207" s="16" t="s">
        <v>333</v>
      </c>
      <c r="C207" s="16" t="s">
        <v>466</v>
      </c>
      <c r="D207" s="16" t="s">
        <v>330</v>
      </c>
      <c r="E207" s="16"/>
      <c r="F207" s="16" t="s">
        <v>334</v>
      </c>
    </row>
    <row r="208" spans="1:6">
      <c r="A208" s="16" t="s">
        <v>702</v>
      </c>
      <c r="B208" s="16" t="s">
        <v>333</v>
      </c>
      <c r="C208" s="16" t="s">
        <v>159</v>
      </c>
      <c r="D208" s="16" t="s">
        <v>332</v>
      </c>
      <c r="E208" s="16"/>
      <c r="F208" s="16" t="s">
        <v>334</v>
      </c>
    </row>
    <row r="209" spans="1:6">
      <c r="A209" s="16" t="s">
        <v>703</v>
      </c>
      <c r="B209" s="16" t="s">
        <v>333</v>
      </c>
      <c r="C209" s="16" t="s">
        <v>643</v>
      </c>
      <c r="D209" s="16" t="s">
        <v>331</v>
      </c>
      <c r="E209" s="16"/>
      <c r="F209" s="16" t="s">
        <v>334</v>
      </c>
    </row>
    <row r="210" spans="1:6">
      <c r="A210" s="16" t="s">
        <v>704</v>
      </c>
      <c r="B210" s="16" t="s">
        <v>333</v>
      </c>
      <c r="C210" s="16" t="s">
        <v>81</v>
      </c>
      <c r="D210" s="16" t="s">
        <v>206</v>
      </c>
      <c r="E210" s="16"/>
      <c r="F210" s="16" t="s">
        <v>334</v>
      </c>
    </row>
    <row r="211" spans="1:6">
      <c r="A211" s="16" t="s">
        <v>705</v>
      </c>
      <c r="B211" s="16" t="s">
        <v>333</v>
      </c>
      <c r="C211" s="16" t="s">
        <v>484</v>
      </c>
      <c r="D211" s="16" t="s">
        <v>485</v>
      </c>
      <c r="E211" s="16"/>
      <c r="F211" s="16" t="s">
        <v>334</v>
      </c>
    </row>
    <row r="212" spans="1:6">
      <c r="A212" s="16" t="s">
        <v>706</v>
      </c>
      <c r="B212" s="16" t="s">
        <v>338</v>
      </c>
      <c r="C212" s="16" t="s">
        <v>466</v>
      </c>
      <c r="D212" s="16" t="s">
        <v>335</v>
      </c>
      <c r="E212" s="16"/>
      <c r="F212" s="16" t="s">
        <v>339</v>
      </c>
    </row>
    <row r="213" spans="1:6">
      <c r="A213" s="16" t="s">
        <v>707</v>
      </c>
      <c r="B213" s="16" t="s">
        <v>338</v>
      </c>
      <c r="C213" s="16" t="s">
        <v>159</v>
      </c>
      <c r="D213" s="16" t="s">
        <v>337</v>
      </c>
      <c r="E213" s="16"/>
      <c r="F213" s="16" t="s">
        <v>339</v>
      </c>
    </row>
    <row r="214" spans="1:6">
      <c r="A214" s="16" t="s">
        <v>708</v>
      </c>
      <c r="B214" s="16" t="s">
        <v>338</v>
      </c>
      <c r="C214" s="16" t="s">
        <v>643</v>
      </c>
      <c r="D214" s="16" t="s">
        <v>336</v>
      </c>
      <c r="E214" s="16"/>
      <c r="F214" s="16" t="s">
        <v>339</v>
      </c>
    </row>
    <row r="215" spans="1:6">
      <c r="A215" s="16" t="s">
        <v>709</v>
      </c>
      <c r="B215" s="16" t="s">
        <v>338</v>
      </c>
      <c r="C215" s="16" t="s">
        <v>81</v>
      </c>
      <c r="D215" s="16" t="s">
        <v>206</v>
      </c>
      <c r="E215" s="16"/>
      <c r="F215" s="16" t="s">
        <v>339</v>
      </c>
    </row>
    <row r="216" spans="1:6">
      <c r="A216" s="16" t="s">
        <v>710</v>
      </c>
      <c r="B216" s="16" t="s">
        <v>338</v>
      </c>
      <c r="C216" s="16" t="s">
        <v>484</v>
      </c>
      <c r="D216" s="16" t="s">
        <v>485</v>
      </c>
      <c r="E216" s="16"/>
      <c r="F216" s="16" t="s">
        <v>339</v>
      </c>
    </row>
    <row r="217" spans="1:6">
      <c r="A217" s="16" t="s">
        <v>711</v>
      </c>
      <c r="B217" s="16" t="s">
        <v>343</v>
      </c>
      <c r="C217" s="16" t="s">
        <v>466</v>
      </c>
      <c r="D217" s="16" t="s">
        <v>340</v>
      </c>
      <c r="E217" s="16"/>
      <c r="F217" s="16" t="s">
        <v>344</v>
      </c>
    </row>
    <row r="218" spans="1:6">
      <c r="A218" s="16" t="s">
        <v>712</v>
      </c>
      <c r="B218" s="16" t="s">
        <v>343</v>
      </c>
      <c r="C218" s="16" t="s">
        <v>159</v>
      </c>
      <c r="D218" s="16" t="s">
        <v>342</v>
      </c>
      <c r="E218" s="16"/>
      <c r="F218" s="16" t="s">
        <v>344</v>
      </c>
    </row>
    <row r="219" spans="1:6">
      <c r="A219" s="16" t="s">
        <v>713</v>
      </c>
      <c r="B219" s="16" t="s">
        <v>343</v>
      </c>
      <c r="C219" s="16" t="s">
        <v>643</v>
      </c>
      <c r="D219" s="16" t="s">
        <v>341</v>
      </c>
      <c r="E219" s="16"/>
      <c r="F219" s="16" t="s">
        <v>344</v>
      </c>
    </row>
    <row r="220" spans="1:6">
      <c r="A220" s="16" t="s">
        <v>714</v>
      </c>
      <c r="B220" s="16" t="s">
        <v>343</v>
      </c>
      <c r="C220" s="16" t="s">
        <v>81</v>
      </c>
      <c r="D220" s="16" t="s">
        <v>167</v>
      </c>
      <c r="E220" s="16"/>
      <c r="F220" s="16" t="s">
        <v>344</v>
      </c>
    </row>
    <row r="221" spans="1:6">
      <c r="A221" s="16" t="s">
        <v>715</v>
      </c>
      <c r="B221" s="16" t="s">
        <v>343</v>
      </c>
      <c r="C221" s="16" t="s">
        <v>484</v>
      </c>
      <c r="D221" s="16" t="s">
        <v>485</v>
      </c>
      <c r="E221" s="16"/>
      <c r="F221" s="16" t="s">
        <v>344</v>
      </c>
    </row>
    <row r="222" spans="1:6">
      <c r="A222" s="16" t="s">
        <v>716</v>
      </c>
      <c r="B222" s="16" t="s">
        <v>349</v>
      </c>
      <c r="C222" s="16" t="s">
        <v>466</v>
      </c>
      <c r="D222" s="16" t="s">
        <v>345</v>
      </c>
      <c r="E222" s="16"/>
      <c r="F222" s="16" t="s">
        <v>350</v>
      </c>
    </row>
    <row r="223" spans="1:6">
      <c r="A223" s="16" t="s">
        <v>717</v>
      </c>
      <c r="B223" s="16" t="s">
        <v>349</v>
      </c>
      <c r="C223" s="16" t="s">
        <v>159</v>
      </c>
      <c r="D223" s="16" t="s">
        <v>348</v>
      </c>
      <c r="E223" s="16"/>
      <c r="F223" s="16" t="s">
        <v>350</v>
      </c>
    </row>
    <row r="224" spans="1:6">
      <c r="A224" s="16" t="s">
        <v>718</v>
      </c>
      <c r="B224" s="16" t="s">
        <v>349</v>
      </c>
      <c r="C224" s="16" t="s">
        <v>643</v>
      </c>
      <c r="D224" s="16" t="s">
        <v>346</v>
      </c>
      <c r="E224" s="16"/>
      <c r="F224" s="16" t="s">
        <v>350</v>
      </c>
    </row>
    <row r="225" spans="1:6">
      <c r="A225" s="16" t="s">
        <v>719</v>
      </c>
      <c r="B225" s="16" t="s">
        <v>349</v>
      </c>
      <c r="C225" s="16" t="s">
        <v>81</v>
      </c>
      <c r="D225" s="16" t="s">
        <v>206</v>
      </c>
      <c r="E225" s="16"/>
      <c r="F225" s="16" t="s">
        <v>350</v>
      </c>
    </row>
    <row r="226" spans="1:6">
      <c r="A226" s="16" t="s">
        <v>720</v>
      </c>
      <c r="B226" s="16" t="s">
        <v>349</v>
      </c>
      <c r="C226" s="16" t="s">
        <v>484</v>
      </c>
      <c r="D226" s="16" t="s">
        <v>485</v>
      </c>
      <c r="E226" s="16"/>
      <c r="F226" s="16" t="s">
        <v>350</v>
      </c>
    </row>
    <row r="227" spans="1:6">
      <c r="A227" s="16" t="s">
        <v>721</v>
      </c>
      <c r="B227" s="16" t="s">
        <v>354</v>
      </c>
      <c r="C227" s="16" t="s">
        <v>466</v>
      </c>
      <c r="D227" s="16" t="s">
        <v>351</v>
      </c>
      <c r="E227" s="16"/>
      <c r="F227" s="16" t="s">
        <v>355</v>
      </c>
    </row>
    <row r="228" spans="1:6">
      <c r="A228" s="16" t="s">
        <v>722</v>
      </c>
      <c r="B228" s="16" t="s">
        <v>354</v>
      </c>
      <c r="C228" s="16" t="s">
        <v>159</v>
      </c>
      <c r="D228" s="16" t="s">
        <v>353</v>
      </c>
      <c r="E228" s="16"/>
      <c r="F228" s="16" t="s">
        <v>355</v>
      </c>
    </row>
    <row r="229" spans="1:6">
      <c r="A229" s="16" t="s">
        <v>723</v>
      </c>
      <c r="B229" s="16" t="s">
        <v>354</v>
      </c>
      <c r="C229" s="16" t="s">
        <v>643</v>
      </c>
      <c r="D229" s="16" t="s">
        <v>352</v>
      </c>
      <c r="E229" s="16"/>
      <c r="F229" s="16" t="s">
        <v>355</v>
      </c>
    </row>
    <row r="230" spans="1:6">
      <c r="A230" s="16" t="s">
        <v>724</v>
      </c>
      <c r="B230" s="16" t="s">
        <v>354</v>
      </c>
      <c r="C230" s="16" t="s">
        <v>81</v>
      </c>
      <c r="D230" s="16" t="s">
        <v>206</v>
      </c>
      <c r="E230" s="16"/>
      <c r="F230" s="16" t="s">
        <v>355</v>
      </c>
    </row>
    <row r="231" spans="1:6">
      <c r="A231" s="16" t="s">
        <v>725</v>
      </c>
      <c r="B231" s="16" t="s">
        <v>354</v>
      </c>
      <c r="C231" s="16" t="s">
        <v>484</v>
      </c>
      <c r="D231" s="16" t="s">
        <v>485</v>
      </c>
      <c r="E231" s="16"/>
      <c r="F231" s="16" t="s">
        <v>355</v>
      </c>
    </row>
    <row r="232" spans="1:6">
      <c r="A232" s="16" t="s">
        <v>726</v>
      </c>
      <c r="B232" s="16" t="s">
        <v>359</v>
      </c>
      <c r="C232" s="16" t="s">
        <v>466</v>
      </c>
      <c r="D232" s="16" t="s">
        <v>356</v>
      </c>
      <c r="E232" s="16"/>
      <c r="F232" s="16" t="s">
        <v>360</v>
      </c>
    </row>
    <row r="233" spans="1:6">
      <c r="A233" s="16" t="s">
        <v>727</v>
      </c>
      <c r="B233" s="16" t="s">
        <v>359</v>
      </c>
      <c r="C233" s="16" t="s">
        <v>159</v>
      </c>
      <c r="D233" s="16" t="s">
        <v>358</v>
      </c>
      <c r="E233" s="16"/>
      <c r="F233" s="16" t="s">
        <v>360</v>
      </c>
    </row>
    <row r="234" spans="1:6">
      <c r="A234" s="16" t="s">
        <v>728</v>
      </c>
      <c r="B234" s="16" t="s">
        <v>359</v>
      </c>
      <c r="C234" s="16" t="s">
        <v>643</v>
      </c>
      <c r="D234" s="16" t="s">
        <v>357</v>
      </c>
      <c r="E234" s="16"/>
      <c r="F234" s="16" t="s">
        <v>360</v>
      </c>
    </row>
    <row r="235" spans="1:6">
      <c r="A235" s="16" t="s">
        <v>729</v>
      </c>
      <c r="B235" s="16" t="s">
        <v>359</v>
      </c>
      <c r="C235" s="16" t="s">
        <v>81</v>
      </c>
      <c r="D235" s="16" t="s">
        <v>206</v>
      </c>
      <c r="E235" s="16"/>
      <c r="F235" s="16" t="s">
        <v>360</v>
      </c>
    </row>
    <row r="236" spans="1:6">
      <c r="A236" s="16" t="s">
        <v>730</v>
      </c>
      <c r="B236" s="16" t="s">
        <v>359</v>
      </c>
      <c r="C236" s="16" t="s">
        <v>484</v>
      </c>
      <c r="D236" s="16" t="s">
        <v>485</v>
      </c>
      <c r="E236" s="16"/>
      <c r="F236" s="16" t="s">
        <v>360</v>
      </c>
    </row>
    <row r="237" spans="1:6">
      <c r="A237" s="16" t="s">
        <v>731</v>
      </c>
      <c r="B237" s="16" t="s">
        <v>364</v>
      </c>
      <c r="C237" s="16" t="s">
        <v>466</v>
      </c>
      <c r="D237" s="16" t="s">
        <v>361</v>
      </c>
      <c r="E237" s="16"/>
      <c r="F237" s="16" t="s">
        <v>365</v>
      </c>
    </row>
    <row r="238" spans="1:6">
      <c r="A238" s="16" t="s">
        <v>732</v>
      </c>
      <c r="B238" s="16" t="s">
        <v>364</v>
      </c>
      <c r="C238" s="16" t="s">
        <v>159</v>
      </c>
      <c r="D238" s="16" t="s">
        <v>363</v>
      </c>
      <c r="E238" s="16"/>
      <c r="F238" s="16" t="s">
        <v>365</v>
      </c>
    </row>
    <row r="239" spans="1:6">
      <c r="A239" s="16" t="s">
        <v>733</v>
      </c>
      <c r="B239" s="16" t="s">
        <v>364</v>
      </c>
      <c r="C239" s="16" t="s">
        <v>643</v>
      </c>
      <c r="D239" s="16" t="s">
        <v>362</v>
      </c>
      <c r="E239" s="16"/>
      <c r="F239" s="16" t="s">
        <v>365</v>
      </c>
    </row>
    <row r="240" spans="1:6">
      <c r="A240" s="16" t="s">
        <v>734</v>
      </c>
      <c r="B240" s="16" t="s">
        <v>364</v>
      </c>
      <c r="C240" s="16" t="s">
        <v>81</v>
      </c>
      <c r="D240" s="16" t="s">
        <v>206</v>
      </c>
      <c r="E240" s="16"/>
      <c r="F240" s="16" t="s">
        <v>365</v>
      </c>
    </row>
    <row r="241" spans="1:6">
      <c r="A241" s="16" t="s">
        <v>735</v>
      </c>
      <c r="B241" s="16" t="s">
        <v>364</v>
      </c>
      <c r="C241" s="16" t="s">
        <v>484</v>
      </c>
      <c r="D241" s="16" t="s">
        <v>485</v>
      </c>
      <c r="E241" s="16"/>
      <c r="F241" s="16" t="s">
        <v>365</v>
      </c>
    </row>
    <row r="242" spans="1:6">
      <c r="A242" s="16" t="s">
        <v>736</v>
      </c>
      <c r="B242" s="16" t="s">
        <v>368</v>
      </c>
      <c r="C242" s="16" t="s">
        <v>466</v>
      </c>
      <c r="D242" s="16" t="s">
        <v>366</v>
      </c>
      <c r="E242" s="16"/>
      <c r="F242" s="16" t="s">
        <v>369</v>
      </c>
    </row>
    <row r="243" spans="1:6">
      <c r="A243" s="16" t="s">
        <v>737</v>
      </c>
      <c r="B243" s="16" t="s">
        <v>368</v>
      </c>
      <c r="C243" s="16" t="s">
        <v>159</v>
      </c>
      <c r="D243" s="16" t="s">
        <v>367</v>
      </c>
      <c r="E243" s="16"/>
      <c r="F243" s="16" t="s">
        <v>369</v>
      </c>
    </row>
    <row r="244" spans="1:6">
      <c r="A244" s="16" t="s">
        <v>738</v>
      </c>
      <c r="B244" s="16" t="s">
        <v>368</v>
      </c>
      <c r="C244" s="16" t="s">
        <v>643</v>
      </c>
      <c r="D244" s="16" t="s">
        <v>367</v>
      </c>
      <c r="E244" s="16"/>
      <c r="F244" s="16" t="s">
        <v>369</v>
      </c>
    </row>
    <row r="245" spans="1:6">
      <c r="A245" s="16" t="s">
        <v>739</v>
      </c>
      <c r="B245" s="16" t="s">
        <v>368</v>
      </c>
      <c r="C245" s="16" t="s">
        <v>81</v>
      </c>
      <c r="D245" s="16" t="s">
        <v>206</v>
      </c>
      <c r="E245" s="16"/>
      <c r="F245" s="16" t="s">
        <v>369</v>
      </c>
    </row>
    <row r="246" spans="1:6">
      <c r="A246" s="16" t="s">
        <v>740</v>
      </c>
      <c r="B246" s="16" t="s">
        <v>368</v>
      </c>
      <c r="C246" s="16" t="s">
        <v>484</v>
      </c>
      <c r="D246" s="16" t="s">
        <v>485</v>
      </c>
      <c r="E246" s="16"/>
      <c r="F246" s="16" t="s">
        <v>369</v>
      </c>
    </row>
    <row r="247" spans="1:6">
      <c r="A247" s="16" t="s">
        <v>741</v>
      </c>
      <c r="B247" s="16" t="s">
        <v>374</v>
      </c>
      <c r="C247" s="16" t="s">
        <v>466</v>
      </c>
      <c r="D247" s="16" t="s">
        <v>370</v>
      </c>
      <c r="E247" s="16"/>
      <c r="F247" s="16" t="s">
        <v>375</v>
      </c>
    </row>
    <row r="248" spans="1:6">
      <c r="A248" s="16" t="s">
        <v>742</v>
      </c>
      <c r="B248" s="16" t="s">
        <v>374</v>
      </c>
      <c r="C248" s="16" t="s">
        <v>159</v>
      </c>
      <c r="D248" s="16" t="s">
        <v>373</v>
      </c>
      <c r="E248" s="16"/>
      <c r="F248" s="16" t="s">
        <v>375</v>
      </c>
    </row>
    <row r="249" spans="1:6">
      <c r="A249" s="16" t="s">
        <v>743</v>
      </c>
      <c r="B249" s="16" t="s">
        <v>374</v>
      </c>
      <c r="C249" s="16" t="s">
        <v>643</v>
      </c>
      <c r="D249" s="16" t="s">
        <v>371</v>
      </c>
      <c r="E249" s="16"/>
      <c r="F249" s="16" t="s">
        <v>375</v>
      </c>
    </row>
    <row r="250" spans="1:6">
      <c r="A250" s="16" t="s">
        <v>744</v>
      </c>
      <c r="B250" s="16" t="s">
        <v>374</v>
      </c>
      <c r="C250" s="16" t="s">
        <v>81</v>
      </c>
      <c r="D250" s="16" t="s">
        <v>167</v>
      </c>
      <c r="E250" s="16"/>
      <c r="F250" s="16" t="s">
        <v>375</v>
      </c>
    </row>
    <row r="251" spans="1:6">
      <c r="A251" s="16" t="s">
        <v>745</v>
      </c>
      <c r="B251" s="16" t="s">
        <v>374</v>
      </c>
      <c r="C251" s="16" t="s">
        <v>484</v>
      </c>
      <c r="D251" s="16" t="s">
        <v>485</v>
      </c>
      <c r="E251" s="16"/>
      <c r="F251" s="16" t="s">
        <v>375</v>
      </c>
    </row>
    <row r="252" spans="1:6">
      <c r="A252" s="16" t="s">
        <v>746</v>
      </c>
      <c r="B252" s="16" t="s">
        <v>379</v>
      </c>
      <c r="C252" s="16" t="s">
        <v>466</v>
      </c>
      <c r="D252" s="16" t="s">
        <v>376</v>
      </c>
      <c r="E252" s="16"/>
      <c r="F252" s="16" t="s">
        <v>380</v>
      </c>
    </row>
    <row r="253" spans="1:6">
      <c r="A253" s="16" t="s">
        <v>747</v>
      </c>
      <c r="B253" s="16" t="s">
        <v>379</v>
      </c>
      <c r="C253" s="16" t="s">
        <v>159</v>
      </c>
      <c r="D253" s="16" t="s">
        <v>378</v>
      </c>
      <c r="E253" s="16"/>
      <c r="F253" s="16" t="s">
        <v>380</v>
      </c>
    </row>
    <row r="254" spans="1:6">
      <c r="A254" s="16" t="s">
        <v>748</v>
      </c>
      <c r="B254" s="16" t="s">
        <v>379</v>
      </c>
      <c r="C254" s="16" t="s">
        <v>643</v>
      </c>
      <c r="D254" s="16" t="s">
        <v>377</v>
      </c>
      <c r="E254" s="16"/>
      <c r="F254" s="16" t="s">
        <v>380</v>
      </c>
    </row>
    <row r="255" spans="1:6">
      <c r="A255" s="16" t="s">
        <v>749</v>
      </c>
      <c r="B255" s="16" t="s">
        <v>379</v>
      </c>
      <c r="C255" s="16" t="s">
        <v>81</v>
      </c>
      <c r="D255" s="16" t="s">
        <v>167</v>
      </c>
      <c r="E255" s="16"/>
      <c r="F255" s="16" t="s">
        <v>380</v>
      </c>
    </row>
    <row r="256" spans="1:6">
      <c r="A256" s="16" t="s">
        <v>750</v>
      </c>
      <c r="B256" s="16" t="s">
        <v>379</v>
      </c>
      <c r="C256" s="16" t="s">
        <v>484</v>
      </c>
      <c r="D256" s="16" t="s">
        <v>485</v>
      </c>
      <c r="E256" s="16"/>
      <c r="F256" s="16" t="s">
        <v>380</v>
      </c>
    </row>
    <row r="257" spans="1:6">
      <c r="A257" s="16" t="s">
        <v>751</v>
      </c>
      <c r="B257" s="16" t="s">
        <v>384</v>
      </c>
      <c r="C257" s="16" t="s">
        <v>466</v>
      </c>
      <c r="D257" s="16" t="s">
        <v>381</v>
      </c>
      <c r="E257" s="16"/>
      <c r="F257" s="16" t="s">
        <v>385</v>
      </c>
    </row>
    <row r="258" spans="1:6">
      <c r="A258" s="16" t="s">
        <v>752</v>
      </c>
      <c r="B258" s="16" t="s">
        <v>384</v>
      </c>
      <c r="C258" s="16" t="s">
        <v>159</v>
      </c>
      <c r="D258" s="16" t="s">
        <v>383</v>
      </c>
      <c r="E258" s="16"/>
      <c r="F258" s="16" t="s">
        <v>385</v>
      </c>
    </row>
    <row r="259" spans="1:6">
      <c r="A259" s="16" t="s">
        <v>753</v>
      </c>
      <c r="B259" s="16" t="s">
        <v>384</v>
      </c>
      <c r="C259" s="16" t="s">
        <v>643</v>
      </c>
      <c r="D259" s="16" t="s">
        <v>382</v>
      </c>
      <c r="E259" s="16"/>
      <c r="F259" s="16" t="s">
        <v>385</v>
      </c>
    </row>
    <row r="260" spans="1:6">
      <c r="A260" s="16" t="s">
        <v>754</v>
      </c>
      <c r="B260" s="16" t="s">
        <v>384</v>
      </c>
      <c r="C260" s="16" t="s">
        <v>81</v>
      </c>
      <c r="D260" s="16" t="s">
        <v>206</v>
      </c>
      <c r="E260" s="16"/>
      <c r="F260" s="16" t="s">
        <v>385</v>
      </c>
    </row>
    <row r="261" spans="1:6">
      <c r="A261" s="16" t="s">
        <v>755</v>
      </c>
      <c r="B261" s="16" t="s">
        <v>384</v>
      </c>
      <c r="C261" s="16" t="s">
        <v>484</v>
      </c>
      <c r="D261" s="16" t="s">
        <v>485</v>
      </c>
      <c r="E261" s="16"/>
      <c r="F261" s="16" t="s">
        <v>385</v>
      </c>
    </row>
    <row r="262" spans="1:6">
      <c r="A262" s="16" t="s">
        <v>756</v>
      </c>
      <c r="B262" s="16" t="s">
        <v>389</v>
      </c>
      <c r="C262" s="16" t="s">
        <v>466</v>
      </c>
      <c r="D262" s="16" t="s">
        <v>386</v>
      </c>
      <c r="E262" s="16"/>
      <c r="F262" s="16" t="s">
        <v>390</v>
      </c>
    </row>
    <row r="263" spans="1:6">
      <c r="A263" s="16" t="s">
        <v>757</v>
      </c>
      <c r="B263" s="16" t="s">
        <v>389</v>
      </c>
      <c r="C263" s="16" t="s">
        <v>159</v>
      </c>
      <c r="D263" s="16" t="s">
        <v>388</v>
      </c>
      <c r="E263" s="16"/>
      <c r="F263" s="16" t="s">
        <v>390</v>
      </c>
    </row>
    <row r="264" spans="1:6">
      <c r="A264" s="16" t="s">
        <v>758</v>
      </c>
      <c r="B264" s="16" t="s">
        <v>389</v>
      </c>
      <c r="C264" s="16" t="s">
        <v>643</v>
      </c>
      <c r="D264" s="16" t="s">
        <v>387</v>
      </c>
      <c r="E264" s="16"/>
      <c r="F264" s="16" t="s">
        <v>390</v>
      </c>
    </row>
    <row r="265" spans="1:6">
      <c r="A265" s="16" t="s">
        <v>759</v>
      </c>
      <c r="B265" s="16" t="s">
        <v>389</v>
      </c>
      <c r="C265" s="16" t="s">
        <v>81</v>
      </c>
      <c r="D265" s="16" t="s">
        <v>167</v>
      </c>
      <c r="E265" s="16"/>
      <c r="F265" s="16" t="s">
        <v>390</v>
      </c>
    </row>
    <row r="266" spans="1:6">
      <c r="A266" s="16" t="s">
        <v>760</v>
      </c>
      <c r="B266" s="16" t="s">
        <v>389</v>
      </c>
      <c r="C266" s="16" t="s">
        <v>484</v>
      </c>
      <c r="D266" s="16" t="s">
        <v>485</v>
      </c>
      <c r="E266" s="16"/>
      <c r="F266" s="16" t="s">
        <v>390</v>
      </c>
    </row>
    <row r="267" spans="1:6">
      <c r="A267" s="16" t="s">
        <v>761</v>
      </c>
      <c r="B267" s="16" t="s">
        <v>393</v>
      </c>
      <c r="C267" s="16" t="s">
        <v>466</v>
      </c>
      <c r="D267" s="16" t="s">
        <v>391</v>
      </c>
      <c r="E267" s="16"/>
      <c r="F267" s="16" t="s">
        <v>394</v>
      </c>
    </row>
    <row r="268" spans="1:6">
      <c r="A268" s="16" t="s">
        <v>762</v>
      </c>
      <c r="B268" s="16" t="s">
        <v>393</v>
      </c>
      <c r="C268" s="16" t="s">
        <v>159</v>
      </c>
      <c r="D268" s="16" t="s">
        <v>284</v>
      </c>
      <c r="E268" s="16"/>
      <c r="F268" s="16" t="s">
        <v>394</v>
      </c>
    </row>
    <row r="269" spans="1:6">
      <c r="A269" s="16" t="s">
        <v>763</v>
      </c>
      <c r="B269" s="16" t="s">
        <v>393</v>
      </c>
      <c r="C269" s="16" t="s">
        <v>643</v>
      </c>
      <c r="D269" s="16" t="s">
        <v>392</v>
      </c>
      <c r="E269" s="16"/>
      <c r="F269" s="16" t="s">
        <v>394</v>
      </c>
    </row>
    <row r="270" spans="1:6">
      <c r="A270" s="16" t="s">
        <v>764</v>
      </c>
      <c r="B270" s="16" t="s">
        <v>393</v>
      </c>
      <c r="C270" s="16" t="s">
        <v>81</v>
      </c>
      <c r="D270" s="16" t="s">
        <v>206</v>
      </c>
      <c r="E270" s="16"/>
      <c r="F270" s="16" t="s">
        <v>394</v>
      </c>
    </row>
    <row r="271" spans="1:6">
      <c r="A271" s="16" t="s">
        <v>765</v>
      </c>
      <c r="B271" s="16" t="s">
        <v>393</v>
      </c>
      <c r="C271" s="16" t="s">
        <v>484</v>
      </c>
      <c r="D271" s="16" t="s">
        <v>485</v>
      </c>
      <c r="E271" s="16"/>
      <c r="F271" s="16" t="s">
        <v>394</v>
      </c>
    </row>
    <row r="272" spans="1:6">
      <c r="A272" s="16" t="s">
        <v>766</v>
      </c>
      <c r="B272" s="16" t="s">
        <v>399</v>
      </c>
      <c r="C272" s="16" t="s">
        <v>466</v>
      </c>
      <c r="D272" s="16" t="s">
        <v>395</v>
      </c>
      <c r="E272" s="16"/>
      <c r="F272" s="16" t="s">
        <v>400</v>
      </c>
    </row>
    <row r="273" spans="1:6">
      <c r="A273" s="16" t="s">
        <v>767</v>
      </c>
      <c r="B273" s="16" t="s">
        <v>399</v>
      </c>
      <c r="C273" s="16" t="s">
        <v>159</v>
      </c>
      <c r="D273" s="16" t="s">
        <v>398</v>
      </c>
      <c r="E273" s="16"/>
      <c r="F273" s="16" t="s">
        <v>400</v>
      </c>
    </row>
    <row r="274" spans="1:6">
      <c r="A274" s="16" t="s">
        <v>768</v>
      </c>
      <c r="B274" s="16" t="s">
        <v>399</v>
      </c>
      <c r="C274" s="16" t="s">
        <v>643</v>
      </c>
      <c r="D274" s="16" t="s">
        <v>396</v>
      </c>
      <c r="E274" s="16"/>
      <c r="F274" s="16" t="s">
        <v>400</v>
      </c>
    </row>
    <row r="275" spans="1:6">
      <c r="A275" s="16" t="s">
        <v>769</v>
      </c>
      <c r="B275" s="16" t="s">
        <v>399</v>
      </c>
      <c r="C275" s="16" t="s">
        <v>81</v>
      </c>
      <c r="D275" s="16" t="s">
        <v>206</v>
      </c>
      <c r="E275" s="16"/>
      <c r="F275" s="16" t="s">
        <v>400</v>
      </c>
    </row>
    <row r="276" spans="1:6">
      <c r="A276" s="16" t="s">
        <v>770</v>
      </c>
      <c r="B276" s="16" t="s">
        <v>399</v>
      </c>
      <c r="C276" s="16" t="s">
        <v>484</v>
      </c>
      <c r="D276" s="16" t="s">
        <v>485</v>
      </c>
      <c r="E276" s="16"/>
      <c r="F276" s="16" t="s">
        <v>400</v>
      </c>
    </row>
    <row r="277" spans="1:6">
      <c r="A277" s="16" t="s">
        <v>771</v>
      </c>
      <c r="B277" s="16" t="s">
        <v>404</v>
      </c>
      <c r="C277" s="16" t="s">
        <v>466</v>
      </c>
      <c r="D277" s="16" t="s">
        <v>401</v>
      </c>
      <c r="E277" s="16"/>
      <c r="F277" s="16" t="s">
        <v>405</v>
      </c>
    </row>
    <row r="278" spans="1:6">
      <c r="A278" s="16" t="s">
        <v>772</v>
      </c>
      <c r="B278" s="16" t="s">
        <v>404</v>
      </c>
      <c r="C278" s="16" t="s">
        <v>159</v>
      </c>
      <c r="D278" s="16" t="s">
        <v>403</v>
      </c>
      <c r="E278" s="16"/>
      <c r="F278" s="16" t="s">
        <v>405</v>
      </c>
    </row>
    <row r="279" spans="1:6">
      <c r="A279" s="16" t="s">
        <v>773</v>
      </c>
      <c r="B279" s="16" t="s">
        <v>404</v>
      </c>
      <c r="C279" s="16" t="s">
        <v>643</v>
      </c>
      <c r="D279" s="16" t="s">
        <v>402</v>
      </c>
      <c r="E279" s="16"/>
      <c r="F279" s="16" t="s">
        <v>405</v>
      </c>
    </row>
    <row r="280" spans="1:6">
      <c r="A280" s="16" t="s">
        <v>774</v>
      </c>
      <c r="B280" s="16" t="s">
        <v>404</v>
      </c>
      <c r="C280" s="16" t="s">
        <v>81</v>
      </c>
      <c r="D280" s="16" t="s">
        <v>206</v>
      </c>
      <c r="E280" s="16"/>
      <c r="F280" s="16" t="s">
        <v>405</v>
      </c>
    </row>
    <row r="281" spans="1:6">
      <c r="A281" s="16" t="s">
        <v>775</v>
      </c>
      <c r="B281" s="16" t="s">
        <v>404</v>
      </c>
      <c r="C281" s="16" t="s">
        <v>484</v>
      </c>
      <c r="D281" s="16" t="s">
        <v>485</v>
      </c>
      <c r="E281" s="16"/>
      <c r="F281" s="16" t="s">
        <v>405</v>
      </c>
    </row>
    <row r="282" spans="1:6">
      <c r="A282" s="16" t="s">
        <v>776</v>
      </c>
      <c r="B282" s="16" t="s">
        <v>409</v>
      </c>
      <c r="C282" s="16" t="s">
        <v>466</v>
      </c>
      <c r="D282" s="16" t="s">
        <v>406</v>
      </c>
      <c r="E282" s="16"/>
      <c r="F282" s="16" t="s">
        <v>410</v>
      </c>
    </row>
    <row r="283" spans="1:6">
      <c r="A283" s="16" t="s">
        <v>777</v>
      </c>
      <c r="B283" s="16" t="s">
        <v>409</v>
      </c>
      <c r="C283" s="16" t="s">
        <v>159</v>
      </c>
      <c r="D283" s="16" t="s">
        <v>408</v>
      </c>
      <c r="E283" s="16"/>
      <c r="F283" s="16" t="s">
        <v>410</v>
      </c>
    </row>
    <row r="284" spans="1:6">
      <c r="A284" s="16" t="s">
        <v>778</v>
      </c>
      <c r="B284" s="16" t="s">
        <v>409</v>
      </c>
      <c r="C284" s="16" t="s">
        <v>643</v>
      </c>
      <c r="D284" s="16" t="s">
        <v>407</v>
      </c>
      <c r="E284" s="16"/>
      <c r="F284" s="16" t="s">
        <v>410</v>
      </c>
    </row>
    <row r="285" spans="1:6">
      <c r="A285" s="16" t="s">
        <v>779</v>
      </c>
      <c r="B285" s="16" t="s">
        <v>409</v>
      </c>
      <c r="C285" s="16" t="s">
        <v>81</v>
      </c>
      <c r="D285" s="16" t="s">
        <v>206</v>
      </c>
      <c r="E285" s="16"/>
      <c r="F285" s="16" t="s">
        <v>410</v>
      </c>
    </row>
    <row r="286" spans="1:6">
      <c r="A286" s="16" t="s">
        <v>780</v>
      </c>
      <c r="B286" s="16" t="s">
        <v>409</v>
      </c>
      <c r="C286" s="16" t="s">
        <v>484</v>
      </c>
      <c r="D286" s="16" t="s">
        <v>485</v>
      </c>
      <c r="E286" s="16"/>
      <c r="F286" s="16" t="s">
        <v>410</v>
      </c>
    </row>
    <row r="287" spans="1:6">
      <c r="A287" s="16" t="s">
        <v>781</v>
      </c>
      <c r="B287" s="16" t="s">
        <v>414</v>
      </c>
      <c r="C287" s="16" t="s">
        <v>466</v>
      </c>
      <c r="D287" s="16" t="s">
        <v>411</v>
      </c>
      <c r="E287" s="16"/>
      <c r="F287" s="16" t="s">
        <v>415</v>
      </c>
    </row>
    <row r="288" spans="1:6">
      <c r="A288" s="16" t="s">
        <v>782</v>
      </c>
      <c r="B288" s="16" t="s">
        <v>414</v>
      </c>
      <c r="C288" s="16" t="s">
        <v>159</v>
      </c>
      <c r="D288" s="16" t="s">
        <v>413</v>
      </c>
      <c r="E288" s="16"/>
      <c r="F288" s="16" t="s">
        <v>415</v>
      </c>
    </row>
    <row r="289" spans="1:6">
      <c r="A289" s="16" t="s">
        <v>783</v>
      </c>
      <c r="B289" s="16" t="s">
        <v>414</v>
      </c>
      <c r="C289" s="16" t="s">
        <v>643</v>
      </c>
      <c r="D289" s="16" t="s">
        <v>412</v>
      </c>
      <c r="E289" s="16"/>
      <c r="F289" s="16" t="s">
        <v>415</v>
      </c>
    </row>
    <row r="290" spans="1:6">
      <c r="A290" s="16" t="s">
        <v>784</v>
      </c>
      <c r="B290" s="16" t="s">
        <v>414</v>
      </c>
      <c r="C290" s="16" t="s">
        <v>81</v>
      </c>
      <c r="D290" s="16" t="s">
        <v>206</v>
      </c>
      <c r="E290" s="16"/>
      <c r="F290" s="16" t="s">
        <v>415</v>
      </c>
    </row>
    <row r="291" spans="1:6">
      <c r="A291" s="16" t="s">
        <v>785</v>
      </c>
      <c r="B291" s="16" t="s">
        <v>414</v>
      </c>
      <c r="C291" s="16" t="s">
        <v>484</v>
      </c>
      <c r="D291" s="16" t="s">
        <v>485</v>
      </c>
      <c r="E291" s="16"/>
      <c r="F291" s="16" t="s">
        <v>415</v>
      </c>
    </row>
    <row r="292" spans="1:6">
      <c r="A292" s="16" t="s">
        <v>786</v>
      </c>
      <c r="B292" s="16" t="s">
        <v>419</v>
      </c>
      <c r="C292" s="16" t="s">
        <v>466</v>
      </c>
      <c r="D292" s="16" t="s">
        <v>416</v>
      </c>
      <c r="E292" s="16"/>
      <c r="F292" s="16" t="s">
        <v>420</v>
      </c>
    </row>
    <row r="293" spans="1:6">
      <c r="A293" s="16" t="s">
        <v>787</v>
      </c>
      <c r="B293" s="16" t="s">
        <v>419</v>
      </c>
      <c r="C293" s="16" t="s">
        <v>159</v>
      </c>
      <c r="D293" s="16" t="s">
        <v>418</v>
      </c>
      <c r="E293" s="16"/>
      <c r="F293" s="16" t="s">
        <v>420</v>
      </c>
    </row>
    <row r="294" spans="1:6">
      <c r="A294" s="16" t="s">
        <v>788</v>
      </c>
      <c r="B294" s="16" t="s">
        <v>419</v>
      </c>
      <c r="C294" s="16" t="s">
        <v>643</v>
      </c>
      <c r="D294" s="16" t="s">
        <v>417</v>
      </c>
      <c r="E294" s="16"/>
      <c r="F294" s="16" t="s">
        <v>420</v>
      </c>
    </row>
    <row r="295" spans="1:6">
      <c r="A295" s="16" t="s">
        <v>789</v>
      </c>
      <c r="B295" s="16" t="s">
        <v>419</v>
      </c>
      <c r="C295" s="16" t="s">
        <v>81</v>
      </c>
      <c r="D295" s="16" t="s">
        <v>206</v>
      </c>
      <c r="E295" s="16"/>
      <c r="F295" s="16" t="s">
        <v>420</v>
      </c>
    </row>
    <row r="296" spans="1:6">
      <c r="A296" s="16" t="s">
        <v>790</v>
      </c>
      <c r="B296" s="16" t="s">
        <v>419</v>
      </c>
      <c r="C296" s="16" t="s">
        <v>484</v>
      </c>
      <c r="D296" s="16" t="s">
        <v>485</v>
      </c>
      <c r="E296" s="16"/>
      <c r="F296" s="16" t="s">
        <v>420</v>
      </c>
    </row>
    <row r="297" spans="1:6">
      <c r="A297" s="16" t="s">
        <v>791</v>
      </c>
      <c r="B297" s="16" t="s">
        <v>425</v>
      </c>
      <c r="C297" s="16" t="s">
        <v>466</v>
      </c>
      <c r="D297" s="16" t="s">
        <v>421</v>
      </c>
      <c r="E297" s="16"/>
      <c r="F297" s="16" t="s">
        <v>426</v>
      </c>
    </row>
    <row r="298" spans="1:6">
      <c r="A298" s="16" t="s">
        <v>792</v>
      </c>
      <c r="B298" s="16" t="s">
        <v>425</v>
      </c>
      <c r="C298" s="16" t="s">
        <v>159</v>
      </c>
      <c r="D298" s="16" t="s">
        <v>424</v>
      </c>
      <c r="E298" s="16"/>
      <c r="F298" s="16" t="s">
        <v>426</v>
      </c>
    </row>
    <row r="299" spans="1:6">
      <c r="A299" s="16" t="s">
        <v>793</v>
      </c>
      <c r="B299" s="16" t="s">
        <v>425</v>
      </c>
      <c r="C299" s="16" t="s">
        <v>643</v>
      </c>
      <c r="D299" s="16" t="s">
        <v>422</v>
      </c>
      <c r="E299" s="16"/>
      <c r="F299" s="16" t="s">
        <v>426</v>
      </c>
    </row>
    <row r="300" spans="1:6">
      <c r="A300" s="16" t="s">
        <v>794</v>
      </c>
      <c r="B300" s="16" t="s">
        <v>425</v>
      </c>
      <c r="C300" s="16" t="s">
        <v>81</v>
      </c>
      <c r="D300" s="16" t="s">
        <v>206</v>
      </c>
      <c r="E300" s="16"/>
      <c r="F300" s="16" t="s">
        <v>426</v>
      </c>
    </row>
    <row r="301" spans="1:6">
      <c r="A301" s="16" t="s">
        <v>795</v>
      </c>
      <c r="B301" s="16" t="s">
        <v>425</v>
      </c>
      <c r="C301" s="16" t="s">
        <v>484</v>
      </c>
      <c r="D301" s="16" t="s">
        <v>485</v>
      </c>
      <c r="E301" s="16"/>
      <c r="F301" s="16" t="s">
        <v>426</v>
      </c>
    </row>
    <row r="302" spans="1:6">
      <c r="A302" s="16" t="s">
        <v>796</v>
      </c>
      <c r="B302" s="16" t="s">
        <v>430</v>
      </c>
      <c r="C302" s="16" t="s">
        <v>466</v>
      </c>
      <c r="D302" s="16" t="s">
        <v>427</v>
      </c>
      <c r="E302" s="16"/>
      <c r="F302" s="16" t="s">
        <v>431</v>
      </c>
    </row>
    <row r="303" spans="1:6">
      <c r="A303" s="16" t="s">
        <v>797</v>
      </c>
      <c r="B303" s="16" t="s">
        <v>430</v>
      </c>
      <c r="C303" s="16" t="s">
        <v>159</v>
      </c>
      <c r="D303" s="16" t="s">
        <v>429</v>
      </c>
      <c r="E303" s="16"/>
      <c r="F303" s="16" t="s">
        <v>431</v>
      </c>
    </row>
    <row r="304" spans="1:6">
      <c r="A304" s="16" t="s">
        <v>798</v>
      </c>
      <c r="B304" s="16" t="s">
        <v>430</v>
      </c>
      <c r="C304" s="16" t="s">
        <v>643</v>
      </c>
      <c r="D304" s="16" t="s">
        <v>428</v>
      </c>
      <c r="E304" s="16"/>
      <c r="F304" s="16" t="s">
        <v>431</v>
      </c>
    </row>
    <row r="305" spans="1:6">
      <c r="A305" s="16" t="s">
        <v>799</v>
      </c>
      <c r="B305" s="16" t="s">
        <v>430</v>
      </c>
      <c r="C305" s="16" t="s">
        <v>81</v>
      </c>
      <c r="D305" s="16" t="s">
        <v>206</v>
      </c>
      <c r="E305" s="16"/>
      <c r="F305" s="16" t="s">
        <v>431</v>
      </c>
    </row>
    <row r="306" spans="1:6">
      <c r="A306" s="16" t="s">
        <v>800</v>
      </c>
      <c r="B306" s="16" t="s">
        <v>430</v>
      </c>
      <c r="C306" s="16" t="s">
        <v>484</v>
      </c>
      <c r="D306" s="16" t="s">
        <v>485</v>
      </c>
      <c r="E306" s="16"/>
      <c r="F306" s="16" t="s">
        <v>431</v>
      </c>
    </row>
    <row r="307" spans="1:6">
      <c r="A307" s="16" t="s">
        <v>801</v>
      </c>
      <c r="B307" s="16" t="s">
        <v>435</v>
      </c>
      <c r="C307" s="16" t="s">
        <v>466</v>
      </c>
      <c r="D307" s="16" t="s">
        <v>432</v>
      </c>
      <c r="E307" s="16"/>
      <c r="F307" s="16" t="s">
        <v>436</v>
      </c>
    </row>
    <row r="308" spans="1:6">
      <c r="A308" s="16" t="s">
        <v>802</v>
      </c>
      <c r="B308" s="16" t="s">
        <v>435</v>
      </c>
      <c r="C308" s="16" t="s">
        <v>159</v>
      </c>
      <c r="D308" s="16" t="s">
        <v>434</v>
      </c>
      <c r="E308" s="16"/>
      <c r="F308" s="16" t="s">
        <v>436</v>
      </c>
    </row>
    <row r="309" spans="1:6">
      <c r="A309" s="16" t="s">
        <v>803</v>
      </c>
      <c r="B309" s="16" t="s">
        <v>435</v>
      </c>
      <c r="C309" s="16" t="s">
        <v>643</v>
      </c>
      <c r="D309" s="16" t="s">
        <v>433</v>
      </c>
      <c r="E309" s="16"/>
      <c r="F309" s="16" t="s">
        <v>436</v>
      </c>
    </row>
    <row r="310" spans="1:6">
      <c r="A310" s="16" t="s">
        <v>804</v>
      </c>
      <c r="B310" s="16" t="s">
        <v>435</v>
      </c>
      <c r="C310" s="16" t="s">
        <v>81</v>
      </c>
      <c r="D310" s="16" t="s">
        <v>206</v>
      </c>
      <c r="E310" s="16"/>
      <c r="F310" s="16" t="s">
        <v>436</v>
      </c>
    </row>
    <row r="311" spans="1:6">
      <c r="A311" s="16" t="s">
        <v>805</v>
      </c>
      <c r="B311" s="16" t="s">
        <v>435</v>
      </c>
      <c r="C311" s="16" t="s">
        <v>484</v>
      </c>
      <c r="D311" s="16" t="s">
        <v>485</v>
      </c>
      <c r="E311" s="16"/>
      <c r="F311" s="16" t="s">
        <v>436</v>
      </c>
    </row>
    <row r="312" spans="1:6">
      <c r="A312" s="16" t="s">
        <v>806</v>
      </c>
      <c r="B312" s="16" t="s">
        <v>440</v>
      </c>
      <c r="C312" s="16" t="s">
        <v>466</v>
      </c>
      <c r="D312" s="16" t="s">
        <v>437</v>
      </c>
      <c r="E312" s="16"/>
      <c r="F312" s="16" t="s">
        <v>441</v>
      </c>
    </row>
    <row r="313" spans="1:6">
      <c r="A313" s="16" t="s">
        <v>807</v>
      </c>
      <c r="B313" s="16" t="s">
        <v>440</v>
      </c>
      <c r="C313" s="16" t="s">
        <v>159</v>
      </c>
      <c r="D313" s="16" t="s">
        <v>439</v>
      </c>
      <c r="E313" s="16"/>
      <c r="F313" s="16" t="s">
        <v>441</v>
      </c>
    </row>
    <row r="314" spans="1:6">
      <c r="A314" s="16" t="s">
        <v>808</v>
      </c>
      <c r="B314" s="16" t="s">
        <v>440</v>
      </c>
      <c r="C314" s="16" t="s">
        <v>643</v>
      </c>
      <c r="D314" s="16" t="s">
        <v>438</v>
      </c>
      <c r="E314" s="16"/>
      <c r="F314" s="16" t="s">
        <v>441</v>
      </c>
    </row>
    <row r="315" spans="1:6">
      <c r="A315" s="16" t="s">
        <v>809</v>
      </c>
      <c r="B315" s="16" t="s">
        <v>440</v>
      </c>
      <c r="C315" s="16" t="s">
        <v>81</v>
      </c>
      <c r="D315" s="16" t="s">
        <v>206</v>
      </c>
      <c r="E315" s="16"/>
      <c r="F315" s="16" t="s">
        <v>441</v>
      </c>
    </row>
    <row r="316" spans="1:6">
      <c r="A316" s="16" t="s">
        <v>810</v>
      </c>
      <c r="B316" s="16" t="s">
        <v>440</v>
      </c>
      <c r="C316" s="16" t="s">
        <v>484</v>
      </c>
      <c r="D316" s="16" t="s">
        <v>485</v>
      </c>
      <c r="E316" s="16"/>
      <c r="F316" s="16" t="s">
        <v>441</v>
      </c>
    </row>
    <row r="317" spans="1:6">
      <c r="A317" s="16" t="s">
        <v>811</v>
      </c>
      <c r="B317" s="16" t="s">
        <v>445</v>
      </c>
      <c r="C317" s="16" t="s">
        <v>466</v>
      </c>
      <c r="D317" s="16" t="s">
        <v>442</v>
      </c>
      <c r="E317" s="16"/>
      <c r="F317" s="16" t="s">
        <v>446</v>
      </c>
    </row>
    <row r="318" spans="1:6">
      <c r="A318" s="16" t="s">
        <v>812</v>
      </c>
      <c r="B318" s="16" t="s">
        <v>445</v>
      </c>
      <c r="C318" s="16" t="s">
        <v>159</v>
      </c>
      <c r="D318" s="16" t="s">
        <v>444</v>
      </c>
      <c r="E318" s="16"/>
      <c r="F318" s="16" t="s">
        <v>446</v>
      </c>
    </row>
    <row r="319" spans="1:6">
      <c r="A319" s="16" t="s">
        <v>813</v>
      </c>
      <c r="B319" s="16" t="s">
        <v>445</v>
      </c>
      <c r="C319" s="16" t="s">
        <v>643</v>
      </c>
      <c r="D319" s="16" t="s">
        <v>443</v>
      </c>
      <c r="E319" s="16"/>
      <c r="F319" s="16" t="s">
        <v>446</v>
      </c>
    </row>
    <row r="320" spans="1:6">
      <c r="A320" s="16" t="s">
        <v>814</v>
      </c>
      <c r="B320" s="16" t="s">
        <v>445</v>
      </c>
      <c r="C320" s="16" t="s">
        <v>81</v>
      </c>
      <c r="D320" s="16" t="s">
        <v>206</v>
      </c>
      <c r="E320" s="16"/>
      <c r="F320" s="16" t="s">
        <v>446</v>
      </c>
    </row>
    <row r="321" spans="1:6">
      <c r="A321" s="16" t="s">
        <v>815</v>
      </c>
      <c r="B321" s="16" t="s">
        <v>445</v>
      </c>
      <c r="C321" s="16" t="s">
        <v>484</v>
      </c>
      <c r="D321" s="16" t="s">
        <v>485</v>
      </c>
      <c r="E321" s="16"/>
      <c r="F321" s="16" t="s">
        <v>446</v>
      </c>
    </row>
  </sheetData>
  <sheetProtection sheet="1" objects="1" scenarios="1" autoFilter="0"/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20"/>
  <dimension ref="A1:J1"/>
  <sheetViews>
    <sheetView showGridLines="0" zoomScale="85" workbookViewId="0"/>
  </sheetViews>
  <sheetFormatPr defaultRowHeight="14.4"/>
  <cols>
    <col min="1" max="10" width="23" customWidth="1"/>
  </cols>
  <sheetData>
    <row r="1" spans="1:10" ht="40.049999999999997" customHeight="1">
      <c r="A1" s="15" t="s">
        <v>816</v>
      </c>
      <c r="B1" s="15" t="s">
        <v>5</v>
      </c>
      <c r="C1" s="15" t="s">
        <v>817</v>
      </c>
      <c r="D1" s="15" t="s">
        <v>818</v>
      </c>
      <c r="E1" s="15" t="s">
        <v>819</v>
      </c>
      <c r="F1" s="15" t="s">
        <v>40</v>
      </c>
      <c r="G1" s="15" t="s">
        <v>74</v>
      </c>
      <c r="H1" s="15" t="s">
        <v>820</v>
      </c>
      <c r="I1" s="15" t="s">
        <v>821</v>
      </c>
      <c r="J1" s="15" t="s">
        <v>822</v>
      </c>
    </row>
  </sheetData>
  <sheetProtection sheet="1" objects="1" scenarios="1" autoFilter="0"/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1">
    <tabColor rgb="FF2563EB"/>
  </sheetPr>
  <dimension ref="A1:L19"/>
  <sheetViews>
    <sheetView showGridLines="0" zoomScale="85" workbookViewId="0">
      <pane xSplit="1" ySplit="12" topLeftCell="B13" activePane="bottomRight" state="frozen"/>
      <selection pane="topRight"/>
      <selection pane="bottomLeft"/>
      <selection pane="bottomRight" activeCell="H4" sqref="H4"/>
    </sheetView>
  </sheetViews>
  <sheetFormatPr defaultRowHeight="14.4"/>
  <cols>
    <col min="1" max="1" width="30" customWidth="1"/>
    <col min="2" max="2" width="37" customWidth="1"/>
    <col min="3" max="3" width="20" customWidth="1"/>
    <col min="4" max="4" width="12" customWidth="1"/>
    <col min="5" max="5" width="9" customWidth="1"/>
    <col min="6" max="6" width="65" customWidth="1"/>
    <col min="7" max="7" width="10" customWidth="1"/>
    <col min="8" max="8" width="23" customWidth="1"/>
    <col min="9" max="9" width="26" customWidth="1"/>
    <col min="10" max="10" width="43" customWidth="1"/>
  </cols>
  <sheetData>
    <row r="1" spans="1:12">
      <c r="L1" t="s">
        <v>823</v>
      </c>
    </row>
    <row r="2" spans="1:12" ht="34.049999999999997" customHeight="1">
      <c r="A2" s="213" t="s">
        <v>824</v>
      </c>
      <c r="B2" s="213" t="s">
        <v>824</v>
      </c>
      <c r="C2" s="213" t="s">
        <v>824</v>
      </c>
      <c r="D2" s="213" t="s">
        <v>824</v>
      </c>
      <c r="E2" s="213" t="s">
        <v>824</v>
      </c>
      <c r="F2" s="213" t="s">
        <v>824</v>
      </c>
    </row>
    <row r="3" spans="1:12">
      <c r="A3" s="206" t="s">
        <v>825</v>
      </c>
      <c r="B3" s="207" t="s">
        <v>825</v>
      </c>
      <c r="C3" s="207" t="s">
        <v>825</v>
      </c>
      <c r="D3" s="207" t="s">
        <v>825</v>
      </c>
      <c r="E3" s="207" t="s">
        <v>825</v>
      </c>
      <c r="F3" s="207" t="s">
        <v>825</v>
      </c>
    </row>
    <row r="4" spans="1:12">
      <c r="A4" s="214" t="s">
        <v>826</v>
      </c>
      <c r="B4" s="207" t="s">
        <v>826</v>
      </c>
      <c r="C4" s="207" t="s">
        <v>826</v>
      </c>
      <c r="D4" s="207" t="s">
        <v>826</v>
      </c>
      <c r="E4" s="207" t="s">
        <v>826</v>
      </c>
      <c r="F4" s="207" t="s">
        <v>826</v>
      </c>
    </row>
    <row r="5" spans="1:12" ht="28.05" customHeight="1">
      <c r="A5" s="208" t="s">
        <v>827</v>
      </c>
      <c r="B5" s="208" t="s">
        <v>827</v>
      </c>
      <c r="C5" s="208" t="s">
        <v>828</v>
      </c>
      <c r="D5" s="208" t="s">
        <v>828</v>
      </c>
      <c r="E5" s="208" t="s">
        <v>829</v>
      </c>
      <c r="F5" s="208" t="s">
        <v>829</v>
      </c>
    </row>
    <row r="6" spans="1:12" ht="28.05" customHeight="1">
      <c r="A6" s="208" t="s">
        <v>830</v>
      </c>
      <c r="B6" s="208" t="s">
        <v>830</v>
      </c>
      <c r="C6" s="208" t="s">
        <v>151</v>
      </c>
      <c r="D6" s="208" t="s">
        <v>151</v>
      </c>
      <c r="E6" s="208" t="s">
        <v>55</v>
      </c>
      <c r="F6" s="208" t="s">
        <v>55</v>
      </c>
    </row>
    <row r="8" spans="1:12">
      <c r="A8" s="209" t="s">
        <v>831</v>
      </c>
      <c r="B8" s="209" t="s">
        <v>831</v>
      </c>
      <c r="C8" s="209" t="s">
        <v>832</v>
      </c>
      <c r="D8" s="209" t="s">
        <v>832</v>
      </c>
      <c r="E8" s="211" t="s">
        <v>833</v>
      </c>
      <c r="F8" s="211" t="s">
        <v>833</v>
      </c>
    </row>
    <row r="9" spans="1:12" ht="34.049999999999997" customHeight="1">
      <c r="A9" s="210">
        <f>COUNTA(tTQMSetari[Cod_setare])</f>
        <v>7</v>
      </c>
      <c r="B9" s="210"/>
      <c r="C9" s="210">
        <f>COUNTIF(tTQMListe[Activ],"Da")</f>
        <v>54</v>
      </c>
      <c r="D9" s="210"/>
      <c r="E9" s="212">
        <f>COUNTIF(tTQMReguliDoc[Stare],"De confirmat")</f>
        <v>8</v>
      </c>
      <c r="F9" s="212"/>
    </row>
    <row r="11" spans="1:12">
      <c r="A11" s="206" t="s">
        <v>834</v>
      </c>
      <c r="B11" s="207" t="s">
        <v>834</v>
      </c>
      <c r="C11" s="207" t="s">
        <v>834</v>
      </c>
      <c r="D11" s="207" t="s">
        <v>834</v>
      </c>
      <c r="E11" s="207" t="s">
        <v>834</v>
      </c>
      <c r="F11" s="207" t="s">
        <v>834</v>
      </c>
    </row>
    <row r="12" spans="1:12" ht="42" customHeight="1">
      <c r="A12" s="18" t="s">
        <v>835</v>
      </c>
      <c r="B12" s="18" t="s">
        <v>111</v>
      </c>
      <c r="C12" s="18" t="s">
        <v>464</v>
      </c>
      <c r="D12" s="18" t="s">
        <v>114</v>
      </c>
      <c r="E12" s="18" t="s">
        <v>81</v>
      </c>
      <c r="F12" s="18" t="s">
        <v>836</v>
      </c>
      <c r="G12" s="18" t="s">
        <v>74</v>
      </c>
      <c r="H12" s="18" t="s">
        <v>76</v>
      </c>
      <c r="I12" s="18" t="s">
        <v>75</v>
      </c>
      <c r="J12" s="18" t="s">
        <v>837</v>
      </c>
    </row>
    <row r="13" spans="1:12" ht="46.05" customHeight="1">
      <c r="A13" s="19" t="s">
        <v>838</v>
      </c>
      <c r="B13" s="19" t="s">
        <v>839</v>
      </c>
      <c r="C13" s="21">
        <v>7</v>
      </c>
      <c r="D13" s="17" t="s">
        <v>840</v>
      </c>
      <c r="E13" s="17" t="s">
        <v>841</v>
      </c>
      <c r="F13" s="19" t="s">
        <v>842</v>
      </c>
      <c r="G13" s="17">
        <v>1</v>
      </c>
      <c r="H13" s="20">
        <v>46304</v>
      </c>
      <c r="I13" s="17" t="s">
        <v>843</v>
      </c>
      <c r="J13" s="17" t="s">
        <v>844</v>
      </c>
    </row>
    <row r="14" spans="1:12" ht="46.05" customHeight="1">
      <c r="A14" s="19" t="s">
        <v>845</v>
      </c>
      <c r="B14" s="19" t="s">
        <v>846</v>
      </c>
      <c r="C14" s="21">
        <v>7</v>
      </c>
      <c r="D14" s="17" t="s">
        <v>840</v>
      </c>
      <c r="E14" s="17" t="s">
        <v>841</v>
      </c>
      <c r="F14" s="19" t="s">
        <v>847</v>
      </c>
      <c r="G14" s="17">
        <v>1</v>
      </c>
      <c r="H14" s="20">
        <v>46304</v>
      </c>
      <c r="I14" s="17" t="s">
        <v>843</v>
      </c>
      <c r="J14" s="17" t="s">
        <v>848</v>
      </c>
    </row>
    <row r="15" spans="1:12" ht="46.05" customHeight="1">
      <c r="A15" s="19" t="s">
        <v>849</v>
      </c>
      <c r="B15" s="19" t="s">
        <v>850</v>
      </c>
      <c r="C15" s="21">
        <v>30</v>
      </c>
      <c r="D15" s="17" t="s">
        <v>840</v>
      </c>
      <c r="E15" s="17" t="s">
        <v>841</v>
      </c>
      <c r="F15" s="19" t="s">
        <v>851</v>
      </c>
      <c r="G15" s="17">
        <v>1</v>
      </c>
      <c r="H15" s="20">
        <v>46304</v>
      </c>
      <c r="I15" s="17" t="s">
        <v>843</v>
      </c>
      <c r="J15" s="17" t="s">
        <v>852</v>
      </c>
    </row>
    <row r="16" spans="1:12" ht="46.05" customHeight="1">
      <c r="A16" s="19" t="s">
        <v>853</v>
      </c>
      <c r="B16" s="19" t="s">
        <v>854</v>
      </c>
      <c r="C16" s="21">
        <v>2</v>
      </c>
      <c r="D16" s="17" t="s">
        <v>840</v>
      </c>
      <c r="E16" s="17" t="s">
        <v>841</v>
      </c>
      <c r="F16" s="19" t="s">
        <v>855</v>
      </c>
      <c r="G16" s="17">
        <v>1</v>
      </c>
      <c r="H16" s="20">
        <v>46304</v>
      </c>
      <c r="I16" s="17" t="s">
        <v>843</v>
      </c>
      <c r="J16" s="17" t="s">
        <v>856</v>
      </c>
    </row>
    <row r="17" spans="1:10" ht="46.05" customHeight="1">
      <c r="A17" s="19" t="s">
        <v>857</v>
      </c>
      <c r="B17" s="19" t="s">
        <v>858</v>
      </c>
      <c r="C17" s="21">
        <v>30</v>
      </c>
      <c r="D17" s="17" t="s">
        <v>840</v>
      </c>
      <c r="E17" s="17" t="s">
        <v>841</v>
      </c>
      <c r="F17" s="19" t="s">
        <v>859</v>
      </c>
      <c r="G17" s="17">
        <v>1</v>
      </c>
      <c r="H17" s="20">
        <v>46304</v>
      </c>
      <c r="I17" s="17" t="s">
        <v>843</v>
      </c>
      <c r="J17" s="17" t="s">
        <v>860</v>
      </c>
    </row>
    <row r="18" spans="1:10" ht="46.05" customHeight="1">
      <c r="A18" s="19" t="s">
        <v>861</v>
      </c>
      <c r="B18" s="19" t="s">
        <v>862</v>
      </c>
      <c r="C18" s="17" t="s">
        <v>863</v>
      </c>
      <c r="D18" s="17" t="s">
        <v>864</v>
      </c>
      <c r="E18" s="17"/>
      <c r="F18" s="19" t="s">
        <v>865</v>
      </c>
      <c r="G18" s="17">
        <v>1</v>
      </c>
      <c r="H18" s="20">
        <v>46304</v>
      </c>
      <c r="I18" s="17" t="s">
        <v>843</v>
      </c>
      <c r="J18" s="17" t="s">
        <v>866</v>
      </c>
    </row>
    <row r="19" spans="1:10" ht="46.05" customHeight="1">
      <c r="A19" s="19" t="s">
        <v>867</v>
      </c>
      <c r="B19" s="19" t="s">
        <v>868</v>
      </c>
      <c r="C19" s="17" t="s">
        <v>869</v>
      </c>
      <c r="D19" s="17" t="s">
        <v>870</v>
      </c>
      <c r="E19" s="17"/>
      <c r="F19" s="19" t="s">
        <v>871</v>
      </c>
      <c r="G19" s="17">
        <v>1</v>
      </c>
      <c r="H19" s="20">
        <v>46304</v>
      </c>
      <c r="I19" s="17" t="s">
        <v>843</v>
      </c>
      <c r="J19" s="17" t="s">
        <v>872</v>
      </c>
    </row>
  </sheetData>
  <sheetProtection sheet="1" objects="1" scenarios="1" autoFilter="0"/>
  <mergeCells count="16">
    <mergeCell ref="A2:F2"/>
    <mergeCell ref="A3:F3"/>
    <mergeCell ref="A4:F4"/>
    <mergeCell ref="A5:B5"/>
    <mergeCell ref="C5:D5"/>
    <mergeCell ref="E5:F5"/>
    <mergeCell ref="A11:F11"/>
    <mergeCell ref="A6:B6"/>
    <mergeCell ref="C6:D6"/>
    <mergeCell ref="E6:F6"/>
    <mergeCell ref="A8:B8"/>
    <mergeCell ref="A9:B9"/>
    <mergeCell ref="C8:D8"/>
    <mergeCell ref="C9:D9"/>
    <mergeCell ref="E8:F8"/>
    <mergeCell ref="E9:F9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2"/>
  <dimension ref="A1:S55"/>
  <sheetViews>
    <sheetView showGridLines="0" zoomScale="85" workbookViewId="0"/>
  </sheetViews>
  <sheetFormatPr defaultRowHeight="14.4"/>
  <cols>
    <col min="1" max="10" width="24" customWidth="1"/>
  </cols>
  <sheetData>
    <row r="1" spans="1:19" ht="42" customHeight="1">
      <c r="A1" s="18" t="s">
        <v>873</v>
      </c>
      <c r="B1" s="18" t="s">
        <v>874</v>
      </c>
      <c r="C1" s="18" t="s">
        <v>464</v>
      </c>
      <c r="D1" s="18" t="s">
        <v>875</v>
      </c>
      <c r="E1" s="18" t="s">
        <v>136</v>
      </c>
      <c r="F1" s="18" t="s">
        <v>876</v>
      </c>
      <c r="G1" s="18" t="s">
        <v>13</v>
      </c>
      <c r="H1" s="18" t="s">
        <v>74</v>
      </c>
      <c r="I1" s="18" t="s">
        <v>76</v>
      </c>
      <c r="J1" s="18" t="s">
        <v>75</v>
      </c>
      <c r="M1" t="s">
        <v>878</v>
      </c>
      <c r="N1" t="s">
        <v>887</v>
      </c>
      <c r="O1" t="s">
        <v>890</v>
      </c>
      <c r="R1" t="s">
        <v>906</v>
      </c>
      <c r="S1" t="s">
        <v>913</v>
      </c>
    </row>
    <row r="2" spans="1:19" ht="28.05" customHeight="1">
      <c r="A2" s="17" t="s">
        <v>877</v>
      </c>
      <c r="B2" s="17" t="s">
        <v>878</v>
      </c>
      <c r="C2" s="17" t="s">
        <v>21</v>
      </c>
      <c r="D2" s="17" t="s">
        <v>879</v>
      </c>
      <c r="E2" s="17">
        <v>1</v>
      </c>
      <c r="F2" s="17" t="s">
        <v>879</v>
      </c>
      <c r="G2" s="17" t="s">
        <v>880</v>
      </c>
      <c r="H2" s="17">
        <v>1</v>
      </c>
      <c r="I2" s="20">
        <v>46304</v>
      </c>
      <c r="J2" s="17" t="s">
        <v>843</v>
      </c>
      <c r="M2" s="34" t="s">
        <v>21</v>
      </c>
      <c r="N2" s="34" t="s">
        <v>22</v>
      </c>
      <c r="O2" s="34" t="s">
        <v>23</v>
      </c>
      <c r="R2" s="34" t="s">
        <v>907</v>
      </c>
      <c r="S2" s="34" t="s">
        <v>879</v>
      </c>
    </row>
    <row r="3" spans="1:19" ht="28.05" customHeight="1">
      <c r="A3" s="17" t="s">
        <v>881</v>
      </c>
      <c r="B3" s="17" t="s">
        <v>878</v>
      </c>
      <c r="C3" s="17" t="s">
        <v>29</v>
      </c>
      <c r="D3" s="17" t="s">
        <v>879</v>
      </c>
      <c r="E3" s="17">
        <v>2</v>
      </c>
      <c r="F3" s="17" t="s">
        <v>879</v>
      </c>
      <c r="G3" s="17" t="s">
        <v>880</v>
      </c>
      <c r="H3" s="17">
        <v>1</v>
      </c>
      <c r="I3" s="20">
        <v>46304</v>
      </c>
      <c r="J3" s="17" t="s">
        <v>843</v>
      </c>
      <c r="M3" s="34" t="s">
        <v>29</v>
      </c>
      <c r="N3" s="34" t="s">
        <v>26</v>
      </c>
      <c r="O3" s="34" t="s">
        <v>30</v>
      </c>
      <c r="R3" s="34" t="s">
        <v>909</v>
      </c>
      <c r="S3" s="34" t="s">
        <v>915</v>
      </c>
    </row>
    <row r="4" spans="1:19" ht="28.05" customHeight="1">
      <c r="A4" s="17" t="s">
        <v>882</v>
      </c>
      <c r="B4" s="17" t="s">
        <v>878</v>
      </c>
      <c r="C4" s="17" t="s">
        <v>883</v>
      </c>
      <c r="D4" s="17" t="s">
        <v>879</v>
      </c>
      <c r="E4" s="17">
        <v>3</v>
      </c>
      <c r="F4" s="17" t="s">
        <v>879</v>
      </c>
      <c r="G4" s="17" t="s">
        <v>880</v>
      </c>
      <c r="H4" s="17">
        <v>1</v>
      </c>
      <c r="I4" s="20">
        <v>46304</v>
      </c>
      <c r="J4" s="17" t="s">
        <v>843</v>
      </c>
      <c r="M4" s="34" t="s">
        <v>883</v>
      </c>
      <c r="O4" s="34" t="s">
        <v>24</v>
      </c>
      <c r="R4" s="34" t="s">
        <v>911</v>
      </c>
      <c r="S4" s="34" t="s">
        <v>168</v>
      </c>
    </row>
    <row r="5" spans="1:19" ht="28.05" customHeight="1">
      <c r="A5" s="17" t="s">
        <v>884</v>
      </c>
      <c r="B5" s="17" t="s">
        <v>878</v>
      </c>
      <c r="C5" s="17" t="s">
        <v>885</v>
      </c>
      <c r="D5" s="17" t="s">
        <v>879</v>
      </c>
      <c r="E5" s="17">
        <v>4</v>
      </c>
      <c r="F5" s="17" t="s">
        <v>879</v>
      </c>
      <c r="G5" s="17" t="s">
        <v>880</v>
      </c>
      <c r="H5" s="17">
        <v>1</v>
      </c>
      <c r="I5" s="20">
        <v>46304</v>
      </c>
      <c r="J5" s="17" t="s">
        <v>843</v>
      </c>
      <c r="M5" s="34" t="s">
        <v>885</v>
      </c>
    </row>
    <row r="6" spans="1:19" ht="28.05" customHeight="1">
      <c r="A6" s="17" t="s">
        <v>886</v>
      </c>
      <c r="B6" s="17" t="s">
        <v>887</v>
      </c>
      <c r="C6" s="17" t="s">
        <v>22</v>
      </c>
      <c r="D6" s="17" t="s">
        <v>879</v>
      </c>
      <c r="E6" s="17">
        <v>1</v>
      </c>
      <c r="F6" s="17" t="s">
        <v>879</v>
      </c>
      <c r="G6" s="17" t="s">
        <v>880</v>
      </c>
      <c r="H6" s="17">
        <v>1</v>
      </c>
      <c r="I6" s="20">
        <v>46304</v>
      </c>
      <c r="J6" s="17" t="s">
        <v>843</v>
      </c>
    </row>
    <row r="7" spans="1:19" ht="28.05" customHeight="1">
      <c r="A7" s="17" t="s">
        <v>888</v>
      </c>
      <c r="B7" s="17" t="s">
        <v>887</v>
      </c>
      <c r="C7" s="17" t="s">
        <v>26</v>
      </c>
      <c r="D7" s="17" t="s">
        <v>879</v>
      </c>
      <c r="E7" s="17">
        <v>2</v>
      </c>
      <c r="F7" s="17" t="s">
        <v>879</v>
      </c>
      <c r="G7" s="17" t="s">
        <v>880</v>
      </c>
      <c r="H7" s="17">
        <v>1</v>
      </c>
      <c r="I7" s="20">
        <v>46304</v>
      </c>
      <c r="J7" s="17" t="s">
        <v>843</v>
      </c>
    </row>
    <row r="8" spans="1:19" ht="28.05" customHeight="1">
      <c r="A8" s="17" t="s">
        <v>889</v>
      </c>
      <c r="B8" s="17" t="s">
        <v>890</v>
      </c>
      <c r="C8" s="17" t="s">
        <v>23</v>
      </c>
      <c r="D8" s="17" t="s">
        <v>879</v>
      </c>
      <c r="E8" s="17">
        <v>1</v>
      </c>
      <c r="F8" s="17" t="s">
        <v>879</v>
      </c>
      <c r="G8" s="17" t="s">
        <v>880</v>
      </c>
      <c r="H8" s="17">
        <v>1</v>
      </c>
      <c r="I8" s="20">
        <v>46304</v>
      </c>
      <c r="J8" s="17" t="s">
        <v>843</v>
      </c>
    </row>
    <row r="9" spans="1:19" ht="28.05" customHeight="1">
      <c r="A9" s="17" t="s">
        <v>891</v>
      </c>
      <c r="B9" s="17" t="s">
        <v>890</v>
      </c>
      <c r="C9" s="17" t="s">
        <v>30</v>
      </c>
      <c r="D9" s="17" t="s">
        <v>879</v>
      </c>
      <c r="E9" s="17">
        <v>2</v>
      </c>
      <c r="F9" s="17" t="s">
        <v>879</v>
      </c>
      <c r="G9" s="17" t="s">
        <v>880</v>
      </c>
      <c r="H9" s="17">
        <v>1</v>
      </c>
      <c r="I9" s="20">
        <v>46304</v>
      </c>
      <c r="J9" s="17" t="s">
        <v>843</v>
      </c>
    </row>
    <row r="10" spans="1:19" ht="28.05" customHeight="1">
      <c r="A10" s="17" t="s">
        <v>892</v>
      </c>
      <c r="B10" s="17" t="s">
        <v>890</v>
      </c>
      <c r="C10" s="17" t="s">
        <v>24</v>
      </c>
      <c r="D10" s="17" t="s">
        <v>879</v>
      </c>
      <c r="E10" s="17">
        <v>3</v>
      </c>
      <c r="F10" s="17" t="s">
        <v>879</v>
      </c>
      <c r="G10" s="17" t="s">
        <v>880</v>
      </c>
      <c r="H10" s="17">
        <v>1</v>
      </c>
      <c r="I10" s="20">
        <v>46304</v>
      </c>
      <c r="J10" s="17" t="s">
        <v>843</v>
      </c>
    </row>
    <row r="11" spans="1:19" ht="28.05" customHeight="1">
      <c r="A11" s="17" t="s">
        <v>893</v>
      </c>
      <c r="B11" s="17" t="s">
        <v>894</v>
      </c>
      <c r="C11" s="17" t="s">
        <v>895</v>
      </c>
      <c r="D11" s="17" t="s">
        <v>879</v>
      </c>
      <c r="E11" s="17">
        <v>1</v>
      </c>
      <c r="F11" s="17" t="s">
        <v>879</v>
      </c>
      <c r="G11" s="17" t="s">
        <v>880</v>
      </c>
      <c r="H11" s="17">
        <v>1</v>
      </c>
      <c r="I11" s="20">
        <v>46304</v>
      </c>
      <c r="J11" s="17" t="s">
        <v>843</v>
      </c>
    </row>
    <row r="12" spans="1:19" ht="28.05" customHeight="1">
      <c r="A12" s="17" t="s">
        <v>896</v>
      </c>
      <c r="B12" s="17" t="s">
        <v>894</v>
      </c>
      <c r="C12" s="17" t="s">
        <v>897</v>
      </c>
      <c r="D12" s="17" t="s">
        <v>879</v>
      </c>
      <c r="E12" s="17">
        <v>2</v>
      </c>
      <c r="F12" s="17" t="s">
        <v>879</v>
      </c>
      <c r="G12" s="17" t="s">
        <v>880</v>
      </c>
      <c r="H12" s="17">
        <v>1</v>
      </c>
      <c r="I12" s="20">
        <v>46304</v>
      </c>
      <c r="J12" s="17" t="s">
        <v>843</v>
      </c>
    </row>
    <row r="13" spans="1:19" ht="28.05" customHeight="1">
      <c r="A13" s="17" t="s">
        <v>898</v>
      </c>
      <c r="B13" s="17" t="s">
        <v>899</v>
      </c>
      <c r="C13" s="17" t="s">
        <v>900</v>
      </c>
      <c r="D13" s="17" t="s">
        <v>879</v>
      </c>
      <c r="E13" s="17">
        <v>1</v>
      </c>
      <c r="F13" s="17" t="s">
        <v>879</v>
      </c>
      <c r="G13" s="17" t="s">
        <v>880</v>
      </c>
      <c r="H13" s="17">
        <v>1</v>
      </c>
      <c r="I13" s="20">
        <v>46304</v>
      </c>
      <c r="J13" s="17" t="s">
        <v>843</v>
      </c>
    </row>
    <row r="14" spans="1:19" ht="28.05" customHeight="1">
      <c r="A14" s="17" t="s">
        <v>901</v>
      </c>
      <c r="B14" s="17" t="s">
        <v>899</v>
      </c>
      <c r="C14" s="17" t="s">
        <v>902</v>
      </c>
      <c r="D14" s="17" t="s">
        <v>879</v>
      </c>
      <c r="E14" s="17">
        <v>2</v>
      </c>
      <c r="F14" s="17" t="s">
        <v>879</v>
      </c>
      <c r="G14" s="17" t="s">
        <v>880</v>
      </c>
      <c r="H14" s="17">
        <v>1</v>
      </c>
      <c r="I14" s="20">
        <v>46304</v>
      </c>
      <c r="J14" s="17" t="s">
        <v>843</v>
      </c>
    </row>
    <row r="15" spans="1:19" ht="28.05" customHeight="1">
      <c r="A15" s="17" t="s">
        <v>903</v>
      </c>
      <c r="B15" s="17" t="s">
        <v>899</v>
      </c>
      <c r="C15" s="17" t="s">
        <v>904</v>
      </c>
      <c r="D15" s="17" t="s">
        <v>879</v>
      </c>
      <c r="E15" s="17">
        <v>3</v>
      </c>
      <c r="F15" s="17" t="s">
        <v>879</v>
      </c>
      <c r="G15" s="17" t="s">
        <v>880</v>
      </c>
      <c r="H15" s="17">
        <v>1</v>
      </c>
      <c r="I15" s="20">
        <v>46304</v>
      </c>
      <c r="J15" s="17" t="s">
        <v>843</v>
      </c>
    </row>
    <row r="16" spans="1:19" ht="28.05" customHeight="1">
      <c r="A16" s="17" t="s">
        <v>905</v>
      </c>
      <c r="B16" s="17" t="s">
        <v>906</v>
      </c>
      <c r="C16" s="17" t="s">
        <v>907</v>
      </c>
      <c r="D16" s="17" t="s">
        <v>879</v>
      </c>
      <c r="E16" s="17">
        <v>1</v>
      </c>
      <c r="F16" s="17" t="s">
        <v>879</v>
      </c>
      <c r="G16" s="17" t="s">
        <v>880</v>
      </c>
      <c r="H16" s="17">
        <v>1</v>
      </c>
      <c r="I16" s="20">
        <v>46304</v>
      </c>
      <c r="J16" s="17" t="s">
        <v>843</v>
      </c>
    </row>
    <row r="17" spans="1:10" ht="28.05" customHeight="1">
      <c r="A17" s="17" t="s">
        <v>908</v>
      </c>
      <c r="B17" s="17" t="s">
        <v>906</v>
      </c>
      <c r="C17" s="17" t="s">
        <v>909</v>
      </c>
      <c r="D17" s="17" t="s">
        <v>879</v>
      </c>
      <c r="E17" s="17">
        <v>2</v>
      </c>
      <c r="F17" s="17" t="s">
        <v>879</v>
      </c>
      <c r="G17" s="17" t="s">
        <v>880</v>
      </c>
      <c r="H17" s="17">
        <v>1</v>
      </c>
      <c r="I17" s="20">
        <v>46304</v>
      </c>
      <c r="J17" s="17" t="s">
        <v>843</v>
      </c>
    </row>
    <row r="18" spans="1:10" ht="28.05" customHeight="1">
      <c r="A18" s="17" t="s">
        <v>910</v>
      </c>
      <c r="B18" s="17" t="s">
        <v>906</v>
      </c>
      <c r="C18" s="17" t="s">
        <v>911</v>
      </c>
      <c r="D18" s="17" t="s">
        <v>879</v>
      </c>
      <c r="E18" s="17">
        <v>3</v>
      </c>
      <c r="F18" s="17" t="s">
        <v>879</v>
      </c>
      <c r="G18" s="17" t="s">
        <v>880</v>
      </c>
      <c r="H18" s="17">
        <v>1</v>
      </c>
      <c r="I18" s="20">
        <v>46304</v>
      </c>
      <c r="J18" s="17" t="s">
        <v>843</v>
      </c>
    </row>
    <row r="19" spans="1:10" ht="28.05" customHeight="1">
      <c r="A19" s="17" t="s">
        <v>912</v>
      </c>
      <c r="B19" s="17" t="s">
        <v>913</v>
      </c>
      <c r="C19" s="17" t="s">
        <v>879</v>
      </c>
      <c r="D19" s="17" t="s">
        <v>879</v>
      </c>
      <c r="E19" s="17">
        <v>1</v>
      </c>
      <c r="F19" s="17" t="s">
        <v>879</v>
      </c>
      <c r="G19" s="17" t="s">
        <v>880</v>
      </c>
      <c r="H19" s="17">
        <v>1</v>
      </c>
      <c r="I19" s="20">
        <v>46304</v>
      </c>
      <c r="J19" s="17" t="s">
        <v>843</v>
      </c>
    </row>
    <row r="20" spans="1:10" ht="28.05" customHeight="1">
      <c r="A20" s="17" t="s">
        <v>914</v>
      </c>
      <c r="B20" s="17" t="s">
        <v>913</v>
      </c>
      <c r="C20" s="17" t="s">
        <v>915</v>
      </c>
      <c r="D20" s="17" t="s">
        <v>879</v>
      </c>
      <c r="E20" s="17">
        <v>2</v>
      </c>
      <c r="F20" s="17" t="s">
        <v>879</v>
      </c>
      <c r="G20" s="17" t="s">
        <v>880</v>
      </c>
      <c r="H20" s="17">
        <v>1</v>
      </c>
      <c r="I20" s="20">
        <v>46304</v>
      </c>
      <c r="J20" s="17" t="s">
        <v>843</v>
      </c>
    </row>
    <row r="21" spans="1:10" ht="28.05" customHeight="1">
      <c r="A21" s="17" t="s">
        <v>916</v>
      </c>
      <c r="B21" s="17" t="s">
        <v>913</v>
      </c>
      <c r="C21" s="17" t="s">
        <v>168</v>
      </c>
      <c r="D21" s="17" t="s">
        <v>879</v>
      </c>
      <c r="E21" s="17">
        <v>3</v>
      </c>
      <c r="F21" s="17" t="s">
        <v>879</v>
      </c>
      <c r="G21" s="17" t="s">
        <v>880</v>
      </c>
      <c r="H21" s="17">
        <v>1</v>
      </c>
      <c r="I21" s="20">
        <v>46304</v>
      </c>
      <c r="J21" s="17" t="s">
        <v>843</v>
      </c>
    </row>
    <row r="22" spans="1:10" ht="28.05" customHeight="1">
      <c r="A22" s="17" t="s">
        <v>917</v>
      </c>
      <c r="B22" s="17" t="s">
        <v>918</v>
      </c>
      <c r="C22" s="17" t="s">
        <v>875</v>
      </c>
      <c r="D22" s="17" t="s">
        <v>879</v>
      </c>
      <c r="E22" s="17">
        <v>1</v>
      </c>
      <c r="F22" s="17" t="s">
        <v>879</v>
      </c>
      <c r="G22" s="17" t="s">
        <v>880</v>
      </c>
      <c r="H22" s="17">
        <v>1</v>
      </c>
      <c r="I22" s="20">
        <v>46304</v>
      </c>
      <c r="J22" s="17" t="s">
        <v>843</v>
      </c>
    </row>
    <row r="23" spans="1:10" ht="28.05" customHeight="1">
      <c r="A23" s="17" t="s">
        <v>919</v>
      </c>
      <c r="B23" s="17" t="s">
        <v>918</v>
      </c>
      <c r="C23" s="17" t="s">
        <v>920</v>
      </c>
      <c r="D23" s="17" t="s">
        <v>879</v>
      </c>
      <c r="E23" s="17">
        <v>2</v>
      </c>
      <c r="F23" s="17" t="s">
        <v>879</v>
      </c>
      <c r="G23" s="17" t="s">
        <v>880</v>
      </c>
      <c r="H23" s="17">
        <v>1</v>
      </c>
      <c r="I23" s="20">
        <v>46304</v>
      </c>
      <c r="J23" s="17" t="s">
        <v>843</v>
      </c>
    </row>
    <row r="24" spans="1:10" ht="28.05" customHeight="1">
      <c r="A24" s="17" t="s">
        <v>921</v>
      </c>
      <c r="B24" s="17" t="s">
        <v>918</v>
      </c>
      <c r="C24" s="17" t="s">
        <v>168</v>
      </c>
      <c r="D24" s="17" t="s">
        <v>879</v>
      </c>
      <c r="E24" s="17">
        <v>3</v>
      </c>
      <c r="F24" s="17" t="s">
        <v>879</v>
      </c>
      <c r="G24" s="17" t="s">
        <v>880</v>
      </c>
      <c r="H24" s="17">
        <v>1</v>
      </c>
      <c r="I24" s="20">
        <v>46304</v>
      </c>
      <c r="J24" s="17" t="s">
        <v>843</v>
      </c>
    </row>
    <row r="25" spans="1:10" ht="28.05" customHeight="1">
      <c r="A25" s="17" t="s">
        <v>922</v>
      </c>
      <c r="B25" s="17" t="s">
        <v>923</v>
      </c>
      <c r="C25" s="17" t="s">
        <v>21</v>
      </c>
      <c r="D25" s="17" t="s">
        <v>879</v>
      </c>
      <c r="E25" s="17">
        <v>1</v>
      </c>
      <c r="F25" s="17" t="s">
        <v>879</v>
      </c>
      <c r="G25" s="17" t="s">
        <v>880</v>
      </c>
      <c r="H25" s="17">
        <v>1</v>
      </c>
      <c r="I25" s="20">
        <v>46304</v>
      </c>
      <c r="J25" s="17" t="s">
        <v>843</v>
      </c>
    </row>
    <row r="26" spans="1:10" ht="28.05" customHeight="1">
      <c r="A26" s="17" t="s">
        <v>924</v>
      </c>
      <c r="B26" s="17" t="s">
        <v>923</v>
      </c>
      <c r="C26" s="17" t="s">
        <v>29</v>
      </c>
      <c r="D26" s="17" t="s">
        <v>879</v>
      </c>
      <c r="E26" s="17">
        <v>2</v>
      </c>
      <c r="F26" s="17" t="s">
        <v>879</v>
      </c>
      <c r="G26" s="17" t="s">
        <v>880</v>
      </c>
      <c r="H26" s="17">
        <v>1</v>
      </c>
      <c r="I26" s="20">
        <v>46304</v>
      </c>
      <c r="J26" s="17" t="s">
        <v>843</v>
      </c>
    </row>
    <row r="27" spans="1:10" ht="28.05" customHeight="1">
      <c r="A27" s="17" t="s">
        <v>925</v>
      </c>
      <c r="B27" s="17" t="s">
        <v>923</v>
      </c>
      <c r="C27" s="17" t="s">
        <v>883</v>
      </c>
      <c r="D27" s="17" t="s">
        <v>879</v>
      </c>
      <c r="E27" s="17">
        <v>3</v>
      </c>
      <c r="F27" s="17" t="s">
        <v>879</v>
      </c>
      <c r="G27" s="17" t="s">
        <v>880</v>
      </c>
      <c r="H27" s="17">
        <v>1</v>
      </c>
      <c r="I27" s="20">
        <v>46304</v>
      </c>
      <c r="J27" s="17" t="s">
        <v>843</v>
      </c>
    </row>
    <row r="28" spans="1:10" ht="28.05" customHeight="1">
      <c r="A28" s="17" t="s">
        <v>926</v>
      </c>
      <c r="B28" s="17" t="s">
        <v>923</v>
      </c>
      <c r="C28" s="17" t="s">
        <v>885</v>
      </c>
      <c r="D28" s="17" t="s">
        <v>879</v>
      </c>
      <c r="E28" s="17">
        <v>4</v>
      </c>
      <c r="F28" s="17" t="s">
        <v>879</v>
      </c>
      <c r="G28" s="17" t="s">
        <v>880</v>
      </c>
      <c r="H28" s="17">
        <v>1</v>
      </c>
      <c r="I28" s="20">
        <v>46304</v>
      </c>
      <c r="J28" s="17" t="s">
        <v>843</v>
      </c>
    </row>
    <row r="29" spans="1:10" ht="28.05" customHeight="1">
      <c r="A29" s="17" t="s">
        <v>927</v>
      </c>
      <c r="B29" s="17" t="s">
        <v>923</v>
      </c>
      <c r="C29" s="17" t="s">
        <v>459</v>
      </c>
      <c r="D29" s="17" t="s">
        <v>879</v>
      </c>
      <c r="E29" s="17">
        <v>5</v>
      </c>
      <c r="F29" s="17" t="s">
        <v>879</v>
      </c>
      <c r="G29" s="17" t="s">
        <v>880</v>
      </c>
      <c r="H29" s="17">
        <v>1</v>
      </c>
      <c r="I29" s="20">
        <v>46304</v>
      </c>
      <c r="J29" s="17" t="s">
        <v>843</v>
      </c>
    </row>
    <row r="30" spans="1:10" ht="28.05" customHeight="1">
      <c r="A30" s="17" t="s">
        <v>928</v>
      </c>
      <c r="B30" s="17" t="s">
        <v>923</v>
      </c>
      <c r="C30" s="17" t="s">
        <v>929</v>
      </c>
      <c r="D30" s="17" t="s">
        <v>879</v>
      </c>
      <c r="E30" s="17">
        <v>6</v>
      </c>
      <c r="F30" s="17" t="s">
        <v>879</v>
      </c>
      <c r="G30" s="17" t="s">
        <v>880</v>
      </c>
      <c r="H30" s="17">
        <v>1</v>
      </c>
      <c r="I30" s="20">
        <v>46304</v>
      </c>
      <c r="J30" s="17" t="s">
        <v>843</v>
      </c>
    </row>
    <row r="31" spans="1:10" ht="28.05" customHeight="1">
      <c r="A31" s="17" t="s">
        <v>930</v>
      </c>
      <c r="B31" s="17" t="s">
        <v>931</v>
      </c>
      <c r="C31" s="17" t="s">
        <v>863</v>
      </c>
      <c r="D31" s="17" t="s">
        <v>879</v>
      </c>
      <c r="E31" s="17">
        <v>1</v>
      </c>
      <c r="F31" s="17" t="s">
        <v>879</v>
      </c>
      <c r="G31" s="17" t="s">
        <v>880</v>
      </c>
      <c r="H31" s="17">
        <v>1</v>
      </c>
      <c r="I31" s="20">
        <v>46304</v>
      </c>
      <c r="J31" s="17" t="s">
        <v>843</v>
      </c>
    </row>
    <row r="32" spans="1:10" ht="28.05" customHeight="1">
      <c r="A32" s="17" t="s">
        <v>932</v>
      </c>
      <c r="B32" s="17" t="s">
        <v>931</v>
      </c>
      <c r="C32" s="17" t="s">
        <v>933</v>
      </c>
      <c r="D32" s="17" t="s">
        <v>879</v>
      </c>
      <c r="E32" s="17">
        <v>2</v>
      </c>
      <c r="F32" s="17" t="s">
        <v>879</v>
      </c>
      <c r="G32" s="17" t="s">
        <v>880</v>
      </c>
      <c r="H32" s="17">
        <v>1</v>
      </c>
      <c r="I32" s="20">
        <v>46304</v>
      </c>
      <c r="J32" s="17" t="s">
        <v>843</v>
      </c>
    </row>
    <row r="33" spans="1:10" ht="28.05" customHeight="1">
      <c r="A33" s="17" t="s">
        <v>934</v>
      </c>
      <c r="B33" s="17" t="s">
        <v>931</v>
      </c>
      <c r="C33" s="17" t="s">
        <v>935</v>
      </c>
      <c r="D33" s="17" t="s">
        <v>879</v>
      </c>
      <c r="E33" s="17">
        <v>3</v>
      </c>
      <c r="F33" s="17" t="s">
        <v>879</v>
      </c>
      <c r="G33" s="17" t="s">
        <v>880</v>
      </c>
      <c r="H33" s="17">
        <v>1</v>
      </c>
      <c r="I33" s="20">
        <v>46304</v>
      </c>
      <c r="J33" s="17" t="s">
        <v>843</v>
      </c>
    </row>
    <row r="34" spans="1:10" ht="28.05" customHeight="1">
      <c r="A34" s="17" t="s">
        <v>936</v>
      </c>
      <c r="B34" s="17" t="s">
        <v>937</v>
      </c>
      <c r="C34" s="17" t="s">
        <v>869</v>
      </c>
      <c r="D34" s="17" t="s">
        <v>879</v>
      </c>
      <c r="E34" s="17">
        <v>1</v>
      </c>
      <c r="F34" s="17" t="s">
        <v>915</v>
      </c>
      <c r="G34" s="17" t="s">
        <v>938</v>
      </c>
      <c r="H34" s="17">
        <v>1</v>
      </c>
      <c r="I34" s="20">
        <v>46304</v>
      </c>
      <c r="J34" s="17" t="s">
        <v>843</v>
      </c>
    </row>
    <row r="35" spans="1:10" ht="28.05" customHeight="1">
      <c r="A35" s="17" t="s">
        <v>939</v>
      </c>
      <c r="B35" s="17" t="s">
        <v>937</v>
      </c>
      <c r="C35" s="17" t="s">
        <v>940</v>
      </c>
      <c r="D35" s="17" t="s">
        <v>879</v>
      </c>
      <c r="E35" s="17">
        <v>2</v>
      </c>
      <c r="F35" s="17" t="s">
        <v>915</v>
      </c>
      <c r="G35" s="17" t="s">
        <v>938</v>
      </c>
      <c r="H35" s="17">
        <v>1</v>
      </c>
      <c r="I35" s="20">
        <v>46304</v>
      </c>
      <c r="J35" s="17" t="s">
        <v>843</v>
      </c>
    </row>
    <row r="36" spans="1:10" ht="28.05" customHeight="1">
      <c r="A36" s="17" t="s">
        <v>941</v>
      </c>
      <c r="B36" s="17" t="s">
        <v>937</v>
      </c>
      <c r="C36" s="17" t="s">
        <v>942</v>
      </c>
      <c r="D36" s="17" t="s">
        <v>879</v>
      </c>
      <c r="E36" s="17">
        <v>3</v>
      </c>
      <c r="F36" s="17" t="s">
        <v>915</v>
      </c>
      <c r="G36" s="17" t="s">
        <v>938</v>
      </c>
      <c r="H36" s="17">
        <v>1</v>
      </c>
      <c r="I36" s="20">
        <v>46304</v>
      </c>
      <c r="J36" s="17" t="s">
        <v>843</v>
      </c>
    </row>
    <row r="37" spans="1:10" ht="28.05" customHeight="1">
      <c r="A37" s="17" t="s">
        <v>943</v>
      </c>
      <c r="B37" s="17" t="s">
        <v>937</v>
      </c>
      <c r="C37" s="17" t="s">
        <v>944</v>
      </c>
      <c r="D37" s="17" t="s">
        <v>879</v>
      </c>
      <c r="E37" s="17">
        <v>4</v>
      </c>
      <c r="F37" s="17" t="s">
        <v>915</v>
      </c>
      <c r="G37" s="17" t="s">
        <v>938</v>
      </c>
      <c r="H37" s="17">
        <v>1</v>
      </c>
      <c r="I37" s="20">
        <v>46304</v>
      </c>
      <c r="J37" s="17" t="s">
        <v>843</v>
      </c>
    </row>
    <row r="38" spans="1:10" ht="28.05" customHeight="1">
      <c r="A38" s="17" t="s">
        <v>945</v>
      </c>
      <c r="B38" s="17" t="s">
        <v>81</v>
      </c>
      <c r="C38" s="17" t="s">
        <v>167</v>
      </c>
      <c r="D38" s="17" t="s">
        <v>879</v>
      </c>
      <c r="E38" s="17">
        <v>1</v>
      </c>
      <c r="F38" s="17" t="s">
        <v>915</v>
      </c>
      <c r="G38" s="17" t="s">
        <v>938</v>
      </c>
      <c r="H38" s="17">
        <v>1</v>
      </c>
      <c r="I38" s="20">
        <v>46304</v>
      </c>
      <c r="J38" s="17" t="s">
        <v>843</v>
      </c>
    </row>
    <row r="39" spans="1:10" ht="28.05" customHeight="1">
      <c r="A39" s="17" t="s">
        <v>946</v>
      </c>
      <c r="B39" s="17" t="s">
        <v>81</v>
      </c>
      <c r="C39" s="17" t="s">
        <v>206</v>
      </c>
      <c r="D39" s="17" t="s">
        <v>879</v>
      </c>
      <c r="E39" s="17">
        <v>2</v>
      </c>
      <c r="F39" s="17" t="s">
        <v>915</v>
      </c>
      <c r="G39" s="17" t="s">
        <v>938</v>
      </c>
      <c r="H39" s="17">
        <v>1</v>
      </c>
      <c r="I39" s="20">
        <v>46304</v>
      </c>
      <c r="J39" s="17" t="s">
        <v>843</v>
      </c>
    </row>
    <row r="40" spans="1:10" ht="28.05" customHeight="1">
      <c r="A40" s="17" t="s">
        <v>947</v>
      </c>
      <c r="B40" s="17" t="s">
        <v>81</v>
      </c>
      <c r="C40" s="17" t="s">
        <v>948</v>
      </c>
      <c r="D40" s="17" t="s">
        <v>879</v>
      </c>
      <c r="E40" s="17">
        <v>3</v>
      </c>
      <c r="F40" s="17" t="s">
        <v>915</v>
      </c>
      <c r="G40" s="17" t="s">
        <v>938</v>
      </c>
      <c r="H40" s="17">
        <v>1</v>
      </c>
      <c r="I40" s="20">
        <v>46304</v>
      </c>
      <c r="J40" s="17" t="s">
        <v>843</v>
      </c>
    </row>
    <row r="41" spans="1:10" ht="28.05" customHeight="1">
      <c r="A41" s="17" t="s">
        <v>949</v>
      </c>
      <c r="B41" s="17" t="s">
        <v>81</v>
      </c>
      <c r="C41" s="17" t="s">
        <v>950</v>
      </c>
      <c r="D41" s="17" t="s">
        <v>879</v>
      </c>
      <c r="E41" s="17">
        <v>4</v>
      </c>
      <c r="F41" s="17" t="s">
        <v>915</v>
      </c>
      <c r="G41" s="17" t="s">
        <v>938</v>
      </c>
      <c r="H41" s="17">
        <v>1</v>
      </c>
      <c r="I41" s="20">
        <v>46304</v>
      </c>
      <c r="J41" s="17" t="s">
        <v>843</v>
      </c>
    </row>
    <row r="42" spans="1:10" ht="28.05" customHeight="1">
      <c r="A42" s="17" t="s">
        <v>951</v>
      </c>
      <c r="B42" s="17" t="s">
        <v>81</v>
      </c>
      <c r="C42" s="17" t="s">
        <v>952</v>
      </c>
      <c r="D42" s="17" t="s">
        <v>879</v>
      </c>
      <c r="E42" s="17">
        <v>5</v>
      </c>
      <c r="F42" s="17" t="s">
        <v>915</v>
      </c>
      <c r="G42" s="17" t="s">
        <v>938</v>
      </c>
      <c r="H42" s="17">
        <v>1</v>
      </c>
      <c r="I42" s="20">
        <v>46304</v>
      </c>
      <c r="J42" s="17" t="s">
        <v>843</v>
      </c>
    </row>
    <row r="43" spans="1:10" ht="28.05" customHeight="1">
      <c r="A43" s="17" t="s">
        <v>953</v>
      </c>
      <c r="B43" s="17" t="s">
        <v>954</v>
      </c>
      <c r="C43" s="17" t="s">
        <v>164</v>
      </c>
      <c r="D43" s="17" t="s">
        <v>879</v>
      </c>
      <c r="E43" s="17">
        <v>1</v>
      </c>
      <c r="F43" s="17" t="s">
        <v>915</v>
      </c>
      <c r="G43" s="17" t="s">
        <v>938</v>
      </c>
      <c r="H43" s="17">
        <v>1</v>
      </c>
      <c r="I43" s="20">
        <v>46304</v>
      </c>
      <c r="J43" s="17" t="s">
        <v>843</v>
      </c>
    </row>
    <row r="44" spans="1:10" ht="28.05" customHeight="1">
      <c r="A44" s="17" t="s">
        <v>955</v>
      </c>
      <c r="B44" s="17" t="s">
        <v>954</v>
      </c>
      <c r="C44" s="17" t="s">
        <v>203</v>
      </c>
      <c r="D44" s="17" t="s">
        <v>879</v>
      </c>
      <c r="E44" s="17">
        <v>2</v>
      </c>
      <c r="F44" s="17" t="s">
        <v>915</v>
      </c>
      <c r="G44" s="17" t="s">
        <v>938</v>
      </c>
      <c r="H44" s="17">
        <v>1</v>
      </c>
      <c r="I44" s="20">
        <v>46304</v>
      </c>
      <c r="J44" s="17" t="s">
        <v>843</v>
      </c>
    </row>
    <row r="45" spans="1:10" ht="28.05" customHeight="1">
      <c r="A45" s="17" t="s">
        <v>956</v>
      </c>
      <c r="B45" s="17" t="s">
        <v>954</v>
      </c>
      <c r="C45" s="17" t="s">
        <v>273</v>
      </c>
      <c r="D45" s="17" t="s">
        <v>879</v>
      </c>
      <c r="E45" s="17">
        <v>3</v>
      </c>
      <c r="F45" s="17" t="s">
        <v>915</v>
      </c>
      <c r="G45" s="17" t="s">
        <v>938</v>
      </c>
      <c r="H45" s="17">
        <v>1</v>
      </c>
      <c r="I45" s="20">
        <v>46304</v>
      </c>
      <c r="J45" s="17" t="s">
        <v>843</v>
      </c>
    </row>
    <row r="46" spans="1:10" ht="28.05" customHeight="1">
      <c r="A46" s="17" t="s">
        <v>957</v>
      </c>
      <c r="B46" s="17" t="s">
        <v>954</v>
      </c>
      <c r="C46" s="17" t="s">
        <v>299</v>
      </c>
      <c r="D46" s="17" t="s">
        <v>879</v>
      </c>
      <c r="E46" s="17">
        <v>4</v>
      </c>
      <c r="F46" s="17" t="s">
        <v>915</v>
      </c>
      <c r="G46" s="17" t="s">
        <v>938</v>
      </c>
      <c r="H46" s="17">
        <v>1</v>
      </c>
      <c r="I46" s="20">
        <v>46304</v>
      </c>
      <c r="J46" s="17" t="s">
        <v>843</v>
      </c>
    </row>
    <row r="47" spans="1:10" ht="28.05" customHeight="1">
      <c r="A47" s="17" t="s">
        <v>958</v>
      </c>
      <c r="B47" s="17" t="s">
        <v>954</v>
      </c>
      <c r="C47" s="17" t="s">
        <v>321</v>
      </c>
      <c r="D47" s="17" t="s">
        <v>879</v>
      </c>
      <c r="E47" s="17">
        <v>5</v>
      </c>
      <c r="F47" s="17" t="s">
        <v>915</v>
      </c>
      <c r="G47" s="17" t="s">
        <v>938</v>
      </c>
      <c r="H47" s="17">
        <v>1</v>
      </c>
      <c r="I47" s="20">
        <v>46304</v>
      </c>
      <c r="J47" s="17" t="s">
        <v>843</v>
      </c>
    </row>
    <row r="48" spans="1:10" ht="28.05" customHeight="1">
      <c r="A48" s="17" t="s">
        <v>959</v>
      </c>
      <c r="B48" s="17" t="s">
        <v>954</v>
      </c>
      <c r="C48" s="17" t="s">
        <v>347</v>
      </c>
      <c r="D48" s="17" t="s">
        <v>879</v>
      </c>
      <c r="E48" s="17">
        <v>6</v>
      </c>
      <c r="F48" s="17" t="s">
        <v>915</v>
      </c>
      <c r="G48" s="17" t="s">
        <v>938</v>
      </c>
      <c r="H48" s="17">
        <v>1</v>
      </c>
      <c r="I48" s="20">
        <v>46304</v>
      </c>
      <c r="J48" s="17" t="s">
        <v>843</v>
      </c>
    </row>
    <row r="49" spans="1:10" ht="28.05" customHeight="1">
      <c r="A49" s="17" t="s">
        <v>960</v>
      </c>
      <c r="B49" s="17" t="s">
        <v>954</v>
      </c>
      <c r="C49" s="17" t="s">
        <v>372</v>
      </c>
      <c r="D49" s="17" t="s">
        <v>879</v>
      </c>
      <c r="E49" s="17">
        <v>7</v>
      </c>
      <c r="F49" s="17" t="s">
        <v>915</v>
      </c>
      <c r="G49" s="17" t="s">
        <v>938</v>
      </c>
      <c r="H49" s="17">
        <v>1</v>
      </c>
      <c r="I49" s="20">
        <v>46304</v>
      </c>
      <c r="J49" s="17" t="s">
        <v>843</v>
      </c>
    </row>
    <row r="50" spans="1:10" ht="28.05" customHeight="1">
      <c r="A50" s="17" t="s">
        <v>961</v>
      </c>
      <c r="B50" s="17" t="s">
        <v>954</v>
      </c>
      <c r="C50" s="17" t="s">
        <v>397</v>
      </c>
      <c r="D50" s="17" t="s">
        <v>879</v>
      </c>
      <c r="E50" s="17">
        <v>8</v>
      </c>
      <c r="F50" s="17" t="s">
        <v>915</v>
      </c>
      <c r="G50" s="17" t="s">
        <v>938</v>
      </c>
      <c r="H50" s="17">
        <v>1</v>
      </c>
      <c r="I50" s="20">
        <v>46304</v>
      </c>
      <c r="J50" s="17" t="s">
        <v>843</v>
      </c>
    </row>
    <row r="51" spans="1:10" ht="28.05" customHeight="1">
      <c r="A51" s="17" t="s">
        <v>962</v>
      </c>
      <c r="B51" s="17" t="s">
        <v>954</v>
      </c>
      <c r="C51" s="17" t="s">
        <v>423</v>
      </c>
      <c r="D51" s="17" t="s">
        <v>879</v>
      </c>
      <c r="E51" s="17">
        <v>9</v>
      </c>
      <c r="F51" s="17" t="s">
        <v>915</v>
      </c>
      <c r="G51" s="17" t="s">
        <v>938</v>
      </c>
      <c r="H51" s="17">
        <v>1</v>
      </c>
      <c r="I51" s="20">
        <v>46304</v>
      </c>
      <c r="J51" s="17" t="s">
        <v>843</v>
      </c>
    </row>
    <row r="52" spans="1:10" ht="28.05" customHeight="1">
      <c r="A52" s="17" t="s">
        <v>963</v>
      </c>
      <c r="B52" s="17" t="s">
        <v>964</v>
      </c>
      <c r="C52" s="17" t="s">
        <v>879</v>
      </c>
      <c r="D52" s="17" t="s">
        <v>879</v>
      </c>
      <c r="E52" s="17">
        <v>1</v>
      </c>
      <c r="F52" s="17" t="s">
        <v>879</v>
      </c>
      <c r="G52" s="17" t="s">
        <v>880</v>
      </c>
      <c r="H52" s="17">
        <v>1</v>
      </c>
      <c r="I52" s="20">
        <v>46304</v>
      </c>
      <c r="J52" s="17" t="s">
        <v>843</v>
      </c>
    </row>
    <row r="53" spans="1:10" ht="28.05" customHeight="1">
      <c r="A53" s="17" t="s">
        <v>965</v>
      </c>
      <c r="B53" s="17" t="s">
        <v>964</v>
      </c>
      <c r="C53" s="17" t="s">
        <v>915</v>
      </c>
      <c r="D53" s="17" t="s">
        <v>879</v>
      </c>
      <c r="E53" s="17">
        <v>2</v>
      </c>
      <c r="F53" s="17" t="s">
        <v>879</v>
      </c>
      <c r="G53" s="17" t="s">
        <v>880</v>
      </c>
      <c r="H53" s="17">
        <v>1</v>
      </c>
      <c r="I53" s="20">
        <v>46304</v>
      </c>
      <c r="J53" s="17" t="s">
        <v>843</v>
      </c>
    </row>
    <row r="54" spans="1:10" ht="28.05" customHeight="1">
      <c r="A54" s="17" t="s">
        <v>966</v>
      </c>
      <c r="B54" s="17" t="s">
        <v>967</v>
      </c>
      <c r="C54" s="17" t="s">
        <v>968</v>
      </c>
      <c r="D54" s="17" t="s">
        <v>879</v>
      </c>
      <c r="E54" s="17">
        <v>1</v>
      </c>
      <c r="F54" s="17" t="s">
        <v>879</v>
      </c>
      <c r="G54" s="17" t="s">
        <v>880</v>
      </c>
      <c r="H54" s="17">
        <v>1</v>
      </c>
      <c r="I54" s="20">
        <v>46304</v>
      </c>
      <c r="J54" s="17" t="s">
        <v>843</v>
      </c>
    </row>
    <row r="55" spans="1:10" ht="28.05" customHeight="1">
      <c r="A55" s="17" t="s">
        <v>969</v>
      </c>
      <c r="B55" s="17" t="s">
        <v>967</v>
      </c>
      <c r="C55" s="17" t="s">
        <v>904</v>
      </c>
      <c r="D55" s="17" t="s">
        <v>879</v>
      </c>
      <c r="E55" s="17">
        <v>2</v>
      </c>
      <c r="F55" s="17" t="s">
        <v>879</v>
      </c>
      <c r="G55" s="17" t="s">
        <v>880</v>
      </c>
      <c r="H55" s="17">
        <v>1</v>
      </c>
      <c r="I55" s="20">
        <v>46304</v>
      </c>
      <c r="J55" s="17" t="s">
        <v>843</v>
      </c>
    </row>
  </sheetData>
  <sheetProtection sheet="1" objects="1" scenarios="1" autoFilter="0"/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3"/>
  <dimension ref="A1:M9"/>
  <sheetViews>
    <sheetView showGridLines="0" zoomScale="85" workbookViewId="0"/>
  </sheetViews>
  <sheetFormatPr defaultRowHeight="14.4"/>
  <cols>
    <col min="1" max="8" width="24" customWidth="1"/>
    <col min="9" max="9" width="62" customWidth="1"/>
    <col min="10" max="13" width="24" customWidth="1"/>
  </cols>
  <sheetData>
    <row r="1" spans="1:13" ht="42" customHeight="1">
      <c r="A1" s="18" t="s">
        <v>43</v>
      </c>
      <c r="B1" s="18" t="s">
        <v>970</v>
      </c>
      <c r="C1" s="18" t="s">
        <v>971</v>
      </c>
      <c r="D1" s="18" t="s">
        <v>972</v>
      </c>
      <c r="E1" s="18" t="s">
        <v>973</v>
      </c>
      <c r="F1" s="18" t="s">
        <v>974</v>
      </c>
      <c r="G1" s="18" t="s">
        <v>975</v>
      </c>
      <c r="H1" s="18" t="s">
        <v>64</v>
      </c>
      <c r="I1" s="18" t="s">
        <v>13</v>
      </c>
      <c r="J1" s="18" t="s">
        <v>74</v>
      </c>
      <c r="K1" s="18" t="s">
        <v>76</v>
      </c>
      <c r="L1" s="18" t="s">
        <v>75</v>
      </c>
      <c r="M1" s="18" t="s">
        <v>976</v>
      </c>
    </row>
    <row r="2" spans="1:13" ht="42" customHeight="1">
      <c r="A2" s="17" t="s">
        <v>977</v>
      </c>
      <c r="B2" s="17" t="s">
        <v>21</v>
      </c>
      <c r="C2" s="17" t="s">
        <v>22</v>
      </c>
      <c r="D2" s="17" t="s">
        <v>915</v>
      </c>
      <c r="E2" s="17" t="s">
        <v>879</v>
      </c>
      <c r="F2" s="17" t="s">
        <v>915</v>
      </c>
      <c r="G2" s="17" t="s">
        <v>915</v>
      </c>
      <c r="H2" s="17" t="s">
        <v>968</v>
      </c>
      <c r="I2" s="19" t="s">
        <v>978</v>
      </c>
      <c r="J2" s="17">
        <v>1</v>
      </c>
      <c r="K2" s="20">
        <v>46304</v>
      </c>
      <c r="L2" s="17" t="s">
        <v>843</v>
      </c>
      <c r="M2" s="17" t="s">
        <v>979</v>
      </c>
    </row>
    <row r="3" spans="1:13" ht="42" customHeight="1">
      <c r="A3" s="17" t="s">
        <v>980</v>
      </c>
      <c r="B3" s="17" t="s">
        <v>21</v>
      </c>
      <c r="C3" s="17" t="s">
        <v>981</v>
      </c>
      <c r="D3" s="17" t="s">
        <v>879</v>
      </c>
      <c r="E3" s="17" t="s">
        <v>879</v>
      </c>
      <c r="F3" s="17" t="s">
        <v>915</v>
      </c>
      <c r="G3" s="17" t="s">
        <v>915</v>
      </c>
      <c r="H3" s="17" t="s">
        <v>968</v>
      </c>
      <c r="I3" s="19" t="s">
        <v>978</v>
      </c>
      <c r="J3" s="17">
        <v>1</v>
      </c>
      <c r="K3" s="20">
        <v>46304</v>
      </c>
      <c r="L3" s="17" t="s">
        <v>843</v>
      </c>
      <c r="M3" s="17" t="s">
        <v>982</v>
      </c>
    </row>
    <row r="4" spans="1:13" ht="42" customHeight="1">
      <c r="A4" s="17" t="s">
        <v>983</v>
      </c>
      <c r="B4" s="17" t="s">
        <v>29</v>
      </c>
      <c r="C4" s="17" t="s">
        <v>22</v>
      </c>
      <c r="D4" s="17" t="s">
        <v>915</v>
      </c>
      <c r="E4" s="17" t="s">
        <v>915</v>
      </c>
      <c r="F4" s="17" t="s">
        <v>879</v>
      </c>
      <c r="G4" s="17" t="s">
        <v>915</v>
      </c>
      <c r="H4" s="17" t="s">
        <v>968</v>
      </c>
      <c r="I4" s="19" t="s">
        <v>978</v>
      </c>
      <c r="J4" s="17">
        <v>1</v>
      </c>
      <c r="K4" s="20">
        <v>46304</v>
      </c>
      <c r="L4" s="17" t="s">
        <v>843</v>
      </c>
      <c r="M4" s="17" t="s">
        <v>984</v>
      </c>
    </row>
    <row r="5" spans="1:13" ht="42" customHeight="1">
      <c r="A5" s="17" t="s">
        <v>985</v>
      </c>
      <c r="B5" s="17" t="s">
        <v>29</v>
      </c>
      <c r="C5" s="17" t="s">
        <v>981</v>
      </c>
      <c r="D5" s="17" t="s">
        <v>879</v>
      </c>
      <c r="E5" s="17" t="s">
        <v>915</v>
      </c>
      <c r="F5" s="17" t="s">
        <v>879</v>
      </c>
      <c r="G5" s="17" t="s">
        <v>915</v>
      </c>
      <c r="H5" s="17" t="s">
        <v>968</v>
      </c>
      <c r="I5" s="19" t="s">
        <v>978</v>
      </c>
      <c r="J5" s="17">
        <v>1</v>
      </c>
      <c r="K5" s="20">
        <v>46304</v>
      </c>
      <c r="L5" s="17" t="s">
        <v>843</v>
      </c>
      <c r="M5" s="17" t="s">
        <v>986</v>
      </c>
    </row>
    <row r="6" spans="1:13" ht="42" customHeight="1">
      <c r="A6" s="17" t="s">
        <v>987</v>
      </c>
      <c r="B6" s="17" t="s">
        <v>883</v>
      </c>
      <c r="C6" s="17" t="s">
        <v>22</v>
      </c>
      <c r="D6" s="17" t="s">
        <v>915</v>
      </c>
      <c r="E6" s="17" t="s">
        <v>915</v>
      </c>
      <c r="F6" s="17" t="s">
        <v>915</v>
      </c>
      <c r="G6" s="17" t="s">
        <v>915</v>
      </c>
      <c r="H6" s="17" t="s">
        <v>968</v>
      </c>
      <c r="I6" s="19" t="s">
        <v>978</v>
      </c>
      <c r="J6" s="17">
        <v>1</v>
      </c>
      <c r="K6" s="20">
        <v>46304</v>
      </c>
      <c r="L6" s="17" t="s">
        <v>843</v>
      </c>
      <c r="M6" s="17" t="s">
        <v>988</v>
      </c>
    </row>
    <row r="7" spans="1:13" ht="42" customHeight="1">
      <c r="A7" s="17" t="s">
        <v>989</v>
      </c>
      <c r="B7" s="17" t="s">
        <v>883</v>
      </c>
      <c r="C7" s="17" t="s">
        <v>981</v>
      </c>
      <c r="D7" s="17" t="s">
        <v>879</v>
      </c>
      <c r="E7" s="17" t="s">
        <v>915</v>
      </c>
      <c r="F7" s="17" t="s">
        <v>915</v>
      </c>
      <c r="G7" s="17" t="s">
        <v>915</v>
      </c>
      <c r="H7" s="17" t="s">
        <v>968</v>
      </c>
      <c r="I7" s="19" t="s">
        <v>978</v>
      </c>
      <c r="J7" s="17">
        <v>1</v>
      </c>
      <c r="K7" s="20">
        <v>46304</v>
      </c>
      <c r="L7" s="17" t="s">
        <v>843</v>
      </c>
      <c r="M7" s="17" t="s">
        <v>990</v>
      </c>
    </row>
    <row r="8" spans="1:13" ht="42" customHeight="1">
      <c r="A8" s="17" t="s">
        <v>991</v>
      </c>
      <c r="B8" s="17" t="s">
        <v>885</v>
      </c>
      <c r="C8" s="17" t="s">
        <v>22</v>
      </c>
      <c r="D8" s="17" t="s">
        <v>915</v>
      </c>
      <c r="E8" s="17" t="s">
        <v>915</v>
      </c>
      <c r="F8" s="17" t="s">
        <v>915</v>
      </c>
      <c r="G8" s="17" t="s">
        <v>915</v>
      </c>
      <c r="H8" s="17" t="s">
        <v>968</v>
      </c>
      <c r="I8" s="19" t="s">
        <v>978</v>
      </c>
      <c r="J8" s="17">
        <v>1</v>
      </c>
      <c r="K8" s="20">
        <v>46304</v>
      </c>
      <c r="L8" s="17" t="s">
        <v>843</v>
      </c>
      <c r="M8" s="17" t="s">
        <v>992</v>
      </c>
    </row>
    <row r="9" spans="1:13" ht="42" customHeight="1">
      <c r="A9" s="17" t="s">
        <v>993</v>
      </c>
      <c r="B9" s="17" t="s">
        <v>885</v>
      </c>
      <c r="C9" s="17" t="s">
        <v>981</v>
      </c>
      <c r="D9" s="17" t="s">
        <v>879</v>
      </c>
      <c r="E9" s="17" t="s">
        <v>915</v>
      </c>
      <c r="F9" s="17" t="s">
        <v>915</v>
      </c>
      <c r="G9" s="17" t="s">
        <v>915</v>
      </c>
      <c r="H9" s="17" t="s">
        <v>968</v>
      </c>
      <c r="I9" s="19" t="s">
        <v>978</v>
      </c>
      <c r="J9" s="17">
        <v>1</v>
      </c>
      <c r="K9" s="20">
        <v>46304</v>
      </c>
      <c r="L9" s="17" t="s">
        <v>843</v>
      </c>
      <c r="M9" s="17" t="s">
        <v>994</v>
      </c>
    </row>
  </sheetData>
  <sheetProtection sheet="1" objects="1" scenarios="1" autoFilter="0"/>
  <pageMargins left="0.7" right="0.7" top="0.75" bottom="0.75" header="0.3" footer="0.3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4"/>
  <dimension ref="A1:J1"/>
  <sheetViews>
    <sheetView showGridLines="0" zoomScale="85" workbookViewId="0"/>
  </sheetViews>
  <sheetFormatPr defaultRowHeight="14.4"/>
  <cols>
    <col min="1" max="10" width="24" customWidth="1"/>
  </cols>
  <sheetData>
    <row r="1" spans="1:10" ht="42" customHeight="1">
      <c r="A1" s="18" t="s">
        <v>816</v>
      </c>
      <c r="B1" s="18" t="s">
        <v>5</v>
      </c>
      <c r="C1" s="18" t="s">
        <v>817</v>
      </c>
      <c r="D1" s="18" t="s">
        <v>995</v>
      </c>
      <c r="E1" s="18" t="s">
        <v>996</v>
      </c>
      <c r="F1" s="18" t="s">
        <v>40</v>
      </c>
      <c r="G1" s="18" t="s">
        <v>74</v>
      </c>
      <c r="H1" s="18" t="s">
        <v>820</v>
      </c>
      <c r="I1" s="18" t="s">
        <v>821</v>
      </c>
      <c r="J1" s="18" t="s">
        <v>822</v>
      </c>
    </row>
  </sheetData>
  <sheetProtection sheet="1" objects="1" scenarios="1" autoFilter="0"/>
  <pageMargins left="0.7" right="0.7" top="0.75" bottom="0.75" header="0.3" footer="0.3"/>
  <tableParts count="1">
    <tablePart r:id="rId1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5">
    <tabColor rgb="FF2563EB"/>
  </sheetPr>
  <dimension ref="A2:X14"/>
  <sheetViews>
    <sheetView showGridLines="0" zoomScale="85" zoomScaleNormal="85" workbookViewId="0">
      <pane xSplit="2" ySplit="12" topLeftCell="C13" activePane="bottomRight" state="frozen"/>
      <selection pane="bottomRight" activeCell="C13" sqref="C13"/>
    </sheetView>
  </sheetViews>
  <sheetFormatPr defaultRowHeight="13.8"/>
  <cols>
    <col min="1" max="1" width="19.77734375" style="38" customWidth="1"/>
    <col min="2" max="2" width="28.77734375" style="38" customWidth="1"/>
    <col min="3" max="4" width="20.77734375" style="38" customWidth="1"/>
    <col min="5" max="5" width="25.77734375" style="38" customWidth="1"/>
    <col min="6" max="7" width="20.77734375" style="38" customWidth="1"/>
    <col min="8" max="8" width="12.77734375" style="38" customWidth="1"/>
    <col min="9" max="9" width="36.77734375" style="38" customWidth="1"/>
    <col min="10" max="21" width="19.77734375" style="38" customWidth="1"/>
    <col min="22" max="22" width="43.77734375" style="38" customWidth="1"/>
    <col min="23" max="24" width="22.77734375" style="38" customWidth="1"/>
    <col min="25" max="16384" width="8.88671875" style="38"/>
  </cols>
  <sheetData>
    <row r="2" spans="1:24" ht="34.049999999999997" customHeight="1">
      <c r="A2" s="101" t="s">
        <v>1234</v>
      </c>
      <c r="B2" s="100"/>
      <c r="C2" s="100"/>
      <c r="D2" s="100"/>
      <c r="E2" s="100"/>
      <c r="F2" s="100"/>
      <c r="G2" s="100"/>
      <c r="H2" s="100"/>
      <c r="I2" s="100"/>
      <c r="J2" s="99"/>
      <c r="K2" s="99"/>
      <c r="L2" s="99"/>
      <c r="M2" s="99"/>
      <c r="N2" s="99"/>
      <c r="O2" s="99"/>
      <c r="P2" s="99"/>
      <c r="Q2" s="99"/>
      <c r="R2" s="99"/>
      <c r="S2" s="99"/>
      <c r="T2" s="99"/>
      <c r="U2" s="99"/>
      <c r="V2" s="99"/>
      <c r="W2" s="99"/>
      <c r="X2" s="99"/>
    </row>
    <row r="3" spans="1:24">
      <c r="A3" s="102" t="s">
        <v>1235</v>
      </c>
      <c r="B3" s="102"/>
      <c r="C3" s="102"/>
      <c r="D3" s="102"/>
      <c r="E3" s="102"/>
      <c r="F3" s="102"/>
      <c r="G3" s="102"/>
      <c r="H3" s="102"/>
      <c r="I3" s="102"/>
      <c r="J3" s="99"/>
      <c r="K3" s="99"/>
      <c r="L3" s="99"/>
      <c r="M3" s="99"/>
      <c r="N3" s="99"/>
      <c r="O3" s="99"/>
      <c r="P3" s="99"/>
      <c r="Q3" s="99"/>
      <c r="R3" s="99"/>
      <c r="S3" s="99"/>
      <c r="T3" s="99"/>
      <c r="U3" s="99"/>
      <c r="V3" s="99"/>
      <c r="W3" s="99"/>
      <c r="X3" s="99"/>
    </row>
    <row r="4" spans="1:24" ht="24" customHeight="1">
      <c r="A4" s="104" t="s">
        <v>1295</v>
      </c>
      <c r="B4" s="103"/>
      <c r="C4" s="103"/>
      <c r="D4" s="103"/>
      <c r="E4" s="103"/>
      <c r="F4" s="103"/>
      <c r="G4" s="103"/>
      <c r="H4" s="103"/>
      <c r="I4" s="103"/>
      <c r="J4" s="99"/>
      <c r="K4" s="99"/>
      <c r="L4" s="99"/>
      <c r="M4" s="99"/>
      <c r="N4" s="99"/>
      <c r="O4" s="99"/>
      <c r="P4" s="99"/>
      <c r="Q4" s="99"/>
      <c r="R4" s="99"/>
      <c r="S4" s="99"/>
      <c r="T4" s="99"/>
      <c r="U4" s="99"/>
      <c r="V4" s="99"/>
      <c r="W4" s="99"/>
      <c r="X4" s="99"/>
    </row>
    <row r="5" spans="1:24" ht="25.05" customHeight="1">
      <c r="A5" s="98"/>
      <c r="B5" s="98"/>
      <c r="C5" s="98"/>
      <c r="D5" s="98"/>
      <c r="E5" s="98"/>
      <c r="F5" s="98"/>
      <c r="G5" s="98"/>
      <c r="H5" s="98"/>
      <c r="I5" s="98"/>
      <c r="J5" s="99"/>
      <c r="K5" s="99"/>
      <c r="L5" s="99"/>
      <c r="M5" s="99"/>
      <c r="N5" s="99"/>
      <c r="O5" s="99"/>
      <c r="P5" s="99"/>
      <c r="Q5" s="99"/>
      <c r="R5" s="99"/>
      <c r="S5" s="99"/>
      <c r="T5" s="99"/>
      <c r="U5" s="99"/>
      <c r="V5" s="99"/>
      <c r="W5" s="99"/>
      <c r="X5" s="99"/>
    </row>
    <row r="6" spans="1:24" ht="25.05" customHeight="1">
      <c r="A6" s="98"/>
      <c r="B6" s="98"/>
      <c r="C6" s="98"/>
      <c r="D6" s="98"/>
      <c r="E6" s="98"/>
      <c r="F6" s="98"/>
      <c r="G6" s="98"/>
      <c r="H6" s="98"/>
      <c r="I6" s="98"/>
      <c r="J6" s="99"/>
      <c r="K6" s="99"/>
      <c r="L6" s="99"/>
      <c r="M6" s="99"/>
      <c r="N6" s="99"/>
      <c r="O6" s="99"/>
      <c r="P6" s="99"/>
      <c r="Q6" s="99"/>
      <c r="R6" s="99"/>
      <c r="S6" s="99"/>
      <c r="T6" s="99"/>
      <c r="U6" s="99"/>
      <c r="V6" s="99"/>
      <c r="W6" s="99"/>
      <c r="X6" s="99"/>
    </row>
    <row r="7" spans="1:24">
      <c r="A7" s="99"/>
      <c r="B7" s="99"/>
      <c r="C7" s="99"/>
      <c r="D7" s="99"/>
      <c r="E7" s="99"/>
      <c r="F7" s="99"/>
      <c r="G7" s="99"/>
      <c r="H7" s="99"/>
      <c r="I7" s="99"/>
      <c r="J7" s="99"/>
      <c r="K7" s="99"/>
      <c r="L7" s="99"/>
      <c r="M7" s="99"/>
      <c r="N7" s="99"/>
      <c r="O7" s="99"/>
      <c r="P7" s="99"/>
      <c r="Q7" s="99"/>
      <c r="R7" s="99"/>
      <c r="S7" s="99"/>
      <c r="T7" s="99"/>
      <c r="U7" s="99"/>
      <c r="V7" s="99"/>
      <c r="W7" s="99"/>
      <c r="X7" s="99"/>
    </row>
    <row r="8" spans="1:24" ht="25.95" customHeight="1">
      <c r="A8" s="105" t="s">
        <v>1007</v>
      </c>
      <c r="B8" s="105"/>
      <c r="C8" s="105" t="s">
        <v>1008</v>
      </c>
      <c r="D8" s="105"/>
      <c r="E8" s="105" t="s">
        <v>1009</v>
      </c>
      <c r="F8" s="105"/>
      <c r="G8" s="105" t="s">
        <v>1010</v>
      </c>
      <c r="H8" s="105"/>
      <c r="I8" s="105"/>
      <c r="J8" s="99"/>
      <c r="K8" s="99"/>
      <c r="L8" s="99"/>
      <c r="M8" s="99"/>
      <c r="N8" s="99"/>
      <c r="O8" s="99"/>
      <c r="P8" s="99"/>
      <c r="Q8" s="99"/>
      <c r="R8" s="99"/>
      <c r="S8" s="99"/>
      <c r="T8" s="99"/>
      <c r="U8" s="99"/>
      <c r="V8" s="99"/>
      <c r="W8" s="99"/>
      <c r="X8" s="99"/>
    </row>
    <row r="9" spans="1:24" ht="28.95" customHeight="1">
      <c r="A9" s="93" t="str">
        <f>IF(COUNTIFS(tTQMPBBugete[Stare],"Aprobat")=0,"n.a.",SUM(tTQMProiecteBugete[Buget_aprobat_net_RON]))</f>
        <v>n.a.</v>
      </c>
      <c r="B9" s="93"/>
      <c r="C9" s="93">
        <f>SUM(tTQMProiecteBugete[Facturat_net_RON])</f>
        <v>0</v>
      </c>
      <c r="D9" s="93"/>
      <c r="E9" s="93">
        <f>IF(SUM(tTQMProiecteBugete[Nr_semnale_de_clarificat])&gt;0,"n.a.",SUM(tTQMProiecteBugete[Comenzi_nefacturate_net_RON]))</f>
        <v>0</v>
      </c>
      <c r="F9" s="93"/>
      <c r="G9" s="93">
        <f>SUM(tTQMProiecteBugete[Sold_cu_TVA_RON])</f>
        <v>0</v>
      </c>
      <c r="H9" s="93"/>
      <c r="I9" s="93"/>
      <c r="J9" s="99"/>
      <c r="K9" s="99"/>
      <c r="L9" s="99"/>
      <c r="M9" s="99"/>
      <c r="N9" s="99"/>
      <c r="O9" s="99"/>
      <c r="P9" s="99"/>
      <c r="Q9" s="99"/>
      <c r="R9" s="99"/>
      <c r="S9" s="99"/>
      <c r="T9" s="99"/>
      <c r="U9" s="99"/>
      <c r="V9" s="99"/>
      <c r="W9" s="99"/>
      <c r="X9" s="99"/>
    </row>
    <row r="10" spans="1:24">
      <c r="A10" s="99"/>
      <c r="B10" s="99"/>
      <c r="C10" s="99"/>
      <c r="D10" s="99"/>
      <c r="E10" s="99"/>
      <c r="F10" s="99"/>
      <c r="G10" s="99"/>
      <c r="H10" s="99"/>
      <c r="I10" s="99"/>
      <c r="J10" s="99"/>
      <c r="K10" s="99"/>
      <c r="L10" s="99"/>
      <c r="M10" s="99"/>
      <c r="N10" s="99"/>
      <c r="O10" s="99"/>
      <c r="P10" s="99"/>
      <c r="Q10" s="99"/>
      <c r="R10" s="99"/>
      <c r="S10" s="99"/>
      <c r="T10" s="99"/>
      <c r="U10" s="99"/>
      <c r="V10" s="99"/>
      <c r="W10" s="99"/>
      <c r="X10" s="99"/>
    </row>
    <row r="11" spans="1:24" ht="24" customHeight="1">
      <c r="A11" s="104" t="s">
        <v>1236</v>
      </c>
      <c r="B11" s="102"/>
      <c r="C11" s="102"/>
      <c r="D11" s="102"/>
      <c r="E11" s="102"/>
      <c r="F11" s="102"/>
      <c r="G11" s="102"/>
      <c r="H11" s="102"/>
      <c r="I11" s="102"/>
      <c r="J11" s="99"/>
      <c r="K11" s="99"/>
      <c r="L11" s="99"/>
      <c r="M11" s="99"/>
      <c r="N11" s="99"/>
      <c r="O11" s="99"/>
      <c r="P11" s="99"/>
      <c r="Q11" s="99"/>
      <c r="R11" s="99"/>
      <c r="S11" s="99"/>
      <c r="T11" s="99"/>
      <c r="U11" s="99"/>
      <c r="V11" s="99"/>
      <c r="W11" s="99"/>
      <c r="X11" s="99"/>
    </row>
    <row r="12" spans="1:24" ht="43.95" customHeight="1">
      <c r="A12" s="83" t="s">
        <v>458</v>
      </c>
      <c r="B12" s="83" t="s">
        <v>60</v>
      </c>
      <c r="C12" s="84" t="s">
        <v>1012</v>
      </c>
      <c r="D12" s="84" t="s">
        <v>1013</v>
      </c>
      <c r="E12" s="84" t="s">
        <v>1014</v>
      </c>
      <c r="F12" s="84" t="s">
        <v>1015</v>
      </c>
      <c r="G12" s="84" t="s">
        <v>1016</v>
      </c>
      <c r="H12" s="95" t="s">
        <v>1017</v>
      </c>
      <c r="I12" s="83" t="s">
        <v>40</v>
      </c>
      <c r="J12" s="84" t="s">
        <v>1018</v>
      </c>
      <c r="K12" s="84" t="s">
        <v>1019</v>
      </c>
      <c r="L12" s="84" t="s">
        <v>1020</v>
      </c>
      <c r="M12" s="84" t="s">
        <v>1021</v>
      </c>
      <c r="N12" s="84" t="s">
        <v>1022</v>
      </c>
      <c r="O12" s="84" t="s">
        <v>1023</v>
      </c>
      <c r="P12" s="84" t="s">
        <v>1024</v>
      </c>
      <c r="Q12" s="84" t="s">
        <v>1025</v>
      </c>
      <c r="R12" s="83" t="s">
        <v>1026</v>
      </c>
      <c r="S12" s="83" t="s">
        <v>1027</v>
      </c>
      <c r="T12" s="84" t="s">
        <v>1028</v>
      </c>
      <c r="U12" s="83" t="s">
        <v>1029</v>
      </c>
      <c r="V12" s="83" t="s">
        <v>457</v>
      </c>
      <c r="W12" s="83" t="s">
        <v>62</v>
      </c>
      <c r="X12" s="96" t="s">
        <v>76</v>
      </c>
    </row>
    <row r="13" spans="1:24" ht="34.950000000000003" customHeight="1">
      <c r="A13" s="78" t="s">
        <v>1030</v>
      </c>
      <c r="B13" s="78" t="s">
        <v>1233</v>
      </c>
      <c r="C13" s="79" t="str">
        <f>IF(LEN($V13)=0,"",IF(COUNTIFS(_TQM_PB_BU!$B$13,$V13,_TQM_PB_BU!$E$13,"Aprobat")=1,SUMIFS(_TQM_PB_BU!$D$13,_TQM_PB_BU!$B$13,$V13,_TQM_PB_BU!$E$13,"Aprobat"),"n.a."))</f>
        <v>n.a.</v>
      </c>
      <c r="D13" s="79">
        <f>IF(LEN($V13)=0,"",SUMIFS(_TQM_PB_FACT!$H$13:$H$14,_TQM_PB_FACT!$C$13:$C$14,$V13))</f>
        <v>0</v>
      </c>
      <c r="E13" s="79">
        <f>IF(LEN($V13)=0,"",IF($R13&gt;0,"n.a.",SUMIFS(_TQM_PB_COM!$K$13:$K$14,_TQM_PB_COM!$C$13:$C$14,$V13)))</f>
        <v>0</v>
      </c>
      <c r="F13" s="79">
        <f t="shared" ref="F13:F14" si="0">IF(LEN($V13)=0,"",IF(ISNUMBER($E13),ROUND($D13+$E13,2),"n.a."))</f>
        <v>0</v>
      </c>
      <c r="G13" s="79" t="str">
        <f t="shared" ref="G13:G14" si="1">IF(LEN($V13)=0,"",IF(AND(ISNUMBER($C13),ISNUMBER($F13)),ROUND($C13-$F13,2),"n.a."))</f>
        <v>n.a.</v>
      </c>
      <c r="H13" s="80" t="str">
        <f t="shared" ref="H13:H14" si="2">IF(LEN($V13)=0,"",IF(AND(ISNUMBER($C13),ISNUMBER($F13),$C13&gt;0),$F13/$C13,"n.a."))</f>
        <v>n.a.</v>
      </c>
      <c r="I13" s="81" t="str">
        <f t="shared" ref="I13:I14" si="3">IF(LEN($V13)=0,"",IF($V13="NEALOCAT","INREGISTRATI PROIECTELE",IF($R13&gt;0,"CLARIFICATI FACTURILE",IF(NOT(ISNUMBER($C13)),"STABILITI / APROBATI BUGETUL",IF($G13&lt;0,"BUGET DEPASIT",IF($M13&gt;0,"PLATI RESTANTE",IF($U13&lt;&gt;"Activ","PROIECT INACTIV / DE VERIFICAT",IF($S13&gt;0,"VERIFICATI ALOCAREA PE POZITII","IN BUGET"))))))))</f>
        <v>INREGISTRATI PROIECTELE</v>
      </c>
      <c r="J13" s="79">
        <f>IF(LEN($V13)=0,"",SUMIFS(_TQM_PB_COM!$L$13:$L$14,_TQM_PB_COM!$C$13:$C$14,$V13))</f>
        <v>0</v>
      </c>
      <c r="K13" s="79">
        <f>IF(LEN($V13)=0,"",SUMIFS(_TQM_PB_FACT!$V$13:$V$14,_TQM_PB_FACT!$C$13:$C$14,$V13))</f>
        <v>0</v>
      </c>
      <c r="L13" s="79">
        <f>IF(LEN($V13)=0,"",SUMIFS(_TQM_PB_FACT!$L$13:$L$14,_TQM_PB_FACT!$C$13:$C$14,$V13))</f>
        <v>0</v>
      </c>
      <c r="M13" s="79">
        <f>IF(LEN($V13)=0,"",SUMIFS(_TQM_PB_FACT!$X$13:$X$14,_TQM_PB_FACT!$C$13:$C$14,$V13))</f>
        <v>0</v>
      </c>
      <c r="N13" s="79">
        <f>IF(LEN($V13)=0,"",SUMIFS(_TQM_PB_FACT!$I$13:$I$14,_TQM_PB_FACT!$C$13:$C$14,$V13))</f>
        <v>0</v>
      </c>
      <c r="O13" s="79">
        <f>IF(LEN($V13)=0,"",SUMIFS(_TQM_PB_FACT!$J$13:$J$14,_TQM_PB_FACT!$C$13:$C$14,$V13))</f>
        <v>0</v>
      </c>
      <c r="P13" s="79">
        <f>IF(LEN($V13)=0,"",SUMIFS(_TQM_PB_FACT!$W$13:$W$14,_TQM_PB_FACT!$C$13:$C$14,$V13))</f>
        <v>0</v>
      </c>
      <c r="Q13" s="79">
        <f>IF(LEN($V13)=0,"",SUMIFS(_TQM_PB_FACT!$Y$13:$Y$14,_TQM_PB_FACT!$C$13:$C$14,$V13))</f>
        <v>0</v>
      </c>
      <c r="R13" s="78">
        <f>IF(LEN($V13)=0,"",COUNTIFS(_TQM_PB_FACT!$C$13:$C$14,$V13,_TQM_PB_FACT!$R$13:$R$14,1)+SUMIFS(_TQM_PB_COM!$M$13:$M$14,_TQM_PB_COM!$C$13:$C$14,$V13))</f>
        <v>0</v>
      </c>
      <c r="S13" s="78">
        <f>IF(LEN($V13)=0,"",COUNTIFS(_TQM_PB_FACT!$O$13:$O$14,$V13,_TQM_PB_FACT!$S$13:$S$14,1,_TQM_PB_FACT!$Q$13:$Q$14,"Comanda"))</f>
        <v>0</v>
      </c>
      <c r="T13" s="79" t="str">
        <f>IF(LEN($V13)=0,"",IF(COUNTIFS(_TQM_PB_BU!$B$13,$V13,_TQM_PB_BU!$E$13,"Ciorna")=1,SUMIFS(_TQM_PB_BU!$D$13,_TQM_PB_BU!$B$13,$V13,_TQM_PB_BU!$E$13,"Ciorna"),""))</f>
        <v/>
      </c>
      <c r="U13" s="78" t="s">
        <v>168</v>
      </c>
      <c r="V13" s="78" t="s">
        <v>1031</v>
      </c>
      <c r="W13" s="78"/>
      <c r="X13" s="82">
        <v>46308.846261574072</v>
      </c>
    </row>
    <row r="14" spans="1:24" ht="34.950000000000003" customHeight="1">
      <c r="C14" s="85" t="str">
        <f>IF(LEN($V14)=0,"",IF(COUNTIFS(_TQM_PB_BU!$B$13,$V14,_TQM_PB_BU!$E$13,"Aprobat")=1,SUMIFS(_TQM_PB_BU!$D$13,_TQM_PB_BU!$B$13,$V14,_TQM_PB_BU!$E$13,"Aprobat"),"n.a."))</f>
        <v/>
      </c>
      <c r="D14" s="85" t="str">
        <f>IF(LEN($V14)=0,"",SUMIFS(_TQM_PB_FACT!$H$13:$H$14,_TQM_PB_FACT!$C$13:$C$14,$V14))</f>
        <v/>
      </c>
      <c r="E14" s="85" t="str">
        <f>IF(LEN($V14)=0,"",IF($R14&gt;0,"n.a.",SUMIFS(_TQM_PB_COM!$K$13:$K$14,_TQM_PB_COM!$C$13:$C$14,$V14)))</f>
        <v/>
      </c>
      <c r="F14" s="85" t="str">
        <f t="shared" si="0"/>
        <v/>
      </c>
      <c r="G14" s="85" t="str">
        <f t="shared" si="1"/>
        <v/>
      </c>
      <c r="H14" s="86" t="str">
        <f t="shared" si="2"/>
        <v/>
      </c>
      <c r="I14" s="97" t="str">
        <f t="shared" si="3"/>
        <v/>
      </c>
      <c r="J14" s="85" t="str">
        <f>IF(LEN($V14)=0,"",SUMIFS(_TQM_PB_COM!$L$13:$L$14,_TQM_PB_COM!$C$13:$C$14,$V14))</f>
        <v/>
      </c>
      <c r="K14" s="85" t="str">
        <f>IF(LEN($V14)=0,"",SUMIFS(_TQM_PB_FACT!$V$13:$V$14,_TQM_PB_FACT!$C$13:$C$14,$V14))</f>
        <v/>
      </c>
      <c r="L14" s="85" t="str">
        <f>IF(LEN($V14)=0,"",SUMIFS(_TQM_PB_FACT!$L$13:$L$14,_TQM_PB_FACT!$C$13:$C$14,$V14))</f>
        <v/>
      </c>
      <c r="M14" s="85" t="str">
        <f>IF(LEN($V14)=0,"",SUMIFS(_TQM_PB_FACT!$X$13:$X$14,_TQM_PB_FACT!$C$13:$C$14,$V14))</f>
        <v/>
      </c>
      <c r="N14" s="85" t="str">
        <f>IF(LEN($V14)=0,"",SUMIFS(_TQM_PB_FACT!$I$13:$I$14,_TQM_PB_FACT!$C$13:$C$14,$V14))</f>
        <v/>
      </c>
      <c r="O14" s="85" t="str">
        <f>IF(LEN($V14)=0,"",SUMIFS(_TQM_PB_FACT!$J$13:$J$14,_TQM_PB_FACT!$C$13:$C$14,$V14))</f>
        <v/>
      </c>
      <c r="P14" s="85" t="str">
        <f>IF(LEN($V14)=0,"",SUMIFS(_TQM_PB_FACT!$W$13:$W$14,_TQM_PB_FACT!$C$13:$C$14,$V14))</f>
        <v/>
      </c>
      <c r="Q14" s="85" t="str">
        <f>IF(LEN($V14)=0,"",SUMIFS(_TQM_PB_FACT!$Y$13:$Y$14,_TQM_PB_FACT!$C$13:$C$14,$V14))</f>
        <v/>
      </c>
      <c r="R14" s="38" t="str">
        <f>IF(LEN($V14)=0,"",COUNTIFS(_TQM_PB_FACT!$C$13:$C$14,$V14,_TQM_PB_FACT!$R$13:$R$14,1)+SUMIFS(_TQM_PB_COM!$M$13:$M$14,_TQM_PB_COM!$C$13:$C$14,$V14))</f>
        <v/>
      </c>
      <c r="S14" s="38" t="str">
        <f>IF(LEN($V14)=0,"",COUNTIFS(_TQM_PB_FACT!$O$13:$O$14,$V14,_TQM_PB_FACT!$S$13:$S$14,1,_TQM_PB_FACT!$Q$13:$Q$14,"Comanda"))</f>
        <v/>
      </c>
      <c r="T14" s="85" t="str">
        <f>IF(LEN($V14)=0,"",IF(COUNTIFS(_TQM_PB_BU!$B$13,$V14,_TQM_PB_BU!$E$13,"Ciorna")=1,SUMIFS(_TQM_PB_BU!$D$13,_TQM_PB_BU!$B$13,$V14,_TQM_PB_BU!$E$13,"Ciorna"),""))</f>
        <v/>
      </c>
      <c r="X14" s="49"/>
    </row>
  </sheetData>
  <sheetProtection sheet="1" objects="1" scenarios="1" autoFilter="0"/>
  <conditionalFormatting sqref="I13:I1012">
    <cfRule type="expression" dxfId="233" priority="1">
      <formula>$I13="BUGET DEPASIT"</formula>
    </cfRule>
    <cfRule type="expression" dxfId="232" priority="2">
      <formula>$I13="INREGISTRATI PROIECTELE"</formula>
    </cfRule>
    <cfRule type="expression" dxfId="231" priority="3">
      <formula>$I13="CLARIFICATI FACTURILE"</formula>
    </cfRule>
    <cfRule type="expression" dxfId="230" priority="4">
      <formula>$I13="PLATI RESTANTE"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6"/>
  <dimension ref="A12:K13"/>
  <sheetViews>
    <sheetView showGridLines="0" zoomScale="85" workbookViewId="0"/>
  </sheetViews>
  <sheetFormatPr defaultRowHeight="13.8"/>
  <cols>
    <col min="1" max="16384" width="8.88671875" style="38"/>
  </cols>
  <sheetData>
    <row r="12" spans="1:11" ht="43.95" customHeight="1">
      <c r="A12" s="83" t="s">
        <v>1032</v>
      </c>
      <c r="B12" s="83" t="s">
        <v>457</v>
      </c>
      <c r="C12" s="83" t="s">
        <v>74</v>
      </c>
      <c r="D12" s="84" t="s">
        <v>1033</v>
      </c>
      <c r="E12" s="83" t="s">
        <v>64</v>
      </c>
      <c r="F12" s="83" t="s">
        <v>5</v>
      </c>
      <c r="G12" s="83" t="s">
        <v>1034</v>
      </c>
      <c r="H12" s="83" t="s">
        <v>1035</v>
      </c>
      <c r="I12" s="83" t="s">
        <v>98</v>
      </c>
      <c r="J12" s="83" t="s">
        <v>75</v>
      </c>
      <c r="K12" s="83" t="s">
        <v>1036</v>
      </c>
    </row>
    <row r="13" spans="1:11" ht="24" customHeight="1">
      <c r="A13" s="78"/>
      <c r="B13" s="78"/>
      <c r="C13" s="78"/>
      <c r="D13" s="79"/>
      <c r="E13" s="78"/>
      <c r="F13" s="78"/>
      <c r="G13" s="78"/>
      <c r="H13" s="78"/>
      <c r="I13" s="78"/>
      <c r="J13" s="78"/>
      <c r="K13" s="78"/>
    </row>
  </sheetData>
  <sheetProtection sheet="1" objects="1" scenarios="1" autoFilter="0"/>
  <pageMargins left="0.7" right="0.7" top="0.75" bottom="0.75" header="0.3" footer="0.3"/>
  <tableParts count="1">
    <tablePart r:id="rId1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7"/>
  <dimension ref="A12:Q14"/>
  <sheetViews>
    <sheetView showGridLines="0" zoomScale="85" workbookViewId="0"/>
  </sheetViews>
  <sheetFormatPr defaultRowHeight="13.8"/>
  <cols>
    <col min="1" max="16384" width="8.88671875" style="38"/>
  </cols>
  <sheetData>
    <row r="12" spans="1:17" ht="43.95" customHeight="1">
      <c r="A12" s="83" t="s">
        <v>77</v>
      </c>
      <c r="B12" s="83" t="s">
        <v>57</v>
      </c>
      <c r="C12" s="83" t="s">
        <v>457</v>
      </c>
      <c r="D12" s="83" t="s">
        <v>60</v>
      </c>
      <c r="E12" s="83" t="s">
        <v>79</v>
      </c>
      <c r="F12" s="83" t="s">
        <v>82</v>
      </c>
      <c r="G12" s="83" t="s">
        <v>86</v>
      </c>
      <c r="H12" s="83" t="s">
        <v>85</v>
      </c>
      <c r="I12" s="83" t="s">
        <v>83</v>
      </c>
      <c r="J12" s="83" t="s">
        <v>84</v>
      </c>
      <c r="K12" s="83" t="s">
        <v>1037</v>
      </c>
      <c r="L12" s="84" t="s">
        <v>1038</v>
      </c>
      <c r="M12" s="84" t="s">
        <v>1039</v>
      </c>
      <c r="N12" s="84" t="s">
        <v>1018</v>
      </c>
      <c r="O12" s="84" t="s">
        <v>1040</v>
      </c>
      <c r="P12" s="83" t="s">
        <v>1041</v>
      </c>
      <c r="Q12" s="83" t="s">
        <v>58</v>
      </c>
    </row>
    <row r="13" spans="1:17" ht="24" customHeight="1">
      <c r="A13" s="78"/>
      <c r="B13" s="78"/>
      <c r="C13" s="78"/>
      <c r="D13" s="78"/>
      <c r="E13" s="78"/>
      <c r="F13" s="78"/>
      <c r="G13" s="78"/>
      <c r="H13" s="78"/>
      <c r="I13" s="78"/>
      <c r="J13" s="78"/>
      <c r="K13" s="78"/>
      <c r="L13" s="79" t="str">
        <f t="shared" ref="L13:L14" si="0">IF(LEN($A13)=0,"",IF($K13=1,ROUND(MAX(0,$F13-$G13)*$I13*(1-$J13/100),2),0))</f>
        <v/>
      </c>
      <c r="M13" s="79" t="str">
        <f t="shared" ref="M13:M14" si="1">IF(LEN($A13)=0,"",IF($K13=1,MAX(0,ROUND($L13-$O13,2)),0))</f>
        <v/>
      </c>
      <c r="N13" s="79" t="str">
        <f t="shared" ref="N13:N14" si="2">IF(LEN($A13)=0,"",IF($K13=1,ROUND(MAX(0,$F13-$G13-$H13)*$I13*(1-$J13/100),2),0))</f>
        <v/>
      </c>
      <c r="O13" s="79" t="str">
        <f>IF(LEN($A13)=0,"",SUMIFS(_TQM_PB_FACT!$H$13:$H$14,_TQM_PB_FACT!$N$13:$N$14,$A13,_TQM_PB_FACT!$Q$13:$Q$14,"Comanda"))</f>
        <v/>
      </c>
      <c r="P13" s="78"/>
      <c r="Q13" s="78"/>
    </row>
    <row r="14" spans="1:17">
      <c r="L14" s="85" t="str">
        <f t="shared" si="0"/>
        <v/>
      </c>
      <c r="M14" s="85" t="str">
        <f t="shared" si="1"/>
        <v/>
      </c>
      <c r="N14" s="85" t="str">
        <f t="shared" si="2"/>
        <v/>
      </c>
      <c r="O14" s="85" t="str">
        <f>IF(LEN($A14)=0,"",SUMIFS(_TQM_PB_FACT!$H$13:$H$14,_TQM_PB_FACT!$N$13:$N$14,$A14,_TQM_PB_FACT!$Q$13:$Q$14,"Comanda"))</f>
        <v/>
      </c>
    </row>
  </sheetData>
  <sheetProtection sheet="1" objects="1" scenarios="1" autoFilter="0"/>
  <pageMargins left="0.7" right="0.7" top="0.75" bottom="0.75" header="0.3" footer="0.3"/>
  <tableParts count="1">
    <tablePart r:id="rId1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8"/>
  <dimension ref="A12:M14"/>
  <sheetViews>
    <sheetView showGridLines="0" zoomScale="85" workbookViewId="0"/>
  </sheetViews>
  <sheetFormatPr defaultRowHeight="13.8"/>
  <cols>
    <col min="1" max="16384" width="8.88671875" style="38"/>
  </cols>
  <sheetData>
    <row r="12" spans="1:13" ht="43.95" customHeight="1">
      <c r="A12" s="83" t="s">
        <v>1041</v>
      </c>
      <c r="B12" s="83" t="s">
        <v>57</v>
      </c>
      <c r="C12" s="83" t="s">
        <v>457</v>
      </c>
      <c r="D12" s="83" t="s">
        <v>60</v>
      </c>
      <c r="E12" s="83" t="s">
        <v>58</v>
      </c>
      <c r="F12" s="83" t="s">
        <v>1037</v>
      </c>
      <c r="G12" s="84" t="s">
        <v>1042</v>
      </c>
      <c r="H12" s="84" t="s">
        <v>1043</v>
      </c>
      <c r="I12" s="84" t="s">
        <v>1044</v>
      </c>
      <c r="J12" s="84" t="s">
        <v>1045</v>
      </c>
      <c r="K12" s="84" t="s">
        <v>1046</v>
      </c>
      <c r="L12" s="84" t="s">
        <v>67</v>
      </c>
      <c r="M12" s="83" t="s">
        <v>1047</v>
      </c>
    </row>
    <row r="13" spans="1:13" ht="24" customHeight="1">
      <c r="A13" s="78"/>
      <c r="B13" s="78"/>
      <c r="C13" s="78"/>
      <c r="D13" s="78"/>
      <c r="E13" s="78"/>
      <c r="F13" s="78"/>
      <c r="G13" s="79"/>
      <c r="H13" s="79" t="str">
        <f>IF(LEN($A13)=0,"",SUMIFS(_TQM_PB_POS!$L$13:$L$14,_TQM_PB_POS!$P$13:$P$14,$A13))</f>
        <v/>
      </c>
      <c r="I13" s="79" t="str">
        <f>IF(LEN($A13)=0,"",SUMIFS(_TQM_PB_POS!$M$13:$M$14,_TQM_PB_POS!$P$13:$P$14,$A13))</f>
        <v/>
      </c>
      <c r="J13" s="79" t="str">
        <f>IF(LEN($A13)=0,"",SUMIFS(_TQM_PB_FACT!$H$13:$H$14,_TQM_PB_FACT!$P$13:$P$14,$A13,_TQM_PB_FACT!$S$13:$S$14,1,_TQM_PB_FACT!$Q$13:$Q$14,"Comanda"))</f>
        <v/>
      </c>
      <c r="K13" s="79" t="str">
        <f t="shared" ref="K13:K14" si="0">IF(LEN($A13)=0,"",IF($F13=1,MAX(0,ROUND($I13+$G13-$J13,2)),0))</f>
        <v/>
      </c>
      <c r="L13" s="79" t="str">
        <f>IF(LEN($A13)=0,"",SUMIFS(_TQM_PB_POS!$N$13:$N$14,_TQM_PB_POS!$P$13:$P$14,$A13))</f>
        <v/>
      </c>
      <c r="M13" s="78" t="str">
        <f>IF(LEN($A13)=0,"",COUNTIFS(_TQM_PB_FACT!$M$13:$M$14,$B13,_TQM_PB_FACT!$R$13:$R$14,1))</f>
        <v/>
      </c>
    </row>
    <row r="14" spans="1:13">
      <c r="G14" s="85"/>
      <c r="H14" s="85" t="str">
        <f>IF(LEN($A14)=0,"",SUMIFS(_TQM_PB_POS!$L$13:$L$14,_TQM_PB_POS!$P$13:$P$14,$A14))</f>
        <v/>
      </c>
      <c r="I14" s="85" t="str">
        <f>IF(LEN($A14)=0,"",SUMIFS(_TQM_PB_POS!$M$13:$M$14,_TQM_PB_POS!$P$13:$P$14,$A14))</f>
        <v/>
      </c>
      <c r="J14" s="85" t="str">
        <f>IF(LEN($A14)=0,"",SUMIFS(_TQM_PB_FACT!$H$13:$H$14,_TQM_PB_FACT!$P$13:$P$14,$A14,_TQM_PB_FACT!$S$13:$S$14,1,_TQM_PB_FACT!$Q$13:$Q$14,"Comanda"))</f>
        <v/>
      </c>
      <c r="K14" s="85" t="str">
        <f t="shared" si="0"/>
        <v/>
      </c>
      <c r="L14" s="85" t="str">
        <f>IF(LEN($A14)=0,"",SUMIFS(_TQM_PB_POS!$N$13:$N$14,_TQM_PB_POS!$P$13:$P$14,$A14))</f>
        <v/>
      </c>
      <c r="M14" s="38" t="str">
        <f>IF(LEN($A14)=0,"",COUNTIFS(_TQM_PB_FACT!$M$13:$M$14,$B14,_TQM_PB_FACT!$R$13:$R$14,1))</f>
        <v/>
      </c>
    </row>
  </sheetData>
  <sheetProtection sheet="1" objects="1" scenarios="1" autoFilter="0"/>
  <pageMargins left="0.7" right="0.7" top="0.75" bottom="0.75" header="0.3" footer="0.3"/>
  <tableParts count="1">
    <tablePart r:id="rId1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9"/>
  <dimension ref="A12:Y14"/>
  <sheetViews>
    <sheetView showGridLines="0" zoomScale="85" workbookViewId="0"/>
  </sheetViews>
  <sheetFormatPr defaultRowHeight="13.8"/>
  <cols>
    <col min="1" max="16384" width="8.88671875" style="38"/>
  </cols>
  <sheetData>
    <row r="12" spans="1:25" ht="43.95" customHeight="1">
      <c r="A12" s="83" t="s">
        <v>134</v>
      </c>
      <c r="B12" s="83" t="s">
        <v>132</v>
      </c>
      <c r="C12" s="83" t="s">
        <v>457</v>
      </c>
      <c r="D12" s="83" t="s">
        <v>60</v>
      </c>
      <c r="E12" s="83" t="s">
        <v>119</v>
      </c>
      <c r="F12" s="83" t="s">
        <v>120</v>
      </c>
      <c r="G12" s="83" t="s">
        <v>123</v>
      </c>
      <c r="H12" s="84" t="s">
        <v>124</v>
      </c>
      <c r="I12" s="84" t="s">
        <v>125</v>
      </c>
      <c r="J12" s="84" t="s">
        <v>126</v>
      </c>
      <c r="K12" s="84" t="s">
        <v>127</v>
      </c>
      <c r="L12" s="84" t="s">
        <v>128</v>
      </c>
      <c r="M12" s="83" t="s">
        <v>1048</v>
      </c>
      <c r="N12" s="83" t="s">
        <v>1049</v>
      </c>
      <c r="O12" s="83" t="s">
        <v>1050</v>
      </c>
      <c r="P12" s="83" t="s">
        <v>1041</v>
      </c>
      <c r="Q12" s="83" t="s">
        <v>1051</v>
      </c>
      <c r="R12" s="83" t="s">
        <v>1052</v>
      </c>
      <c r="S12" s="83" t="s">
        <v>1053</v>
      </c>
      <c r="T12" s="83" t="s">
        <v>135</v>
      </c>
      <c r="U12" s="83" t="s">
        <v>137</v>
      </c>
      <c r="V12" s="84" t="s">
        <v>1054</v>
      </c>
      <c r="W12" s="84" t="s">
        <v>1055</v>
      </c>
      <c r="X12" s="84" t="s">
        <v>1056</v>
      </c>
      <c r="Y12" s="84" t="s">
        <v>1057</v>
      </c>
    </row>
    <row r="13" spans="1:25" ht="24" customHeight="1">
      <c r="A13" s="78"/>
      <c r="B13" s="78"/>
      <c r="C13" s="78"/>
      <c r="D13" s="78"/>
      <c r="E13" s="78"/>
      <c r="F13" s="78"/>
      <c r="G13" s="78"/>
      <c r="H13" s="79"/>
      <c r="I13" s="79"/>
      <c r="J13" s="79" t="str">
        <f t="shared" ref="J13:J14" si="0">IF(LEN($A13)=0,"",ROUND($H13+$I13,2))</f>
        <v/>
      </c>
      <c r="K13" s="79" t="str">
        <f>IF(LEN($A13)=0,"",ROUND(SUMIFS(_TQM_FP_PLATI!$G$2:$G$10,_TQM_FP_PLATI!$D$2:$D$10,$A13,_TQM_FP_PLATI!$N$2:$N$10,"Valida"),2))</f>
        <v/>
      </c>
      <c r="L13" s="79" t="str">
        <f t="shared" ref="L13:L14" si="1">IF(LEN($A13)=0,"",ROUND($J13-$K13,2))</f>
        <v/>
      </c>
      <c r="M13" s="78"/>
      <c r="N13" s="78"/>
      <c r="O13" s="78"/>
      <c r="P13" s="78"/>
      <c r="Q13" s="78"/>
      <c r="R13" s="78"/>
      <c r="S13" s="78"/>
      <c r="T13" s="78"/>
      <c r="U13" s="78"/>
      <c r="V13" s="79" t="str">
        <f>IF(LEN($A13)=0,"",ROUND(SUMIFS(_TQM_FP_PLATI!$G$2:$G$10,_TQM_FP_PLATI!$D$2:$D$10,$A13,_TQM_FP_PLATI!$N$2:$N$10,"Valida",_TQM_FP_PLATI!$H$2:$H$10,"Plata")+SUMIFS(_TQM_FP_PLATI!$G$2:$G$10,_TQM_FP_PLATI!$D$2:$D$10,$A13,_TQM_FP_PLATI!$N$2:$N$10,"Valida",_TQM_FP_PLATI!$H$2:$H$10,"Restituire"),2))</f>
        <v/>
      </c>
      <c r="W13" s="79" t="str">
        <f>IF(LEN($A13)=0,"",SUMIFS(_TQM_FP_PLATI!$G$2:$G$10,_TQM_FP_PLATI!$D$2:$D$10,$A13,_TQM_FP_PLATI!$N$2:$N$10,"Valida",_TQM_FP_PLATI!$H$2:$H$10,"Compensare"))</f>
        <v/>
      </c>
      <c r="X13" s="79" t="str">
        <f t="shared" ref="X13:X14" ca="1" si="2">IF(LEN($A13)=0,"",IF(AND($L13&gt;0,$G13&lt;TODAY()),$L13,0))</f>
        <v/>
      </c>
      <c r="Y13" s="79" t="str">
        <f t="shared" ref="Y13:Y14" si="3">IF(LEN($A13)=0,"",MAX(0,-$L13))</f>
        <v/>
      </c>
    </row>
    <row r="14" spans="1:25">
      <c r="H14" s="85"/>
      <c r="I14" s="85"/>
      <c r="J14" s="85" t="str">
        <f t="shared" si="0"/>
        <v/>
      </c>
      <c r="K14" s="85" t="str">
        <f>IF(LEN($A14)=0,"",ROUND(SUMIFS(_TQM_FP_PLATI!$G$2:$G$10,_TQM_FP_PLATI!$D$2:$D$10,$A14,_TQM_FP_PLATI!$N$2:$N$10,"Valida"),2))</f>
        <v/>
      </c>
      <c r="L14" s="85" t="str">
        <f t="shared" si="1"/>
        <v/>
      </c>
      <c r="V14" s="85" t="str">
        <f>IF(LEN($A14)=0,"",ROUND(SUMIFS(_TQM_FP_PLATI!$G$2:$G$10,_TQM_FP_PLATI!$D$2:$D$10,$A14,_TQM_FP_PLATI!$N$2:$N$10,"Valida",_TQM_FP_PLATI!$H$2:$H$10,"Plata")+SUMIFS(_TQM_FP_PLATI!$G$2:$G$10,_TQM_FP_PLATI!$D$2:$D$10,$A14,_TQM_FP_PLATI!$N$2:$N$10,"Valida",_TQM_FP_PLATI!$H$2:$H$10,"Restituire"),2))</f>
        <v/>
      </c>
      <c r="W14" s="85" t="str">
        <f>IF(LEN($A14)=0,"",SUMIFS(_TQM_FP_PLATI!$G$2:$G$10,_TQM_FP_PLATI!$D$2:$D$10,$A14,_TQM_FP_PLATI!$N$2:$N$10,"Valida",_TQM_FP_PLATI!$H$2:$H$10,"Compensare"))</f>
        <v/>
      </c>
      <c r="X14" s="85" t="str">
        <f t="shared" ca="1" si="2"/>
        <v/>
      </c>
      <c r="Y14" s="85" t="str">
        <f t="shared" si="3"/>
        <v/>
      </c>
    </row>
  </sheetData>
  <sheetProtection sheet="1" objects="1" scenarios="1" autoFilter="0"/>
  <pageMargins left="0.7" right="0.7" top="0.75" bottom="0.75" header="0.3" footer="0.3"/>
  <tableParts count="1">
    <tablePart r:id="rId1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30"/>
  <dimension ref="A12:J13"/>
  <sheetViews>
    <sheetView showGridLines="0" zoomScale="85" workbookViewId="0"/>
  </sheetViews>
  <sheetFormatPr defaultRowHeight="13.8"/>
  <cols>
    <col min="1" max="16384" width="8.88671875" style="38"/>
  </cols>
  <sheetData>
    <row r="12" spans="1:10" ht="43.95" customHeight="1">
      <c r="A12" s="83" t="s">
        <v>134</v>
      </c>
      <c r="B12" s="83" t="s">
        <v>1051</v>
      </c>
      <c r="C12" s="83" t="s">
        <v>57</v>
      </c>
      <c r="D12" s="83" t="s">
        <v>77</v>
      </c>
      <c r="E12" s="83" t="s">
        <v>1050</v>
      </c>
      <c r="F12" s="83" t="s">
        <v>13</v>
      </c>
      <c r="G12" s="83" t="s">
        <v>1058</v>
      </c>
      <c r="H12" s="83" t="s">
        <v>74</v>
      </c>
      <c r="I12" s="83" t="s">
        <v>76</v>
      </c>
      <c r="J12" s="83" t="s">
        <v>75</v>
      </c>
    </row>
    <row r="13" spans="1:10" ht="24" customHeight="1">
      <c r="A13" s="78"/>
      <c r="B13" s="78"/>
      <c r="C13" s="78"/>
      <c r="D13" s="78"/>
      <c r="E13" s="78"/>
      <c r="F13" s="78"/>
      <c r="G13" s="78"/>
      <c r="H13" s="78"/>
      <c r="I13" s="78"/>
      <c r="J13" s="78"/>
    </row>
  </sheetData>
  <sheetProtection sheet="1" objects="1" scenarios="1" autoFilter="0"/>
  <pageMargins left="0.7" right="0.7" top="0.75" bottom="0.75" header="0.3" footer="0.3"/>
  <tableParts count="1">
    <tablePart r:id="rId1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31"/>
  <dimension ref="A12:D15"/>
  <sheetViews>
    <sheetView showGridLines="0" zoomScale="85" workbookViewId="0"/>
  </sheetViews>
  <sheetFormatPr defaultRowHeight="13.8"/>
  <cols>
    <col min="1" max="16384" width="8.88671875" style="38"/>
  </cols>
  <sheetData>
    <row r="12" spans="1:4" ht="43.95" customHeight="1">
      <c r="A12" s="83" t="s">
        <v>1059</v>
      </c>
      <c r="B12" s="83" t="s">
        <v>161</v>
      </c>
      <c r="C12" s="83" t="s">
        <v>1060</v>
      </c>
      <c r="D12" s="83" t="s">
        <v>820</v>
      </c>
    </row>
    <row r="13" spans="1:4" ht="24" customHeight="1">
      <c r="A13" s="78" t="s">
        <v>18</v>
      </c>
      <c r="B13" s="78" t="s">
        <v>1061</v>
      </c>
      <c r="C13" s="78" t="s">
        <v>51</v>
      </c>
      <c r="D13" s="78" t="s">
        <v>60</v>
      </c>
    </row>
    <row r="14" spans="1:4" ht="24" customHeight="1">
      <c r="A14" s="78" t="s">
        <v>28</v>
      </c>
      <c r="B14" s="78" t="s">
        <v>1061</v>
      </c>
      <c r="C14" s="78" t="s">
        <v>52</v>
      </c>
      <c r="D14" s="78" t="s">
        <v>60</v>
      </c>
    </row>
    <row r="15" spans="1:4" ht="24" customHeight="1">
      <c r="A15" s="78" t="s">
        <v>33</v>
      </c>
      <c r="B15" s="78" t="s">
        <v>1061</v>
      </c>
      <c r="C15" s="78" t="s">
        <v>53</v>
      </c>
      <c r="D15" s="78" t="s">
        <v>60</v>
      </c>
    </row>
  </sheetData>
  <sheetProtection sheet="1" objects="1" scenarios="1" autoFilter="0"/>
  <pageMargins left="0.7" right="0.7" top="0.75" bottom="0.75" header="0.3" footer="0.3"/>
  <tableParts count="1">
    <tablePart r:id="rId1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32"/>
  <dimension ref="A12:J13"/>
  <sheetViews>
    <sheetView showGridLines="0" zoomScale="85" workbookViewId="0"/>
  </sheetViews>
  <sheetFormatPr defaultRowHeight="13.8"/>
  <cols>
    <col min="1" max="16384" width="8.88671875" style="38"/>
  </cols>
  <sheetData>
    <row r="12" spans="1:10" ht="43.95" customHeight="1">
      <c r="A12" s="83" t="s">
        <v>816</v>
      </c>
      <c r="B12" s="83" t="s">
        <v>5</v>
      </c>
      <c r="C12" s="83" t="s">
        <v>817</v>
      </c>
      <c r="D12" s="83" t="s">
        <v>995</v>
      </c>
      <c r="E12" s="83" t="s">
        <v>996</v>
      </c>
      <c r="F12" s="83" t="s">
        <v>40</v>
      </c>
      <c r="G12" s="83" t="s">
        <v>74</v>
      </c>
      <c r="H12" s="83" t="s">
        <v>820</v>
      </c>
      <c r="I12" s="83" t="s">
        <v>821</v>
      </c>
      <c r="J12" s="83" t="s">
        <v>822</v>
      </c>
    </row>
    <row r="13" spans="1:10" ht="24" customHeight="1">
      <c r="A13" s="78"/>
      <c r="B13" s="78"/>
      <c r="C13" s="78"/>
      <c r="D13" s="78"/>
      <c r="E13" s="78"/>
      <c r="F13" s="78"/>
      <c r="G13" s="78"/>
      <c r="H13" s="78"/>
      <c r="I13" s="78"/>
      <c r="J13" s="78"/>
    </row>
  </sheetData>
  <sheetProtection sheet="1" objects="1" scenarios="1" autoFilter="0"/>
  <pageMargins left="0.7" right="0.7" top="0.75" bottom="0.75" header="0.3" footer="0.3"/>
  <tableParts count="1">
    <tablePart r:id="rId1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3">
    <tabColor rgb="FF2563EB"/>
  </sheetPr>
  <dimension ref="A2:W13"/>
  <sheetViews>
    <sheetView showGridLines="0" zoomScale="85" zoomScaleNormal="85" workbookViewId="0">
      <pane xSplit="2" ySplit="12" topLeftCell="C13" activePane="bottomRight" state="frozen"/>
      <selection pane="bottomRight" activeCell="C13" sqref="C13"/>
    </sheetView>
  </sheetViews>
  <sheetFormatPr defaultRowHeight="14.4"/>
  <cols>
    <col min="1" max="1" width="20.77734375" customWidth="1"/>
    <col min="2" max="2" width="26.77734375" customWidth="1"/>
    <col min="3" max="3" width="15.77734375" customWidth="1"/>
    <col min="4" max="4" width="25.77734375" customWidth="1"/>
    <col min="5" max="5" width="36.77734375" customWidth="1"/>
    <col min="6" max="6" width="43.77734375" customWidth="1"/>
    <col min="7" max="7" width="17.77734375" customWidth="1"/>
    <col min="8" max="8" width="16.77734375" customWidth="1"/>
    <col min="9" max="9" width="22.77734375" customWidth="1"/>
    <col min="10" max="10" width="28.77734375" customWidth="1"/>
    <col min="11" max="11" width="14.77734375" customWidth="1"/>
    <col min="12" max="12" width="43.77734375" customWidth="1"/>
    <col min="13" max="13" width="11.77734375" customWidth="1"/>
    <col min="14" max="15" width="22.77734375" customWidth="1"/>
    <col min="16" max="16" width="24.77734375" customWidth="1"/>
    <col min="17" max="17" width="43.77734375" customWidth="1"/>
    <col min="18" max="18" width="23.77734375" customWidth="1"/>
    <col min="19" max="19" width="22.77734375" customWidth="1"/>
    <col min="20" max="20" width="50.77734375" customWidth="1"/>
    <col min="21" max="21" width="13.77734375" customWidth="1"/>
    <col min="22" max="22" width="35.77734375" customWidth="1"/>
    <col min="23" max="23" width="14.77734375" customWidth="1"/>
  </cols>
  <sheetData>
    <row r="2" spans="1:23" ht="34.049999999999997" customHeight="1">
      <c r="A2" s="219" t="s">
        <v>1241</v>
      </c>
      <c r="B2" s="219"/>
      <c r="C2" s="219"/>
      <c r="D2" s="219"/>
      <c r="E2" s="219"/>
      <c r="F2" s="219"/>
      <c r="G2" s="219"/>
      <c r="H2" s="219"/>
      <c r="I2" s="219"/>
      <c r="J2" s="219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</row>
    <row r="3" spans="1:23">
      <c r="A3" s="220" t="s">
        <v>1242</v>
      </c>
      <c r="B3" s="220"/>
      <c r="C3" s="220"/>
      <c r="D3" s="220"/>
      <c r="E3" s="220"/>
      <c r="F3" s="220"/>
      <c r="G3" s="220"/>
      <c r="H3" s="220"/>
      <c r="I3" s="220"/>
      <c r="J3" s="220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</row>
    <row r="4" spans="1:23" ht="24" customHeight="1">
      <c r="A4" s="221" t="s">
        <v>1296</v>
      </c>
      <c r="B4" s="216"/>
      <c r="C4" s="216"/>
      <c r="D4" s="216"/>
      <c r="E4" s="216"/>
      <c r="F4" s="216"/>
      <c r="G4" s="216"/>
      <c r="H4" s="216"/>
      <c r="I4" s="216"/>
      <c r="J4" s="216"/>
      <c r="K4" s="113"/>
      <c r="L4" s="113"/>
      <c r="M4" s="113"/>
      <c r="N4" s="113"/>
      <c r="O4" s="113"/>
      <c r="P4" s="113"/>
      <c r="Q4" s="113"/>
      <c r="R4" s="113"/>
      <c r="S4" s="113"/>
      <c r="T4" s="113"/>
      <c r="U4" s="113"/>
      <c r="V4" s="113"/>
      <c r="W4" s="113"/>
    </row>
    <row r="5" spans="1:23" ht="25.95" customHeight="1">
      <c r="A5" s="114"/>
      <c r="B5" s="114"/>
      <c r="C5" s="114"/>
      <c r="D5" s="114"/>
      <c r="E5" s="114"/>
      <c r="F5" s="114"/>
      <c r="G5" s="114"/>
      <c r="H5" s="114"/>
      <c r="I5" s="114"/>
      <c r="J5" s="114"/>
      <c r="K5" s="113"/>
      <c r="L5" s="113"/>
      <c r="M5" s="113"/>
      <c r="N5" s="113"/>
      <c r="O5" s="113"/>
      <c r="P5" s="113"/>
      <c r="Q5" s="113"/>
      <c r="R5" s="113"/>
      <c r="S5" s="113"/>
      <c r="T5" s="113"/>
      <c r="U5" s="113"/>
      <c r="V5" s="113"/>
      <c r="W5" s="113"/>
    </row>
    <row r="6" spans="1:23" ht="25.95" customHeight="1">
      <c r="A6" s="114"/>
      <c r="B6" s="114"/>
      <c r="C6" s="114"/>
      <c r="D6" s="114"/>
      <c r="E6" s="114"/>
      <c r="F6" s="114"/>
      <c r="G6" s="114"/>
      <c r="H6" s="114"/>
      <c r="I6" s="114"/>
      <c r="J6" s="114"/>
      <c r="K6" s="113"/>
      <c r="L6" s="113"/>
      <c r="M6" s="113"/>
      <c r="N6" s="113"/>
      <c r="O6" s="113"/>
      <c r="P6" s="113"/>
      <c r="Q6" s="113"/>
      <c r="R6" s="113"/>
      <c r="S6" s="113"/>
      <c r="T6" s="113"/>
      <c r="U6" s="113"/>
      <c r="V6" s="113"/>
      <c r="W6" s="113"/>
    </row>
    <row r="7" spans="1:23">
      <c r="A7" s="113"/>
      <c r="B7" s="113"/>
      <c r="C7" s="113"/>
      <c r="D7" s="113"/>
      <c r="E7" s="113"/>
      <c r="F7" s="113"/>
      <c r="G7" s="113"/>
      <c r="H7" s="113"/>
      <c r="I7" s="113"/>
      <c r="J7" s="113"/>
      <c r="K7" s="113"/>
      <c r="L7" s="113"/>
      <c r="M7" s="113"/>
      <c r="N7" s="113"/>
      <c r="O7" s="113"/>
      <c r="P7" s="113"/>
      <c r="Q7" s="113"/>
      <c r="R7" s="113"/>
      <c r="S7" s="113"/>
      <c r="T7" s="113"/>
      <c r="U7" s="113"/>
      <c r="V7" s="113"/>
      <c r="W7" s="113"/>
    </row>
    <row r="8" spans="1:23" ht="24" customHeight="1">
      <c r="A8" s="217" t="s">
        <v>1243</v>
      </c>
      <c r="B8" s="217"/>
      <c r="C8" s="217" t="s">
        <v>1073</v>
      </c>
      <c r="D8" s="217"/>
      <c r="E8" s="217"/>
      <c r="F8" s="217" t="s">
        <v>1074</v>
      </c>
      <c r="G8" s="217"/>
      <c r="H8" s="217" t="s">
        <v>1075</v>
      </c>
      <c r="I8" s="217"/>
      <c r="J8" s="217"/>
      <c r="K8" s="113"/>
      <c r="L8" s="113"/>
      <c r="M8" s="113"/>
      <c r="N8" s="113"/>
      <c r="O8" s="113"/>
      <c r="P8" s="113"/>
      <c r="Q8" s="113"/>
      <c r="R8" s="113"/>
      <c r="S8" s="113"/>
      <c r="T8" s="113"/>
      <c r="U8" s="113"/>
      <c r="V8" s="113"/>
      <c r="W8" s="113"/>
    </row>
    <row r="9" spans="1:23" ht="31.95" customHeight="1">
      <c r="A9" s="218">
        <f>COUNTIFS(tTQMDocumente[ID_document],"?*")</f>
        <v>0</v>
      </c>
      <c r="B9" s="218"/>
      <c r="C9" s="218">
        <f ca="1">COUNTIFS(tTQMDocumente[Actiune],"VERIFICATI DOCUMENTUL")+COUNTIFS(tTQMDocumente[Actiune],"ADAUGATI LINKUL")+COUNTIFS(tTQMDocumente[Actiune],"CORECTATI LINKUL")+COUNTIFS(tTQMDocumente[Actiune],"ASOCIATI OPERATIUNEA")+COUNTIFS(tTQMDocumente[Actiune],"DOCUMENT RESPINS")+COUNTIFS(tTQMDocumente[Actiune],"COMPLETATI VERIFICAREA")</f>
        <v>0</v>
      </c>
      <c r="D9" s="218"/>
      <c r="E9" s="218"/>
      <c r="F9" s="218">
        <f ca="1">COUNTIFS(tTQMDocumente[Actiune],"DOCUMENT EXPIRAT")</f>
        <v>0</v>
      </c>
      <c r="G9" s="218"/>
      <c r="H9" s="218">
        <f>COUNTIFS(tTQMDOCDosare[Status_arhiva],"ARHIVA INCOMPLETA")+COUNTIFS(tTQMDOCDosare[Status_arhiva],"REGULI DE CONFIRMAT")</f>
        <v>4</v>
      </c>
      <c r="I9" s="218"/>
      <c r="J9" s="218"/>
      <c r="K9" s="113"/>
      <c r="L9" s="113"/>
      <c r="M9" s="113"/>
      <c r="N9" s="113"/>
      <c r="O9" s="113"/>
      <c r="P9" s="113"/>
      <c r="Q9" s="113"/>
      <c r="R9" s="113"/>
      <c r="S9" s="113"/>
      <c r="T9" s="113"/>
      <c r="U9" s="113"/>
      <c r="V9" s="113"/>
      <c r="W9" s="113"/>
    </row>
    <row r="10" spans="1:23">
      <c r="A10" s="113"/>
      <c r="B10" s="113"/>
      <c r="C10" s="113"/>
      <c r="D10" s="113"/>
      <c r="E10" s="113"/>
      <c r="F10" s="113"/>
      <c r="G10" s="113"/>
      <c r="H10" s="113"/>
      <c r="I10" s="113"/>
      <c r="J10" s="113"/>
      <c r="K10" s="113"/>
      <c r="L10" s="113"/>
      <c r="M10" s="113"/>
      <c r="N10" s="113"/>
      <c r="O10" s="113"/>
      <c r="P10" s="113"/>
      <c r="Q10" s="113"/>
      <c r="R10" s="113"/>
      <c r="S10" s="113"/>
      <c r="T10" s="113"/>
      <c r="U10" s="113"/>
      <c r="V10" s="113"/>
      <c r="W10" s="113"/>
    </row>
    <row r="11" spans="1:23" ht="24" customHeight="1">
      <c r="A11" s="215" t="s">
        <v>1244</v>
      </c>
      <c r="B11" s="216"/>
      <c r="C11" s="216"/>
      <c r="D11" s="216"/>
      <c r="E11" s="216"/>
      <c r="F11" s="216"/>
      <c r="G11" s="216"/>
      <c r="H11" s="216"/>
      <c r="I11" s="216"/>
      <c r="J11" s="216"/>
      <c r="K11" s="113"/>
      <c r="L11" s="113"/>
      <c r="M11" s="113"/>
      <c r="N11" s="113"/>
      <c r="O11" s="113"/>
      <c r="P11" s="113"/>
      <c r="Q11" s="113"/>
      <c r="R11" s="113"/>
      <c r="S11" s="113"/>
      <c r="T11" s="113"/>
      <c r="U11" s="113"/>
      <c r="V11" s="113"/>
      <c r="W11" s="113"/>
    </row>
    <row r="12" spans="1:23" ht="42" customHeight="1">
      <c r="A12" s="111" t="s">
        <v>1077</v>
      </c>
      <c r="B12" s="111" t="s">
        <v>1078</v>
      </c>
      <c r="C12" s="115" t="s">
        <v>1079</v>
      </c>
      <c r="D12" s="111" t="s">
        <v>1080</v>
      </c>
      <c r="E12" s="111" t="s">
        <v>1081</v>
      </c>
      <c r="F12" s="117" t="s">
        <v>96</v>
      </c>
      <c r="G12" s="111" t="s">
        <v>64</v>
      </c>
      <c r="H12" s="115" t="s">
        <v>1082</v>
      </c>
      <c r="I12" s="111" t="s">
        <v>62</v>
      </c>
      <c r="J12" s="111" t="s">
        <v>40</v>
      </c>
      <c r="K12" s="111" t="s">
        <v>1083</v>
      </c>
      <c r="L12" s="111" t="s">
        <v>1084</v>
      </c>
      <c r="M12" s="111" t="s">
        <v>74</v>
      </c>
      <c r="N12" s="116" t="s">
        <v>98</v>
      </c>
      <c r="O12" s="116" t="s">
        <v>76</v>
      </c>
      <c r="P12" s="111" t="s">
        <v>75</v>
      </c>
      <c r="Q12" s="111" t="s">
        <v>1085</v>
      </c>
      <c r="R12" s="111" t="s">
        <v>1086</v>
      </c>
      <c r="S12" s="116" t="s">
        <v>1087</v>
      </c>
      <c r="T12" s="111" t="s">
        <v>13</v>
      </c>
      <c r="U12" s="111" t="s">
        <v>1088</v>
      </c>
      <c r="V12" s="111" t="s">
        <v>130</v>
      </c>
      <c r="W12" s="111" t="s">
        <v>1089</v>
      </c>
    </row>
    <row r="13" spans="1:23" ht="30" customHeight="1">
      <c r="A13" s="106"/>
      <c r="B13" s="106"/>
      <c r="C13" s="107"/>
      <c r="D13" s="106"/>
      <c r="E13" s="106"/>
      <c r="F13" s="108"/>
      <c r="G13" s="106"/>
      <c r="H13" s="107"/>
      <c r="I13" s="106"/>
      <c r="J13" s="106" t="str">
        <f ca="1">IF(LEN($L13)=0,"",IF($G13="Arhivat","ARHIVAT",IF($G13="Respins","DOCUMENT RESPINS",IF(LEN($F13)=0,"ADAUGATI LINKUL",IF($W13&lt;&gt;1,"CORECTATI LINKUL",IF(IF(LEN($H13)=0,FALSE,$H13&lt;TODAY()),"DOCUMENT EXPIRAT",IF($G13&lt;&gt;"Verificat","VERIFICATI DOCUMENTUL",IF($U13&lt;&gt;1,"COMPLETATI VERIFICAREA",IF($K13=0,"ASOCIATI OPERATIUNEA","DOCUMENT VERIFICAT")))))))))</f>
        <v/>
      </c>
      <c r="K13" s="109" t="str">
        <f>IF(LEN($L13)=0,"",COUNTIFS(_TQM_DOC_LEG!$B$13,$L13,_TQM_DOC_LEG!$F$13,"Valida",_TQM_DOC_LEG!$O$13,1))</f>
        <v/>
      </c>
      <c r="L13" s="106"/>
      <c r="M13" s="106"/>
      <c r="N13" s="110"/>
      <c r="O13" s="110"/>
      <c r="P13" s="106"/>
      <c r="Q13" s="106"/>
      <c r="R13" s="106"/>
      <c r="S13" s="110"/>
      <c r="T13" s="106"/>
      <c r="U13" s="109" t="str">
        <f ca="1">IF(LEN($L13)=0,"",IF(AND($G13="Verificat",$W13=1,LEN($F13)&gt;0,LEN($D13)&gt;0,LEN($R13)&gt;0,IF(ISNUMBER($S13),$S13&gt;0,FALSE),IF(LEN($H13)=0,TRUE,IF(ISNUMBER($H13),$H13&gt;=TODAY(),FALSE))),1,0))</f>
        <v/>
      </c>
      <c r="V13" s="106"/>
      <c r="W13" s="106"/>
    </row>
  </sheetData>
  <sheetProtection sheet="1" objects="1" scenarios="1" autoFilter="0"/>
  <mergeCells count="12">
    <mergeCell ref="A2:J2"/>
    <mergeCell ref="A3:J3"/>
    <mergeCell ref="A4:J4"/>
    <mergeCell ref="H8:J8"/>
    <mergeCell ref="H9:J9"/>
    <mergeCell ref="A11:J11"/>
    <mergeCell ref="A8:B8"/>
    <mergeCell ref="A9:B9"/>
    <mergeCell ref="C8:E8"/>
    <mergeCell ref="C9:E9"/>
    <mergeCell ref="F8:G8"/>
    <mergeCell ref="F9:G9"/>
  </mergeCells>
  <conditionalFormatting sqref="J13:J1012">
    <cfRule type="expression" dxfId="99" priority="1">
      <formula>$J13="DOCUMENT EXPIRAT"</formula>
    </cfRule>
    <cfRule type="expression" dxfId="98" priority="2">
      <formula>$J13="DOCUMENT RESPINS"</formula>
    </cfRule>
    <cfRule type="expression" dxfId="97" priority="3">
      <formula>$J13="VERIFICATI DOCUMENTUL"</formula>
    </cfRule>
    <cfRule type="expression" dxfId="96" priority="4">
      <formula>$J13="DOCUMENT VERIFICAT"</formula>
    </cfRule>
    <cfRule type="expression" dxfId="95" priority="5">
      <formula>$J13="ARHIVAT"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1CC1CA-2573-461B-AFED-36A590AF448C}">
  <sheetPr codeName="Sheet38"/>
  <dimension ref="A1"/>
  <sheetViews>
    <sheetView topLeftCell="A10" workbookViewId="0"/>
  </sheetViews>
  <sheetFormatPr defaultRowHeight="14.4"/>
  <cols>
    <col min="1" max="16384" width="8.88671875" style="27"/>
  </cols>
  <sheetData/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34"/>
  <dimension ref="A12:P13"/>
  <sheetViews>
    <sheetView showGridLines="0" zoomScale="85" workbookViewId="0"/>
  </sheetViews>
  <sheetFormatPr defaultRowHeight="14.4"/>
  <cols>
    <col min="1" max="2" width="43" customWidth="1"/>
    <col min="3" max="3" width="20" customWidth="1"/>
    <col min="4" max="4" width="43" customWidth="1"/>
    <col min="5" max="5" width="27" customWidth="1"/>
    <col min="6" max="6" width="19" customWidth="1"/>
    <col min="7" max="7" width="17" customWidth="1"/>
    <col min="8" max="8" width="51" customWidth="1"/>
    <col min="9" max="9" width="26" customWidth="1"/>
    <col min="10" max="10" width="30" customWidth="1"/>
    <col min="11" max="11" width="26" customWidth="1"/>
    <col min="12" max="13" width="23" customWidth="1"/>
    <col min="14" max="14" width="45" customWidth="1"/>
    <col min="15" max="15" width="14" customWidth="1"/>
    <col min="16" max="16" width="13" customWidth="1"/>
  </cols>
  <sheetData>
    <row r="12" spans="1:16" ht="42" customHeight="1">
      <c r="A12" s="111" t="s">
        <v>1058</v>
      </c>
      <c r="B12" s="111" t="s">
        <v>1084</v>
      </c>
      <c r="C12" s="111" t="s">
        <v>818</v>
      </c>
      <c r="D12" s="111" t="s">
        <v>819</v>
      </c>
      <c r="E12" s="111" t="s">
        <v>1090</v>
      </c>
      <c r="F12" s="111" t="s">
        <v>64</v>
      </c>
      <c r="G12" s="111" t="s">
        <v>1091</v>
      </c>
      <c r="H12" s="111" t="s">
        <v>1092</v>
      </c>
      <c r="I12" s="111" t="s">
        <v>72</v>
      </c>
      <c r="J12" s="111" t="s">
        <v>60</v>
      </c>
      <c r="K12" s="111" t="s">
        <v>0</v>
      </c>
      <c r="L12" s="111" t="s">
        <v>98</v>
      </c>
      <c r="M12" s="111" t="s">
        <v>76</v>
      </c>
      <c r="N12" s="111" t="s">
        <v>13</v>
      </c>
      <c r="O12" s="111" t="s">
        <v>1093</v>
      </c>
      <c r="P12" s="111" t="s">
        <v>1094</v>
      </c>
    </row>
    <row r="13" spans="1:16" ht="24" customHeight="1">
      <c r="A13" s="106"/>
      <c r="B13" s="106"/>
      <c r="C13" s="106"/>
      <c r="D13" s="106"/>
      <c r="E13" s="106"/>
      <c r="F13" s="106"/>
      <c r="G13" s="106"/>
      <c r="H13" s="106"/>
      <c r="I13" s="106"/>
      <c r="J13" s="106"/>
      <c r="K13" s="106"/>
      <c r="L13" s="106"/>
      <c r="M13" s="106"/>
      <c r="N13" s="106"/>
      <c r="O13" s="106"/>
      <c r="P13" s="109" t="str">
        <f>IF(LEN($A13)=0,"",IF(AND($F13="Valida",$O13=1,COUNTIFS('09_DOCUMENTE'!$L$13,$B13,'09_DOCUMENTE'!$U$13,1)=1),1,0))</f>
        <v/>
      </c>
    </row>
  </sheetData>
  <sheetProtection sheet="1" objects="1" scenarios="1" autoFilter="0"/>
  <pageMargins left="0.7" right="0.7" top="0.75" bottom="0.75" header="0.3" footer="0.3"/>
  <tableParts count="1">
    <tablePart r:id="rId1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5"/>
  <dimension ref="A12:M67"/>
  <sheetViews>
    <sheetView showGridLines="0" zoomScale="85" workbookViewId="0"/>
  </sheetViews>
  <sheetFormatPr defaultRowHeight="14.4"/>
  <cols>
    <col min="1" max="1" width="53" customWidth="1"/>
    <col min="2" max="2" width="21" customWidth="1"/>
    <col min="3" max="3" width="43" customWidth="1"/>
    <col min="4" max="4" width="24" customWidth="1"/>
    <col min="5" max="5" width="28" customWidth="1"/>
    <col min="6" max="6" width="25" customWidth="1"/>
    <col min="7" max="7" width="20" customWidth="1"/>
    <col min="8" max="8" width="10" customWidth="1"/>
    <col min="9" max="9" width="16" customWidth="1"/>
    <col min="10" max="10" width="48" customWidth="1"/>
    <col min="11" max="13" width="27" customWidth="1"/>
  </cols>
  <sheetData>
    <row r="12" spans="1:13" ht="42" customHeight="1">
      <c r="A12" s="111" t="s">
        <v>1095</v>
      </c>
      <c r="B12" s="111" t="s">
        <v>818</v>
      </c>
      <c r="C12" s="111" t="s">
        <v>819</v>
      </c>
      <c r="D12" s="111" t="s">
        <v>72</v>
      </c>
      <c r="E12" s="111" t="s">
        <v>60</v>
      </c>
      <c r="F12" s="111" t="s">
        <v>0</v>
      </c>
      <c r="G12" s="111" t="s">
        <v>1096</v>
      </c>
      <c r="H12" s="111" t="s">
        <v>1037</v>
      </c>
      <c r="I12" s="111" t="s">
        <v>5</v>
      </c>
      <c r="J12" s="111" t="s">
        <v>1097</v>
      </c>
      <c r="K12" s="111" t="s">
        <v>1098</v>
      </c>
      <c r="L12" s="111" t="s">
        <v>1099</v>
      </c>
      <c r="M12" s="111" t="s">
        <v>1100</v>
      </c>
    </row>
    <row r="13" spans="1:13" ht="24" customHeight="1">
      <c r="A13" s="112" t="s">
        <v>1101</v>
      </c>
      <c r="B13" s="112" t="s">
        <v>1102</v>
      </c>
      <c r="C13" s="112" t="s">
        <v>51</v>
      </c>
      <c r="D13" s="112" t="s">
        <v>19</v>
      </c>
      <c r="E13" s="112" t="s">
        <v>18</v>
      </c>
      <c r="F13" s="112" t="s">
        <v>20</v>
      </c>
      <c r="G13" s="112" t="s">
        <v>875</v>
      </c>
      <c r="H13" s="112">
        <v>1</v>
      </c>
      <c r="I13" s="112">
        <v>46301</v>
      </c>
      <c r="J13" s="112" t="s">
        <v>1229</v>
      </c>
      <c r="K13" s="112" t="s">
        <v>1103</v>
      </c>
      <c r="L13" s="112" t="s">
        <v>1061</v>
      </c>
      <c r="M13" s="112" t="s">
        <v>1229</v>
      </c>
    </row>
    <row r="14" spans="1:13" ht="24" customHeight="1">
      <c r="A14" s="112" t="s">
        <v>1104</v>
      </c>
      <c r="B14" s="112" t="s">
        <v>1102</v>
      </c>
      <c r="C14" s="112" t="s">
        <v>52</v>
      </c>
      <c r="D14" s="112" t="s">
        <v>27</v>
      </c>
      <c r="E14" s="112" t="s">
        <v>28</v>
      </c>
      <c r="F14" s="112" t="s">
        <v>25</v>
      </c>
      <c r="G14" s="112" t="s">
        <v>875</v>
      </c>
      <c r="H14" s="112">
        <v>1</v>
      </c>
      <c r="I14" s="112">
        <v>45695</v>
      </c>
      <c r="J14" s="112" t="s">
        <v>1229</v>
      </c>
      <c r="K14" s="112" t="s">
        <v>1103</v>
      </c>
      <c r="L14" s="112" t="s">
        <v>1061</v>
      </c>
      <c r="M14" s="112" t="s">
        <v>1229</v>
      </c>
    </row>
    <row r="15" spans="1:13" ht="24" customHeight="1">
      <c r="A15" s="112" t="s">
        <v>1105</v>
      </c>
      <c r="B15" s="112" t="s">
        <v>1102</v>
      </c>
      <c r="C15" s="112" t="s">
        <v>53</v>
      </c>
      <c r="D15" s="112" t="s">
        <v>32</v>
      </c>
      <c r="E15" s="112" t="s">
        <v>33</v>
      </c>
      <c r="F15" s="112" t="s">
        <v>31</v>
      </c>
      <c r="G15" s="112" t="s">
        <v>875</v>
      </c>
      <c r="H15" s="112">
        <v>1</v>
      </c>
      <c r="I15" s="112">
        <v>45666</v>
      </c>
      <c r="J15" s="112" t="s">
        <v>1229</v>
      </c>
      <c r="K15" s="112" t="s">
        <v>1103</v>
      </c>
      <c r="L15" s="112" t="s">
        <v>1061</v>
      </c>
      <c r="M15" s="112" t="s">
        <v>1229</v>
      </c>
    </row>
    <row r="16" spans="1:13" ht="24" customHeight="1">
      <c r="A16" s="112" t="s">
        <v>1292</v>
      </c>
      <c r="B16" s="112" t="s">
        <v>1102</v>
      </c>
      <c r="C16" s="112" t="s">
        <v>1291</v>
      </c>
      <c r="D16" s="112"/>
      <c r="E16" s="112"/>
      <c r="F16" s="112" t="s">
        <v>1290</v>
      </c>
      <c r="G16" s="112" t="s">
        <v>875</v>
      </c>
      <c r="H16" s="112">
        <v>1</v>
      </c>
      <c r="I16" s="112"/>
      <c r="J16" s="112" t="s">
        <v>1229</v>
      </c>
      <c r="K16" s="112" t="s">
        <v>1103</v>
      </c>
      <c r="L16" s="112" t="s">
        <v>1061</v>
      </c>
      <c r="M16" s="112" t="s">
        <v>1229</v>
      </c>
    </row>
    <row r="17" spans="1:13" ht="24" customHeight="1">
      <c r="A17" s="112" t="s">
        <v>1106</v>
      </c>
      <c r="B17" s="112" t="s">
        <v>79</v>
      </c>
      <c r="C17" s="112" t="s">
        <v>169</v>
      </c>
      <c r="D17" s="112" t="s">
        <v>162</v>
      </c>
      <c r="E17" s="112" t="s">
        <v>1229</v>
      </c>
      <c r="F17" s="112"/>
      <c r="G17" s="112" t="s">
        <v>168</v>
      </c>
      <c r="H17" s="112">
        <v>1</v>
      </c>
      <c r="I17" s="112" t="s">
        <v>1229</v>
      </c>
      <c r="J17" s="112" t="s">
        <v>1229</v>
      </c>
      <c r="K17" s="112" t="s">
        <v>1107</v>
      </c>
      <c r="L17" s="112" t="s">
        <v>1108</v>
      </c>
      <c r="M17" s="112" t="s">
        <v>1109</v>
      </c>
    </row>
    <row r="18" spans="1:13" ht="24" customHeight="1">
      <c r="A18" s="112" t="s">
        <v>1110</v>
      </c>
      <c r="B18" s="112" t="s">
        <v>79</v>
      </c>
      <c r="C18" s="112" t="s">
        <v>176</v>
      </c>
      <c r="D18" s="112" t="s">
        <v>172</v>
      </c>
      <c r="E18" s="112" t="s">
        <v>1229</v>
      </c>
      <c r="F18" s="112"/>
      <c r="G18" s="112" t="s">
        <v>168</v>
      </c>
      <c r="H18" s="112">
        <v>1</v>
      </c>
      <c r="I18" s="112" t="s">
        <v>1229</v>
      </c>
      <c r="J18" s="112" t="s">
        <v>1229</v>
      </c>
      <c r="K18" s="112" t="s">
        <v>1107</v>
      </c>
      <c r="L18" s="112" t="s">
        <v>1108</v>
      </c>
      <c r="M18" s="112" t="s">
        <v>1109</v>
      </c>
    </row>
    <row r="19" spans="1:13" ht="24" customHeight="1">
      <c r="A19" s="112" t="s">
        <v>1111</v>
      </c>
      <c r="B19" s="112" t="s">
        <v>79</v>
      </c>
      <c r="C19" s="112" t="s">
        <v>181</v>
      </c>
      <c r="D19" s="112" t="s">
        <v>178</v>
      </c>
      <c r="E19" s="112" t="s">
        <v>1229</v>
      </c>
      <c r="F19" s="112"/>
      <c r="G19" s="112" t="s">
        <v>168</v>
      </c>
      <c r="H19" s="112">
        <v>1</v>
      </c>
      <c r="I19" s="112" t="s">
        <v>1229</v>
      </c>
      <c r="J19" s="112" t="s">
        <v>1229</v>
      </c>
      <c r="K19" s="112" t="s">
        <v>1107</v>
      </c>
      <c r="L19" s="112" t="s">
        <v>1108</v>
      </c>
      <c r="M19" s="112" t="s">
        <v>1109</v>
      </c>
    </row>
    <row r="20" spans="1:13" ht="24" customHeight="1">
      <c r="A20" s="112" t="s">
        <v>1112</v>
      </c>
      <c r="B20" s="112" t="s">
        <v>79</v>
      </c>
      <c r="C20" s="112" t="s">
        <v>187</v>
      </c>
      <c r="D20" s="112" t="s">
        <v>183</v>
      </c>
      <c r="E20" s="112" t="s">
        <v>1229</v>
      </c>
      <c r="F20" s="112"/>
      <c r="G20" s="112" t="s">
        <v>168</v>
      </c>
      <c r="H20" s="112">
        <v>1</v>
      </c>
      <c r="I20" s="112" t="s">
        <v>1229</v>
      </c>
      <c r="J20" s="112" t="s">
        <v>1229</v>
      </c>
      <c r="K20" s="112" t="s">
        <v>1107</v>
      </c>
      <c r="L20" s="112" t="s">
        <v>1108</v>
      </c>
      <c r="M20" s="112" t="s">
        <v>1109</v>
      </c>
    </row>
    <row r="21" spans="1:13" ht="24" customHeight="1">
      <c r="A21" s="112" t="s">
        <v>1113</v>
      </c>
      <c r="B21" s="112" t="s">
        <v>79</v>
      </c>
      <c r="C21" s="112" t="s">
        <v>193</v>
      </c>
      <c r="D21" s="112" t="s">
        <v>189</v>
      </c>
      <c r="E21" s="112" t="s">
        <v>1229</v>
      </c>
      <c r="F21" s="112"/>
      <c r="G21" s="112" t="s">
        <v>168</v>
      </c>
      <c r="H21" s="112">
        <v>1</v>
      </c>
      <c r="I21" s="112" t="s">
        <v>1229</v>
      </c>
      <c r="J21" s="112" t="s">
        <v>1229</v>
      </c>
      <c r="K21" s="112" t="s">
        <v>1107</v>
      </c>
      <c r="L21" s="112" t="s">
        <v>1108</v>
      </c>
      <c r="M21" s="112" t="s">
        <v>1109</v>
      </c>
    </row>
    <row r="22" spans="1:13" ht="24" customHeight="1">
      <c r="A22" s="112" t="s">
        <v>1114</v>
      </c>
      <c r="B22" s="112" t="s">
        <v>79</v>
      </c>
      <c r="C22" s="112" t="s">
        <v>199</v>
      </c>
      <c r="D22" s="112" t="s">
        <v>195</v>
      </c>
      <c r="E22" s="112" t="s">
        <v>1229</v>
      </c>
      <c r="F22" s="112"/>
      <c r="G22" s="112" t="s">
        <v>168</v>
      </c>
      <c r="H22" s="112">
        <v>1</v>
      </c>
      <c r="I22" s="112" t="s">
        <v>1229</v>
      </c>
      <c r="J22" s="112" t="s">
        <v>1229</v>
      </c>
      <c r="K22" s="112" t="s">
        <v>1107</v>
      </c>
      <c r="L22" s="112" t="s">
        <v>1108</v>
      </c>
      <c r="M22" s="112" t="s">
        <v>1109</v>
      </c>
    </row>
    <row r="23" spans="1:13" ht="24" customHeight="1">
      <c r="A23" s="112" t="s">
        <v>1115</v>
      </c>
      <c r="B23" s="112" t="s">
        <v>79</v>
      </c>
      <c r="C23" s="112" t="s">
        <v>208</v>
      </c>
      <c r="D23" s="112" t="s">
        <v>201</v>
      </c>
      <c r="E23" s="112" t="s">
        <v>1229</v>
      </c>
      <c r="F23" s="112"/>
      <c r="G23" s="112" t="s">
        <v>168</v>
      </c>
      <c r="H23" s="112">
        <v>1</v>
      </c>
      <c r="I23" s="112" t="s">
        <v>1229</v>
      </c>
      <c r="J23" s="112" t="s">
        <v>1229</v>
      </c>
      <c r="K23" s="112" t="s">
        <v>1107</v>
      </c>
      <c r="L23" s="112" t="s">
        <v>1108</v>
      </c>
      <c r="M23" s="112" t="s">
        <v>1109</v>
      </c>
    </row>
    <row r="24" spans="1:13" ht="24" customHeight="1">
      <c r="A24" s="112" t="s">
        <v>1116</v>
      </c>
      <c r="B24" s="112" t="s">
        <v>79</v>
      </c>
      <c r="C24" s="112" t="s">
        <v>213</v>
      </c>
      <c r="D24" s="112" t="s">
        <v>210</v>
      </c>
      <c r="E24" s="112" t="s">
        <v>1229</v>
      </c>
      <c r="F24" s="112"/>
      <c r="G24" s="112" t="s">
        <v>168</v>
      </c>
      <c r="H24" s="112">
        <v>1</v>
      </c>
      <c r="I24" s="112" t="s">
        <v>1229</v>
      </c>
      <c r="J24" s="112" t="s">
        <v>1229</v>
      </c>
      <c r="K24" s="112" t="s">
        <v>1107</v>
      </c>
      <c r="L24" s="112" t="s">
        <v>1108</v>
      </c>
      <c r="M24" s="112" t="s">
        <v>1109</v>
      </c>
    </row>
    <row r="25" spans="1:13" ht="24" customHeight="1">
      <c r="A25" s="112" t="s">
        <v>1117</v>
      </c>
      <c r="B25" s="112" t="s">
        <v>79</v>
      </c>
      <c r="C25" s="112" t="s">
        <v>220</v>
      </c>
      <c r="D25" s="112" t="s">
        <v>215</v>
      </c>
      <c r="E25" s="112" t="s">
        <v>1229</v>
      </c>
      <c r="F25" s="112"/>
      <c r="G25" s="112" t="s">
        <v>168</v>
      </c>
      <c r="H25" s="112">
        <v>1</v>
      </c>
      <c r="I25" s="112" t="s">
        <v>1229</v>
      </c>
      <c r="J25" s="112" t="s">
        <v>1229</v>
      </c>
      <c r="K25" s="112" t="s">
        <v>1107</v>
      </c>
      <c r="L25" s="112" t="s">
        <v>1108</v>
      </c>
      <c r="M25" s="112" t="s">
        <v>1109</v>
      </c>
    </row>
    <row r="26" spans="1:13" ht="24" customHeight="1">
      <c r="A26" s="112" t="s">
        <v>1118</v>
      </c>
      <c r="B26" s="112" t="s">
        <v>79</v>
      </c>
      <c r="C26" s="112" t="s">
        <v>227</v>
      </c>
      <c r="D26" s="112" t="s">
        <v>222</v>
      </c>
      <c r="E26" s="112" t="s">
        <v>1229</v>
      </c>
      <c r="F26" s="112"/>
      <c r="G26" s="112" t="s">
        <v>168</v>
      </c>
      <c r="H26" s="112">
        <v>1</v>
      </c>
      <c r="I26" s="112" t="s">
        <v>1229</v>
      </c>
      <c r="J26" s="112" t="s">
        <v>1229</v>
      </c>
      <c r="K26" s="112" t="s">
        <v>1107</v>
      </c>
      <c r="L26" s="112" t="s">
        <v>1108</v>
      </c>
      <c r="M26" s="112" t="s">
        <v>1109</v>
      </c>
    </row>
    <row r="27" spans="1:13" ht="24" customHeight="1">
      <c r="A27" s="112" t="s">
        <v>1119</v>
      </c>
      <c r="B27" s="112" t="s">
        <v>79</v>
      </c>
      <c r="C27" s="112" t="s">
        <v>234</v>
      </c>
      <c r="D27" s="112" t="s">
        <v>229</v>
      </c>
      <c r="E27" s="112" t="s">
        <v>1229</v>
      </c>
      <c r="F27" s="112"/>
      <c r="G27" s="112" t="s">
        <v>168</v>
      </c>
      <c r="H27" s="112">
        <v>1</v>
      </c>
      <c r="I27" s="112" t="s">
        <v>1229</v>
      </c>
      <c r="J27" s="112" t="s">
        <v>1229</v>
      </c>
      <c r="K27" s="112" t="s">
        <v>1107</v>
      </c>
      <c r="L27" s="112" t="s">
        <v>1108</v>
      </c>
      <c r="M27" s="112" t="s">
        <v>1109</v>
      </c>
    </row>
    <row r="28" spans="1:13" ht="24" customHeight="1">
      <c r="A28" s="112" t="s">
        <v>1120</v>
      </c>
      <c r="B28" s="112" t="s">
        <v>79</v>
      </c>
      <c r="C28" s="112" t="s">
        <v>241</v>
      </c>
      <c r="D28" s="112" t="s">
        <v>236</v>
      </c>
      <c r="E28" s="112" t="s">
        <v>1229</v>
      </c>
      <c r="F28" s="112"/>
      <c r="G28" s="112" t="s">
        <v>168</v>
      </c>
      <c r="H28" s="112">
        <v>1</v>
      </c>
      <c r="I28" s="112" t="s">
        <v>1229</v>
      </c>
      <c r="J28" s="112" t="s">
        <v>1229</v>
      </c>
      <c r="K28" s="112" t="s">
        <v>1107</v>
      </c>
      <c r="L28" s="112" t="s">
        <v>1108</v>
      </c>
      <c r="M28" s="112" t="s">
        <v>1109</v>
      </c>
    </row>
    <row r="29" spans="1:13" ht="24" customHeight="1">
      <c r="A29" s="112" t="s">
        <v>1121</v>
      </c>
      <c r="B29" s="112" t="s">
        <v>79</v>
      </c>
      <c r="C29" s="112" t="s">
        <v>248</v>
      </c>
      <c r="D29" s="112" t="s">
        <v>243</v>
      </c>
      <c r="E29" s="112" t="s">
        <v>1229</v>
      </c>
      <c r="F29" s="112"/>
      <c r="G29" s="112" t="s">
        <v>168</v>
      </c>
      <c r="H29" s="112">
        <v>1</v>
      </c>
      <c r="I29" s="112" t="s">
        <v>1229</v>
      </c>
      <c r="J29" s="112" t="s">
        <v>1229</v>
      </c>
      <c r="K29" s="112" t="s">
        <v>1107</v>
      </c>
      <c r="L29" s="112" t="s">
        <v>1108</v>
      </c>
      <c r="M29" s="112" t="s">
        <v>1109</v>
      </c>
    </row>
    <row r="30" spans="1:13" ht="24" customHeight="1">
      <c r="A30" s="112" t="s">
        <v>1122</v>
      </c>
      <c r="B30" s="112" t="s">
        <v>79</v>
      </c>
      <c r="C30" s="112" t="s">
        <v>255</v>
      </c>
      <c r="D30" s="112" t="s">
        <v>250</v>
      </c>
      <c r="E30" s="112" t="s">
        <v>1229</v>
      </c>
      <c r="F30" s="112"/>
      <c r="G30" s="112" t="s">
        <v>168</v>
      </c>
      <c r="H30" s="112">
        <v>1</v>
      </c>
      <c r="I30" s="112" t="s">
        <v>1229</v>
      </c>
      <c r="J30" s="112" t="s">
        <v>1229</v>
      </c>
      <c r="K30" s="112" t="s">
        <v>1107</v>
      </c>
      <c r="L30" s="112" t="s">
        <v>1108</v>
      </c>
      <c r="M30" s="112" t="s">
        <v>1109</v>
      </c>
    </row>
    <row r="31" spans="1:13" ht="24" customHeight="1">
      <c r="A31" s="112" t="s">
        <v>1123</v>
      </c>
      <c r="B31" s="112" t="s">
        <v>79</v>
      </c>
      <c r="C31" s="112" t="s">
        <v>262</v>
      </c>
      <c r="D31" s="112" t="s">
        <v>257</v>
      </c>
      <c r="E31" s="112" t="s">
        <v>1229</v>
      </c>
      <c r="F31" s="112"/>
      <c r="G31" s="112" t="s">
        <v>168</v>
      </c>
      <c r="H31" s="112">
        <v>1</v>
      </c>
      <c r="I31" s="112" t="s">
        <v>1229</v>
      </c>
      <c r="J31" s="112" t="s">
        <v>1229</v>
      </c>
      <c r="K31" s="112" t="s">
        <v>1107</v>
      </c>
      <c r="L31" s="112" t="s">
        <v>1108</v>
      </c>
      <c r="M31" s="112" t="s">
        <v>1109</v>
      </c>
    </row>
    <row r="32" spans="1:13" ht="24" customHeight="1">
      <c r="A32" s="112" t="s">
        <v>1124</v>
      </c>
      <c r="B32" s="112" t="s">
        <v>79</v>
      </c>
      <c r="C32" s="112" t="s">
        <v>269</v>
      </c>
      <c r="D32" s="112" t="s">
        <v>264</v>
      </c>
      <c r="E32" s="112" t="s">
        <v>1229</v>
      </c>
      <c r="F32" s="112"/>
      <c r="G32" s="112" t="s">
        <v>168</v>
      </c>
      <c r="H32" s="112">
        <v>1</v>
      </c>
      <c r="I32" s="112" t="s">
        <v>1229</v>
      </c>
      <c r="J32" s="112" t="s">
        <v>1229</v>
      </c>
      <c r="K32" s="112" t="s">
        <v>1107</v>
      </c>
      <c r="L32" s="112" t="s">
        <v>1108</v>
      </c>
      <c r="M32" s="112" t="s">
        <v>1109</v>
      </c>
    </row>
    <row r="33" spans="1:13" ht="24" customHeight="1">
      <c r="A33" s="112" t="s">
        <v>1125</v>
      </c>
      <c r="B33" s="112" t="s">
        <v>79</v>
      </c>
      <c r="C33" s="112" t="s">
        <v>275</v>
      </c>
      <c r="D33" s="112" t="s">
        <v>271</v>
      </c>
      <c r="E33" s="112" t="s">
        <v>1229</v>
      </c>
      <c r="F33" s="112"/>
      <c r="G33" s="112" t="s">
        <v>168</v>
      </c>
      <c r="H33" s="112">
        <v>1</v>
      </c>
      <c r="I33" s="112" t="s">
        <v>1229</v>
      </c>
      <c r="J33" s="112" t="s">
        <v>1229</v>
      </c>
      <c r="K33" s="112" t="s">
        <v>1107</v>
      </c>
      <c r="L33" s="112" t="s">
        <v>1108</v>
      </c>
      <c r="M33" s="112" t="s">
        <v>1109</v>
      </c>
    </row>
    <row r="34" spans="1:13" ht="24" customHeight="1">
      <c r="A34" s="112" t="s">
        <v>1126</v>
      </c>
      <c r="B34" s="112" t="s">
        <v>79</v>
      </c>
      <c r="C34" s="112" t="s">
        <v>280</v>
      </c>
      <c r="D34" s="112" t="s">
        <v>277</v>
      </c>
      <c r="E34" s="112" t="s">
        <v>1229</v>
      </c>
      <c r="F34" s="112"/>
      <c r="G34" s="112" t="s">
        <v>168</v>
      </c>
      <c r="H34" s="112">
        <v>1</v>
      </c>
      <c r="I34" s="112" t="s">
        <v>1229</v>
      </c>
      <c r="J34" s="112" t="s">
        <v>1229</v>
      </c>
      <c r="K34" s="112" t="s">
        <v>1107</v>
      </c>
      <c r="L34" s="112" t="s">
        <v>1108</v>
      </c>
      <c r="M34" s="112" t="s">
        <v>1109</v>
      </c>
    </row>
    <row r="35" spans="1:13" ht="24" customHeight="1">
      <c r="A35" s="112" t="s">
        <v>1127</v>
      </c>
      <c r="B35" s="112" t="s">
        <v>79</v>
      </c>
      <c r="C35" s="112" t="s">
        <v>285</v>
      </c>
      <c r="D35" s="112" t="s">
        <v>282</v>
      </c>
      <c r="E35" s="112" t="s">
        <v>1229</v>
      </c>
      <c r="F35" s="112"/>
      <c r="G35" s="112" t="s">
        <v>168</v>
      </c>
      <c r="H35" s="112">
        <v>1</v>
      </c>
      <c r="I35" s="112" t="s">
        <v>1229</v>
      </c>
      <c r="J35" s="112" t="s">
        <v>1229</v>
      </c>
      <c r="K35" s="112" t="s">
        <v>1107</v>
      </c>
      <c r="L35" s="112" t="s">
        <v>1108</v>
      </c>
      <c r="M35" s="112" t="s">
        <v>1109</v>
      </c>
    </row>
    <row r="36" spans="1:13" ht="24" customHeight="1">
      <c r="A36" s="112" t="s">
        <v>1128</v>
      </c>
      <c r="B36" s="112" t="s">
        <v>79</v>
      </c>
      <c r="C36" s="112" t="s">
        <v>290</v>
      </c>
      <c r="D36" s="112" t="s">
        <v>287</v>
      </c>
      <c r="E36" s="112" t="s">
        <v>1229</v>
      </c>
      <c r="F36" s="112"/>
      <c r="G36" s="112" t="s">
        <v>168</v>
      </c>
      <c r="H36" s="112">
        <v>1</v>
      </c>
      <c r="I36" s="112" t="s">
        <v>1229</v>
      </c>
      <c r="J36" s="112" t="s">
        <v>1229</v>
      </c>
      <c r="K36" s="112" t="s">
        <v>1107</v>
      </c>
      <c r="L36" s="112" t="s">
        <v>1108</v>
      </c>
      <c r="M36" s="112" t="s">
        <v>1109</v>
      </c>
    </row>
    <row r="37" spans="1:13" ht="24" customHeight="1">
      <c r="A37" s="112" t="s">
        <v>1129</v>
      </c>
      <c r="B37" s="112" t="s">
        <v>79</v>
      </c>
      <c r="C37" s="112" t="s">
        <v>295</v>
      </c>
      <c r="D37" s="112" t="s">
        <v>292</v>
      </c>
      <c r="E37" s="112" t="s">
        <v>1229</v>
      </c>
      <c r="F37" s="112"/>
      <c r="G37" s="112" t="s">
        <v>168</v>
      </c>
      <c r="H37" s="112">
        <v>1</v>
      </c>
      <c r="I37" s="112" t="s">
        <v>1229</v>
      </c>
      <c r="J37" s="112" t="s">
        <v>1229</v>
      </c>
      <c r="K37" s="112" t="s">
        <v>1107</v>
      </c>
      <c r="L37" s="112" t="s">
        <v>1108</v>
      </c>
      <c r="M37" s="112" t="s">
        <v>1109</v>
      </c>
    </row>
    <row r="38" spans="1:13" ht="24" customHeight="1">
      <c r="A38" s="112" t="s">
        <v>1130</v>
      </c>
      <c r="B38" s="112" t="s">
        <v>79</v>
      </c>
      <c r="C38" s="112" t="s">
        <v>300</v>
      </c>
      <c r="D38" s="112" t="s">
        <v>297</v>
      </c>
      <c r="E38" s="112" t="s">
        <v>1229</v>
      </c>
      <c r="F38" s="112"/>
      <c r="G38" s="112" t="s">
        <v>168</v>
      </c>
      <c r="H38" s="112">
        <v>1</v>
      </c>
      <c r="I38" s="112" t="s">
        <v>1229</v>
      </c>
      <c r="J38" s="112" t="s">
        <v>1229</v>
      </c>
      <c r="K38" s="112" t="s">
        <v>1107</v>
      </c>
      <c r="L38" s="112" t="s">
        <v>1108</v>
      </c>
      <c r="M38" s="112" t="s">
        <v>1109</v>
      </c>
    </row>
    <row r="39" spans="1:13" ht="24" customHeight="1">
      <c r="A39" s="112" t="s">
        <v>1131</v>
      </c>
      <c r="B39" s="112" t="s">
        <v>79</v>
      </c>
      <c r="C39" s="112" t="s">
        <v>304</v>
      </c>
      <c r="D39" s="112" t="s">
        <v>302</v>
      </c>
      <c r="E39" s="112" t="s">
        <v>1229</v>
      </c>
      <c r="F39" s="112"/>
      <c r="G39" s="112" t="s">
        <v>168</v>
      </c>
      <c r="H39" s="112">
        <v>1</v>
      </c>
      <c r="I39" s="112" t="s">
        <v>1229</v>
      </c>
      <c r="J39" s="112" t="s">
        <v>1229</v>
      </c>
      <c r="K39" s="112" t="s">
        <v>1107</v>
      </c>
      <c r="L39" s="112" t="s">
        <v>1108</v>
      </c>
      <c r="M39" s="112" t="s">
        <v>1109</v>
      </c>
    </row>
    <row r="40" spans="1:13" ht="24" customHeight="1">
      <c r="A40" s="112" t="s">
        <v>1132</v>
      </c>
      <c r="B40" s="112" t="s">
        <v>79</v>
      </c>
      <c r="C40" s="112" t="s">
        <v>307</v>
      </c>
      <c r="D40" s="112" t="s">
        <v>306</v>
      </c>
      <c r="E40" s="112" t="s">
        <v>1229</v>
      </c>
      <c r="F40" s="112"/>
      <c r="G40" s="112" t="s">
        <v>168</v>
      </c>
      <c r="H40" s="112">
        <v>1</v>
      </c>
      <c r="I40" s="112" t="s">
        <v>1229</v>
      </c>
      <c r="J40" s="112" t="s">
        <v>1229</v>
      </c>
      <c r="K40" s="112" t="s">
        <v>1107</v>
      </c>
      <c r="L40" s="112" t="s">
        <v>1108</v>
      </c>
      <c r="M40" s="112" t="s">
        <v>1109</v>
      </c>
    </row>
    <row r="41" spans="1:13" ht="24" customHeight="1">
      <c r="A41" s="112" t="s">
        <v>1133</v>
      </c>
      <c r="B41" s="112" t="s">
        <v>79</v>
      </c>
      <c r="C41" s="112" t="s">
        <v>312</v>
      </c>
      <c r="D41" s="112" t="s">
        <v>309</v>
      </c>
      <c r="E41" s="112" t="s">
        <v>1229</v>
      </c>
      <c r="F41" s="112"/>
      <c r="G41" s="112" t="s">
        <v>168</v>
      </c>
      <c r="H41" s="112">
        <v>1</v>
      </c>
      <c r="I41" s="112" t="s">
        <v>1229</v>
      </c>
      <c r="J41" s="112" t="s">
        <v>1229</v>
      </c>
      <c r="K41" s="112" t="s">
        <v>1107</v>
      </c>
      <c r="L41" s="112" t="s">
        <v>1108</v>
      </c>
      <c r="M41" s="112" t="s">
        <v>1109</v>
      </c>
    </row>
    <row r="42" spans="1:13" ht="24" customHeight="1">
      <c r="A42" s="112" t="s">
        <v>1134</v>
      </c>
      <c r="B42" s="112" t="s">
        <v>79</v>
      </c>
      <c r="C42" s="112" t="s">
        <v>317</v>
      </c>
      <c r="D42" s="112" t="s">
        <v>314</v>
      </c>
      <c r="E42" s="112" t="s">
        <v>1229</v>
      </c>
      <c r="F42" s="112"/>
      <c r="G42" s="112" t="s">
        <v>168</v>
      </c>
      <c r="H42" s="112">
        <v>1</v>
      </c>
      <c r="I42" s="112" t="s">
        <v>1229</v>
      </c>
      <c r="J42" s="112" t="s">
        <v>1229</v>
      </c>
      <c r="K42" s="112" t="s">
        <v>1107</v>
      </c>
      <c r="L42" s="112" t="s">
        <v>1108</v>
      </c>
      <c r="M42" s="112" t="s">
        <v>1109</v>
      </c>
    </row>
    <row r="43" spans="1:13" ht="24" customHeight="1">
      <c r="A43" s="112" t="s">
        <v>1135</v>
      </c>
      <c r="B43" s="112" t="s">
        <v>79</v>
      </c>
      <c r="C43" s="112" t="s">
        <v>323</v>
      </c>
      <c r="D43" s="112" t="s">
        <v>319</v>
      </c>
      <c r="E43" s="112" t="s">
        <v>1229</v>
      </c>
      <c r="F43" s="112"/>
      <c r="G43" s="112" t="s">
        <v>168</v>
      </c>
      <c r="H43" s="112">
        <v>1</v>
      </c>
      <c r="I43" s="112" t="s">
        <v>1229</v>
      </c>
      <c r="J43" s="112" t="s">
        <v>1229</v>
      </c>
      <c r="K43" s="112" t="s">
        <v>1107</v>
      </c>
      <c r="L43" s="112" t="s">
        <v>1108</v>
      </c>
      <c r="M43" s="112" t="s">
        <v>1109</v>
      </c>
    </row>
    <row r="44" spans="1:13" ht="24" customHeight="1">
      <c r="A44" s="112" t="s">
        <v>1136</v>
      </c>
      <c r="B44" s="112" t="s">
        <v>79</v>
      </c>
      <c r="C44" s="112" t="s">
        <v>328</v>
      </c>
      <c r="D44" s="112" t="s">
        <v>325</v>
      </c>
      <c r="E44" s="112" t="s">
        <v>1229</v>
      </c>
      <c r="F44" s="112"/>
      <c r="G44" s="112" t="s">
        <v>168</v>
      </c>
      <c r="H44" s="112">
        <v>1</v>
      </c>
      <c r="I44" s="112" t="s">
        <v>1229</v>
      </c>
      <c r="J44" s="112" t="s">
        <v>1229</v>
      </c>
      <c r="K44" s="112" t="s">
        <v>1107</v>
      </c>
      <c r="L44" s="112" t="s">
        <v>1108</v>
      </c>
      <c r="M44" s="112" t="s">
        <v>1109</v>
      </c>
    </row>
    <row r="45" spans="1:13" ht="24" customHeight="1">
      <c r="A45" s="112" t="s">
        <v>1137</v>
      </c>
      <c r="B45" s="112" t="s">
        <v>79</v>
      </c>
      <c r="C45" s="112" t="s">
        <v>333</v>
      </c>
      <c r="D45" s="112" t="s">
        <v>330</v>
      </c>
      <c r="E45" s="112" t="s">
        <v>1229</v>
      </c>
      <c r="F45" s="112"/>
      <c r="G45" s="112" t="s">
        <v>168</v>
      </c>
      <c r="H45" s="112">
        <v>1</v>
      </c>
      <c r="I45" s="112" t="s">
        <v>1229</v>
      </c>
      <c r="J45" s="112" t="s">
        <v>1229</v>
      </c>
      <c r="K45" s="112" t="s">
        <v>1107</v>
      </c>
      <c r="L45" s="112" t="s">
        <v>1108</v>
      </c>
      <c r="M45" s="112" t="s">
        <v>1109</v>
      </c>
    </row>
    <row r="46" spans="1:13" ht="24" customHeight="1">
      <c r="A46" s="112" t="s">
        <v>1138</v>
      </c>
      <c r="B46" s="112" t="s">
        <v>79</v>
      </c>
      <c r="C46" s="112" t="s">
        <v>338</v>
      </c>
      <c r="D46" s="112" t="s">
        <v>335</v>
      </c>
      <c r="E46" s="112" t="s">
        <v>1229</v>
      </c>
      <c r="F46" s="112"/>
      <c r="G46" s="112" t="s">
        <v>168</v>
      </c>
      <c r="H46" s="112">
        <v>1</v>
      </c>
      <c r="I46" s="112" t="s">
        <v>1229</v>
      </c>
      <c r="J46" s="112" t="s">
        <v>1229</v>
      </c>
      <c r="K46" s="112" t="s">
        <v>1107</v>
      </c>
      <c r="L46" s="112" t="s">
        <v>1108</v>
      </c>
      <c r="M46" s="112" t="s">
        <v>1109</v>
      </c>
    </row>
    <row r="47" spans="1:13" ht="24" customHeight="1">
      <c r="A47" s="112" t="s">
        <v>1139</v>
      </c>
      <c r="B47" s="112" t="s">
        <v>79</v>
      </c>
      <c r="C47" s="112" t="s">
        <v>343</v>
      </c>
      <c r="D47" s="112" t="s">
        <v>340</v>
      </c>
      <c r="E47" s="112" t="s">
        <v>1229</v>
      </c>
      <c r="F47" s="112"/>
      <c r="G47" s="112" t="s">
        <v>168</v>
      </c>
      <c r="H47" s="112">
        <v>1</v>
      </c>
      <c r="I47" s="112" t="s">
        <v>1229</v>
      </c>
      <c r="J47" s="112" t="s">
        <v>1229</v>
      </c>
      <c r="K47" s="112" t="s">
        <v>1107</v>
      </c>
      <c r="L47" s="112" t="s">
        <v>1108</v>
      </c>
      <c r="M47" s="112" t="s">
        <v>1109</v>
      </c>
    </row>
    <row r="48" spans="1:13" ht="24" customHeight="1">
      <c r="A48" s="112" t="s">
        <v>1140</v>
      </c>
      <c r="B48" s="112" t="s">
        <v>79</v>
      </c>
      <c r="C48" s="112" t="s">
        <v>349</v>
      </c>
      <c r="D48" s="112" t="s">
        <v>345</v>
      </c>
      <c r="E48" s="112" t="s">
        <v>1229</v>
      </c>
      <c r="F48" s="112"/>
      <c r="G48" s="112" t="s">
        <v>168</v>
      </c>
      <c r="H48" s="112">
        <v>1</v>
      </c>
      <c r="I48" s="112" t="s">
        <v>1229</v>
      </c>
      <c r="J48" s="112" t="s">
        <v>1229</v>
      </c>
      <c r="K48" s="112" t="s">
        <v>1107</v>
      </c>
      <c r="L48" s="112" t="s">
        <v>1108</v>
      </c>
      <c r="M48" s="112" t="s">
        <v>1109</v>
      </c>
    </row>
    <row r="49" spans="1:13" ht="24" customHeight="1">
      <c r="A49" s="112" t="s">
        <v>1141</v>
      </c>
      <c r="B49" s="112" t="s">
        <v>79</v>
      </c>
      <c r="C49" s="112" t="s">
        <v>354</v>
      </c>
      <c r="D49" s="112" t="s">
        <v>351</v>
      </c>
      <c r="E49" s="112" t="s">
        <v>1229</v>
      </c>
      <c r="F49" s="112"/>
      <c r="G49" s="112" t="s">
        <v>168</v>
      </c>
      <c r="H49" s="112">
        <v>1</v>
      </c>
      <c r="I49" s="112" t="s">
        <v>1229</v>
      </c>
      <c r="J49" s="112" t="s">
        <v>1229</v>
      </c>
      <c r="K49" s="112" t="s">
        <v>1107</v>
      </c>
      <c r="L49" s="112" t="s">
        <v>1108</v>
      </c>
      <c r="M49" s="112" t="s">
        <v>1109</v>
      </c>
    </row>
    <row r="50" spans="1:13" ht="24" customHeight="1">
      <c r="A50" s="112" t="s">
        <v>1142</v>
      </c>
      <c r="B50" s="112" t="s">
        <v>79</v>
      </c>
      <c r="C50" s="112" t="s">
        <v>359</v>
      </c>
      <c r="D50" s="112" t="s">
        <v>356</v>
      </c>
      <c r="E50" s="112" t="s">
        <v>1229</v>
      </c>
      <c r="F50" s="112"/>
      <c r="G50" s="112" t="s">
        <v>168</v>
      </c>
      <c r="H50" s="112">
        <v>1</v>
      </c>
      <c r="I50" s="112" t="s">
        <v>1229</v>
      </c>
      <c r="J50" s="112" t="s">
        <v>1229</v>
      </c>
      <c r="K50" s="112" t="s">
        <v>1107</v>
      </c>
      <c r="L50" s="112" t="s">
        <v>1108</v>
      </c>
      <c r="M50" s="112" t="s">
        <v>1109</v>
      </c>
    </row>
    <row r="51" spans="1:13" ht="24" customHeight="1">
      <c r="A51" s="112" t="s">
        <v>1143</v>
      </c>
      <c r="B51" s="112" t="s">
        <v>79</v>
      </c>
      <c r="C51" s="112" t="s">
        <v>364</v>
      </c>
      <c r="D51" s="112" t="s">
        <v>361</v>
      </c>
      <c r="E51" s="112" t="s">
        <v>1229</v>
      </c>
      <c r="F51" s="112"/>
      <c r="G51" s="112" t="s">
        <v>168</v>
      </c>
      <c r="H51" s="112">
        <v>1</v>
      </c>
      <c r="I51" s="112" t="s">
        <v>1229</v>
      </c>
      <c r="J51" s="112" t="s">
        <v>1229</v>
      </c>
      <c r="K51" s="112" t="s">
        <v>1107</v>
      </c>
      <c r="L51" s="112" t="s">
        <v>1108</v>
      </c>
      <c r="M51" s="112" t="s">
        <v>1109</v>
      </c>
    </row>
    <row r="52" spans="1:13" ht="24" customHeight="1">
      <c r="A52" s="112" t="s">
        <v>1144</v>
      </c>
      <c r="B52" s="112" t="s">
        <v>79</v>
      </c>
      <c r="C52" s="112" t="s">
        <v>368</v>
      </c>
      <c r="D52" s="112" t="s">
        <v>366</v>
      </c>
      <c r="E52" s="112" t="s">
        <v>1229</v>
      </c>
      <c r="F52" s="112"/>
      <c r="G52" s="112" t="s">
        <v>168</v>
      </c>
      <c r="H52" s="112">
        <v>1</v>
      </c>
      <c r="I52" s="112" t="s">
        <v>1229</v>
      </c>
      <c r="J52" s="112" t="s">
        <v>1229</v>
      </c>
      <c r="K52" s="112" t="s">
        <v>1107</v>
      </c>
      <c r="L52" s="112" t="s">
        <v>1108</v>
      </c>
      <c r="M52" s="112" t="s">
        <v>1109</v>
      </c>
    </row>
    <row r="53" spans="1:13" ht="24" customHeight="1">
      <c r="A53" s="112" t="s">
        <v>1145</v>
      </c>
      <c r="B53" s="112" t="s">
        <v>79</v>
      </c>
      <c r="C53" s="112" t="s">
        <v>374</v>
      </c>
      <c r="D53" s="112" t="s">
        <v>370</v>
      </c>
      <c r="E53" s="112" t="s">
        <v>1229</v>
      </c>
      <c r="F53" s="112"/>
      <c r="G53" s="112" t="s">
        <v>168</v>
      </c>
      <c r="H53" s="112">
        <v>1</v>
      </c>
      <c r="I53" s="112" t="s">
        <v>1229</v>
      </c>
      <c r="J53" s="112" t="s">
        <v>1229</v>
      </c>
      <c r="K53" s="112" t="s">
        <v>1107</v>
      </c>
      <c r="L53" s="112" t="s">
        <v>1108</v>
      </c>
      <c r="M53" s="112" t="s">
        <v>1109</v>
      </c>
    </row>
    <row r="54" spans="1:13" ht="24" customHeight="1">
      <c r="A54" s="112" t="s">
        <v>1146</v>
      </c>
      <c r="B54" s="112" t="s">
        <v>79</v>
      </c>
      <c r="C54" s="112" t="s">
        <v>379</v>
      </c>
      <c r="D54" s="112" t="s">
        <v>376</v>
      </c>
      <c r="E54" s="112" t="s">
        <v>1229</v>
      </c>
      <c r="F54" s="112"/>
      <c r="G54" s="112" t="s">
        <v>168</v>
      </c>
      <c r="H54" s="112">
        <v>1</v>
      </c>
      <c r="I54" s="112" t="s">
        <v>1229</v>
      </c>
      <c r="J54" s="112" t="s">
        <v>1229</v>
      </c>
      <c r="K54" s="112" t="s">
        <v>1107</v>
      </c>
      <c r="L54" s="112" t="s">
        <v>1108</v>
      </c>
      <c r="M54" s="112" t="s">
        <v>1109</v>
      </c>
    </row>
    <row r="55" spans="1:13" ht="24" customHeight="1">
      <c r="A55" s="112" t="s">
        <v>1147</v>
      </c>
      <c r="B55" s="112" t="s">
        <v>79</v>
      </c>
      <c r="C55" s="112" t="s">
        <v>384</v>
      </c>
      <c r="D55" s="112" t="s">
        <v>381</v>
      </c>
      <c r="E55" s="112" t="s">
        <v>1229</v>
      </c>
      <c r="F55" s="112"/>
      <c r="G55" s="112" t="s">
        <v>168</v>
      </c>
      <c r="H55" s="112">
        <v>1</v>
      </c>
      <c r="I55" s="112" t="s">
        <v>1229</v>
      </c>
      <c r="J55" s="112" t="s">
        <v>1229</v>
      </c>
      <c r="K55" s="112" t="s">
        <v>1107</v>
      </c>
      <c r="L55" s="112" t="s">
        <v>1108</v>
      </c>
      <c r="M55" s="112" t="s">
        <v>1109</v>
      </c>
    </row>
    <row r="56" spans="1:13" ht="24" customHeight="1">
      <c r="A56" s="112" t="s">
        <v>1148</v>
      </c>
      <c r="B56" s="112" t="s">
        <v>79</v>
      </c>
      <c r="C56" s="112" t="s">
        <v>389</v>
      </c>
      <c r="D56" s="112" t="s">
        <v>386</v>
      </c>
      <c r="E56" s="112" t="s">
        <v>1229</v>
      </c>
      <c r="F56" s="112"/>
      <c r="G56" s="112" t="s">
        <v>168</v>
      </c>
      <c r="H56" s="112">
        <v>1</v>
      </c>
      <c r="I56" s="112" t="s">
        <v>1229</v>
      </c>
      <c r="J56" s="112" t="s">
        <v>1229</v>
      </c>
      <c r="K56" s="112" t="s">
        <v>1107</v>
      </c>
      <c r="L56" s="112" t="s">
        <v>1108</v>
      </c>
      <c r="M56" s="112" t="s">
        <v>1109</v>
      </c>
    </row>
    <row r="57" spans="1:13" ht="24" customHeight="1">
      <c r="A57" s="112" t="s">
        <v>1149</v>
      </c>
      <c r="B57" s="112" t="s">
        <v>79</v>
      </c>
      <c r="C57" s="112" t="s">
        <v>393</v>
      </c>
      <c r="D57" s="112" t="s">
        <v>391</v>
      </c>
      <c r="E57" s="112" t="s">
        <v>1229</v>
      </c>
      <c r="F57" s="112"/>
      <c r="G57" s="112" t="s">
        <v>168</v>
      </c>
      <c r="H57" s="112">
        <v>1</v>
      </c>
      <c r="I57" s="112" t="s">
        <v>1229</v>
      </c>
      <c r="J57" s="112" t="s">
        <v>1229</v>
      </c>
      <c r="K57" s="112" t="s">
        <v>1107</v>
      </c>
      <c r="L57" s="112" t="s">
        <v>1108</v>
      </c>
      <c r="M57" s="112" t="s">
        <v>1109</v>
      </c>
    </row>
    <row r="58" spans="1:13" ht="24" customHeight="1">
      <c r="A58" s="112" t="s">
        <v>1150</v>
      </c>
      <c r="B58" s="112" t="s">
        <v>79</v>
      </c>
      <c r="C58" s="112" t="s">
        <v>399</v>
      </c>
      <c r="D58" s="112" t="s">
        <v>395</v>
      </c>
      <c r="E58" s="112" t="s">
        <v>1229</v>
      </c>
      <c r="F58" s="112"/>
      <c r="G58" s="112" t="s">
        <v>168</v>
      </c>
      <c r="H58" s="112">
        <v>1</v>
      </c>
      <c r="I58" s="112" t="s">
        <v>1229</v>
      </c>
      <c r="J58" s="112" t="s">
        <v>1229</v>
      </c>
      <c r="K58" s="112" t="s">
        <v>1107</v>
      </c>
      <c r="L58" s="112" t="s">
        <v>1108</v>
      </c>
      <c r="M58" s="112" t="s">
        <v>1109</v>
      </c>
    </row>
    <row r="59" spans="1:13" ht="24" customHeight="1">
      <c r="A59" s="112" t="s">
        <v>1151</v>
      </c>
      <c r="B59" s="112" t="s">
        <v>79</v>
      </c>
      <c r="C59" s="112" t="s">
        <v>404</v>
      </c>
      <c r="D59" s="112" t="s">
        <v>401</v>
      </c>
      <c r="E59" s="112" t="s">
        <v>1229</v>
      </c>
      <c r="F59" s="112"/>
      <c r="G59" s="112" t="s">
        <v>168</v>
      </c>
      <c r="H59" s="112">
        <v>1</v>
      </c>
      <c r="I59" s="112" t="s">
        <v>1229</v>
      </c>
      <c r="J59" s="112" t="s">
        <v>1229</v>
      </c>
      <c r="K59" s="112" t="s">
        <v>1107</v>
      </c>
      <c r="L59" s="112" t="s">
        <v>1108</v>
      </c>
      <c r="M59" s="112" t="s">
        <v>1109</v>
      </c>
    </row>
    <row r="60" spans="1:13" ht="24" customHeight="1">
      <c r="A60" s="112" t="s">
        <v>1152</v>
      </c>
      <c r="B60" s="112" t="s">
        <v>79</v>
      </c>
      <c r="C60" s="112" t="s">
        <v>409</v>
      </c>
      <c r="D60" s="112" t="s">
        <v>406</v>
      </c>
      <c r="E60" s="112" t="s">
        <v>1229</v>
      </c>
      <c r="F60" s="112"/>
      <c r="G60" s="112" t="s">
        <v>168</v>
      </c>
      <c r="H60" s="112">
        <v>1</v>
      </c>
      <c r="I60" s="112" t="s">
        <v>1229</v>
      </c>
      <c r="J60" s="112" t="s">
        <v>1229</v>
      </c>
      <c r="K60" s="112" t="s">
        <v>1107</v>
      </c>
      <c r="L60" s="112" t="s">
        <v>1108</v>
      </c>
      <c r="M60" s="112" t="s">
        <v>1109</v>
      </c>
    </row>
    <row r="61" spans="1:13" ht="24" customHeight="1">
      <c r="A61" s="112" t="s">
        <v>1153</v>
      </c>
      <c r="B61" s="112" t="s">
        <v>79</v>
      </c>
      <c r="C61" s="112" t="s">
        <v>414</v>
      </c>
      <c r="D61" s="112" t="s">
        <v>411</v>
      </c>
      <c r="E61" s="112" t="s">
        <v>1229</v>
      </c>
      <c r="F61" s="112"/>
      <c r="G61" s="112" t="s">
        <v>168</v>
      </c>
      <c r="H61" s="112">
        <v>1</v>
      </c>
      <c r="I61" s="112" t="s">
        <v>1229</v>
      </c>
      <c r="J61" s="112" t="s">
        <v>1229</v>
      </c>
      <c r="K61" s="112" t="s">
        <v>1107</v>
      </c>
      <c r="L61" s="112" t="s">
        <v>1108</v>
      </c>
      <c r="M61" s="112" t="s">
        <v>1109</v>
      </c>
    </row>
    <row r="62" spans="1:13" ht="24" customHeight="1">
      <c r="A62" s="112" t="s">
        <v>1154</v>
      </c>
      <c r="B62" s="112" t="s">
        <v>79</v>
      </c>
      <c r="C62" s="112" t="s">
        <v>419</v>
      </c>
      <c r="D62" s="112" t="s">
        <v>416</v>
      </c>
      <c r="E62" s="112" t="s">
        <v>1229</v>
      </c>
      <c r="F62" s="112"/>
      <c r="G62" s="112" t="s">
        <v>168</v>
      </c>
      <c r="H62" s="112">
        <v>1</v>
      </c>
      <c r="I62" s="112" t="s">
        <v>1229</v>
      </c>
      <c r="J62" s="112" t="s">
        <v>1229</v>
      </c>
      <c r="K62" s="112" t="s">
        <v>1107</v>
      </c>
      <c r="L62" s="112" t="s">
        <v>1108</v>
      </c>
      <c r="M62" s="112" t="s">
        <v>1109</v>
      </c>
    </row>
    <row r="63" spans="1:13" ht="24" customHeight="1">
      <c r="A63" s="112" t="s">
        <v>1155</v>
      </c>
      <c r="B63" s="112" t="s">
        <v>79</v>
      </c>
      <c r="C63" s="112" t="s">
        <v>425</v>
      </c>
      <c r="D63" s="112" t="s">
        <v>421</v>
      </c>
      <c r="E63" s="112" t="s">
        <v>1229</v>
      </c>
      <c r="F63" s="112"/>
      <c r="G63" s="112" t="s">
        <v>168</v>
      </c>
      <c r="H63" s="112">
        <v>1</v>
      </c>
      <c r="I63" s="112" t="s">
        <v>1229</v>
      </c>
      <c r="J63" s="112" t="s">
        <v>1229</v>
      </c>
      <c r="K63" s="112" t="s">
        <v>1107</v>
      </c>
      <c r="L63" s="112" t="s">
        <v>1108</v>
      </c>
      <c r="M63" s="112" t="s">
        <v>1109</v>
      </c>
    </row>
    <row r="64" spans="1:13" ht="24" customHeight="1">
      <c r="A64" s="112" t="s">
        <v>1156</v>
      </c>
      <c r="B64" s="112" t="s">
        <v>79</v>
      </c>
      <c r="C64" s="112" t="s">
        <v>430</v>
      </c>
      <c r="D64" s="112" t="s">
        <v>427</v>
      </c>
      <c r="E64" s="112" t="s">
        <v>1229</v>
      </c>
      <c r="F64" s="112"/>
      <c r="G64" s="112" t="s">
        <v>168</v>
      </c>
      <c r="H64" s="112">
        <v>1</v>
      </c>
      <c r="I64" s="112" t="s">
        <v>1229</v>
      </c>
      <c r="J64" s="112" t="s">
        <v>1229</v>
      </c>
      <c r="K64" s="112" t="s">
        <v>1107</v>
      </c>
      <c r="L64" s="112" t="s">
        <v>1108</v>
      </c>
      <c r="M64" s="112" t="s">
        <v>1109</v>
      </c>
    </row>
    <row r="65" spans="1:13" ht="24" customHeight="1">
      <c r="A65" s="112" t="s">
        <v>1157</v>
      </c>
      <c r="B65" s="112" t="s">
        <v>79</v>
      </c>
      <c r="C65" s="112" t="s">
        <v>435</v>
      </c>
      <c r="D65" s="112" t="s">
        <v>432</v>
      </c>
      <c r="E65" s="112" t="s">
        <v>1229</v>
      </c>
      <c r="F65" s="112"/>
      <c r="G65" s="112" t="s">
        <v>168</v>
      </c>
      <c r="H65" s="112">
        <v>1</v>
      </c>
      <c r="I65" s="112" t="s">
        <v>1229</v>
      </c>
      <c r="J65" s="112" t="s">
        <v>1229</v>
      </c>
      <c r="K65" s="112" t="s">
        <v>1107</v>
      </c>
      <c r="L65" s="112" t="s">
        <v>1108</v>
      </c>
      <c r="M65" s="112" t="s">
        <v>1109</v>
      </c>
    </row>
    <row r="66" spans="1:13" ht="24" customHeight="1">
      <c r="A66" s="112" t="s">
        <v>1158</v>
      </c>
      <c r="B66" s="112" t="s">
        <v>79</v>
      </c>
      <c r="C66" s="112" t="s">
        <v>440</v>
      </c>
      <c r="D66" s="112" t="s">
        <v>437</v>
      </c>
      <c r="E66" s="112" t="s">
        <v>1229</v>
      </c>
      <c r="F66" s="112"/>
      <c r="G66" s="112" t="s">
        <v>168</v>
      </c>
      <c r="H66" s="112">
        <v>1</v>
      </c>
      <c r="I66" s="112" t="s">
        <v>1229</v>
      </c>
      <c r="J66" s="112" t="s">
        <v>1229</v>
      </c>
      <c r="K66" s="112" t="s">
        <v>1107</v>
      </c>
      <c r="L66" s="112" t="s">
        <v>1108</v>
      </c>
      <c r="M66" s="112" t="s">
        <v>1109</v>
      </c>
    </row>
    <row r="67" spans="1:13">
      <c r="A67" s="121" t="s">
        <v>1159</v>
      </c>
      <c r="B67" s="121" t="s">
        <v>79</v>
      </c>
      <c r="C67" s="121" t="s">
        <v>445</v>
      </c>
      <c r="D67" s="121" t="s">
        <v>442</v>
      </c>
      <c r="E67" s="121" t="s">
        <v>1229</v>
      </c>
      <c r="F67" s="121"/>
      <c r="G67" s="121" t="s">
        <v>168</v>
      </c>
      <c r="H67" s="121">
        <v>1</v>
      </c>
      <c r="I67" s="121" t="s">
        <v>1229</v>
      </c>
      <c r="J67" s="121" t="s">
        <v>1229</v>
      </c>
      <c r="K67" s="121" t="s">
        <v>1107</v>
      </c>
      <c r="L67" s="121" t="s">
        <v>1108</v>
      </c>
      <c r="M67" s="121" t="s">
        <v>1109</v>
      </c>
    </row>
  </sheetData>
  <sheetProtection sheet="1" objects="1" scenarios="1" autoFilter="0"/>
  <pageMargins left="0.7" right="0.7" top="0.75" bottom="0.75" header="0.3" footer="0.3"/>
  <tableParts count="1">
    <tablePart r:id="rId1"/>
  </tablePart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36"/>
  <dimension ref="A12:U16"/>
  <sheetViews>
    <sheetView showGridLines="0" zoomScale="85" workbookViewId="0"/>
  </sheetViews>
  <sheetFormatPr defaultRowHeight="14.4"/>
  <cols>
    <col min="1" max="1" width="13" customWidth="1"/>
    <col min="2" max="3" width="25" customWidth="1"/>
    <col min="4" max="4" width="24" customWidth="1"/>
    <col min="5" max="5" width="21" customWidth="1"/>
    <col min="6" max="6" width="28" customWidth="1"/>
    <col min="7" max="7" width="25" customWidth="1"/>
    <col min="8" max="10" width="20" customWidth="1"/>
    <col min="11" max="11" width="21" customWidth="1"/>
    <col min="12" max="12" width="50" customWidth="1"/>
    <col min="13" max="13" width="31" customWidth="1"/>
    <col min="14" max="14" width="42" customWidth="1"/>
    <col min="15" max="15" width="43" customWidth="1"/>
    <col min="16" max="16" width="34" customWidth="1"/>
    <col min="17" max="17" width="15" customWidth="1"/>
    <col min="18" max="19" width="19" customWidth="1"/>
    <col min="20" max="20" width="17" customWidth="1"/>
    <col min="21" max="21" width="14" customWidth="1"/>
  </cols>
  <sheetData>
    <row r="12" spans="1:21" ht="42" customHeight="1">
      <c r="A12" s="111" t="s">
        <v>1160</v>
      </c>
      <c r="B12" s="111" t="s">
        <v>1161</v>
      </c>
      <c r="C12" s="111" t="s">
        <v>60</v>
      </c>
      <c r="D12" s="111" t="s">
        <v>0</v>
      </c>
      <c r="E12" s="111" t="s">
        <v>970</v>
      </c>
      <c r="F12" s="111" t="s">
        <v>6</v>
      </c>
      <c r="G12" s="111" t="s">
        <v>44</v>
      </c>
      <c r="H12" s="111" t="s">
        <v>972</v>
      </c>
      <c r="I12" s="111" t="s">
        <v>1162</v>
      </c>
      <c r="J12" s="111" t="s">
        <v>29</v>
      </c>
      <c r="K12" s="111" t="s">
        <v>975</v>
      </c>
      <c r="L12" s="111" t="s">
        <v>1163</v>
      </c>
      <c r="M12" s="111" t="s">
        <v>1164</v>
      </c>
      <c r="N12" s="111" t="s">
        <v>1165</v>
      </c>
      <c r="O12" s="111" t="s">
        <v>42</v>
      </c>
      <c r="P12" s="111" t="s">
        <v>43</v>
      </c>
      <c r="Q12" s="111" t="s">
        <v>45</v>
      </c>
      <c r="R12" s="111" t="s">
        <v>46</v>
      </c>
      <c r="S12" s="111" t="s">
        <v>47</v>
      </c>
      <c r="T12" s="111" t="s">
        <v>48</v>
      </c>
      <c r="U12" s="111" t="s">
        <v>1166</v>
      </c>
    </row>
    <row r="13" spans="1:21" ht="24" customHeight="1">
      <c r="A13" s="112">
        <v>1</v>
      </c>
      <c r="B13" s="112" t="s">
        <v>19</v>
      </c>
      <c r="C13" s="112" t="s">
        <v>18</v>
      </c>
      <c r="D13" s="112" t="s">
        <v>20</v>
      </c>
      <c r="E13" s="112" t="s">
        <v>21</v>
      </c>
      <c r="F13" s="112" t="s">
        <v>22</v>
      </c>
      <c r="G13" s="106" t="str">
        <f>IF(LEN($O13)=0,"",IF(COUNTIFS(_TQM_SL_REGULI!$A$2:$A$9,$P13)&lt;&gt;1,"REGULA NECONFIGURATA",IF(COUNTIFS(_TQM_SL_REGULI!$A$2:$A$9,$P13,_TQM_SL_REGULI!$H$2:$H$9,"Confirmata")=1,"Confirmata","De confirmat")))</f>
        <v>De confirmat</v>
      </c>
      <c r="H13" s="106" t="str">
        <f>IF(LEN($O13)=0,"",IF($G13&lt;&gt;"Confirmata","De confirmat",IF($Q13=0,"N/A",IF(COUNTIFS(_TQM_DOC_LEG!$C$13,"Dosar",_TQM_DOC_LEG!$D$13,$O13,_TQM_DOC_LEG!$E$13,"Aviz",_TQM_DOC_LEG!$P$13,1)&gt;0,"Verificat","Lipsa"))))</f>
        <v>De confirmat</v>
      </c>
      <c r="I13" s="106" t="str">
        <f>IF(LEN($O13)=0,"",IF($G13&lt;&gt;"Confirmata","De confirmat",IF($R13=0,"N/A",IF(COUNTIFS(_TQM_DOC_LEG!$C$13,"Dosar",_TQM_DOC_LEG!$D$13,$O13,_TQM_DOC_LEG!$E$13,"Declaratie conformitate",_TQM_DOC_LEG!$P$13,1)&gt;0,"Verificat","Lipsa"))))</f>
        <v>De confirmat</v>
      </c>
      <c r="J13" s="106" t="str">
        <f>IF(LEN($O13)=0,"",IF($G13&lt;&gt;"Confirmata","De confirmat",IF($S13=0,"N/A",IF(COUNTIFS(_TQM_DOC_LEG!$C$13,"Dosar",_TQM_DOC_LEG!$D$13,$O13,_TQM_DOC_LEG!$E$13,"Declaratie producator",_TQM_DOC_LEG!$P$13,1)&gt;0,"Verificat","Lipsa"))))</f>
        <v>De confirmat</v>
      </c>
      <c r="K13" s="106" t="str">
        <f>IF(LEN($O13)=0,"",IF($G13&lt;&gt;"Confirmata","De confirmat",IF($T13=0,"N/A",IF(COUNTIFS(_TQM_DOC_LEG!$C$13,"Dosar",_TQM_DOC_LEG!$D$13,$O13,_TQM_DOC_LEG!$E$13,"Fise tehnice",_TQM_DOC_LEG!$P$13,1)&gt;0,"Verificat","Lipsa"))))</f>
        <v>De confirmat</v>
      </c>
      <c r="L13" s="106" t="str">
        <f t="shared" ref="L13:L16" si="0">IF(LEN($O13)=0,"",IF($G13&lt;&gt;"Confirmata","Confirmati regulile documentelor",IF($H13="Lipsa","Aviz; ","")&amp;IF($I13="Lipsa","Declaratie conformitate; ","")&amp;IF($J13="Lipsa","Declaratie producator; ","")&amp;IF($K13="Lipsa","Fise tehnice; ","")))</f>
        <v>Confirmati regulile documentelor</v>
      </c>
      <c r="M13" s="106" t="str">
        <f t="shared" ref="M13:M16" si="1">IF(LEN($O13)=0,"",IF($G13&lt;&gt;"Confirmata","REGULI DE CONFIRMAT",IF($U13=0,"ARHIVA COMPLETA","ARHIVA INCOMPLETA")))</f>
        <v>REGULI DE CONFIRMAT</v>
      </c>
      <c r="N13" s="112" t="s">
        <v>1167</v>
      </c>
      <c r="O13" s="112" t="s">
        <v>51</v>
      </c>
      <c r="P13" s="112" t="s">
        <v>977</v>
      </c>
      <c r="Q13" s="109">
        <f>IF(LEN($O13)=0,"",IF($G13&lt;&gt;"Confirmata",0,IF(COUNTIFS(_TQM_SL_REGULI!$A$2:$A$9,$P13,_TQM_SL_REGULI!$D$2:$D$9,"Da")=1,1,0)))</f>
        <v>0</v>
      </c>
      <c r="R13" s="109">
        <f>IF(LEN($O13)=0,"",IF($G13&lt;&gt;"Confirmata",0,IF(COUNTIFS(_TQM_SL_REGULI!$A$2:$A$9,$P13,_TQM_SL_REGULI!$E$2:$E$9,"Da")=1,1,0)))</f>
        <v>0</v>
      </c>
      <c r="S13" s="109">
        <f>IF(LEN($O13)=0,"",IF($G13&lt;&gt;"Confirmata",0,IF(COUNTIFS(_TQM_SL_REGULI!$A$2:$A$9,$P13,_TQM_SL_REGULI!$F$2:$F$9,"Da")=1,1,0)))</f>
        <v>0</v>
      </c>
      <c r="T13" s="109">
        <f>IF(LEN($O13)=0,"",IF($G13&lt;&gt;"Confirmata",0,IF(COUNTIFS(_TQM_SL_REGULI!$A$2:$A$9,$P13,_TQM_SL_REGULI!$G$2:$G$9,"Da")=1,1,0)))</f>
        <v>0</v>
      </c>
      <c r="U13" s="109" t="str">
        <f t="shared" ref="U13:U16" si="2">IF(LEN($O13)=0,"",IF($G13&lt;&gt;"Confirmata","n.a.",IF($H13="Lipsa",1,0)+IF($I13="Lipsa",1,0)+IF($J13="Lipsa",1,0)+IF($K13="Lipsa",1,0)))</f>
        <v>n.a.</v>
      </c>
    </row>
    <row r="14" spans="1:21" ht="24" customHeight="1">
      <c r="A14" s="112">
        <v>2</v>
      </c>
      <c r="B14" s="112" t="s">
        <v>27</v>
      </c>
      <c r="C14" s="112" t="s">
        <v>28</v>
      </c>
      <c r="D14" s="112" t="s">
        <v>25</v>
      </c>
      <c r="E14" s="112" t="s">
        <v>21</v>
      </c>
      <c r="F14" s="112" t="s">
        <v>26</v>
      </c>
      <c r="G14" s="106" t="str">
        <f>IF(LEN($O14)=0,"",IF(COUNTIFS(_TQM_SL_REGULI!$A$2:$A$9,$P14)&lt;&gt;1,"REGULA NECONFIGURATA",IF(COUNTIFS(_TQM_SL_REGULI!$A$2:$A$9,$P14,_TQM_SL_REGULI!$H$2:$H$9,"Confirmata")=1,"Confirmata","De confirmat")))</f>
        <v>De confirmat</v>
      </c>
      <c r="H14" s="106" t="str">
        <f>IF(LEN($O14)=0,"",IF($G14&lt;&gt;"Confirmata","De confirmat",IF($Q14=0,"N/A",IF(COUNTIFS(_TQM_DOC_LEG!$C$13,"Dosar",_TQM_DOC_LEG!$D$13,$O14,_TQM_DOC_LEG!$E$13,"Aviz",_TQM_DOC_LEG!$P$13,1)&gt;0,"Verificat","Lipsa"))))</f>
        <v>De confirmat</v>
      </c>
      <c r="I14" s="106" t="str">
        <f>IF(LEN($O14)=0,"",IF($G14&lt;&gt;"Confirmata","De confirmat",IF($R14=0,"N/A",IF(COUNTIFS(_TQM_DOC_LEG!$C$13,"Dosar",_TQM_DOC_LEG!$D$13,$O14,_TQM_DOC_LEG!$E$13,"Declaratie conformitate",_TQM_DOC_LEG!$P$13,1)&gt;0,"Verificat","Lipsa"))))</f>
        <v>De confirmat</v>
      </c>
      <c r="J14" s="106" t="str">
        <f>IF(LEN($O14)=0,"",IF($G14&lt;&gt;"Confirmata","De confirmat",IF($S14=0,"N/A",IF(COUNTIFS(_TQM_DOC_LEG!$C$13,"Dosar",_TQM_DOC_LEG!$D$13,$O14,_TQM_DOC_LEG!$E$13,"Declaratie producator",_TQM_DOC_LEG!$P$13,1)&gt;0,"Verificat","Lipsa"))))</f>
        <v>De confirmat</v>
      </c>
      <c r="K14" s="106" t="str">
        <f>IF(LEN($O14)=0,"",IF($G14&lt;&gt;"Confirmata","De confirmat",IF($T14=0,"N/A",IF(COUNTIFS(_TQM_DOC_LEG!$C$13,"Dosar",_TQM_DOC_LEG!$D$13,$O14,_TQM_DOC_LEG!$E$13,"Fise tehnice",_TQM_DOC_LEG!$P$13,1)&gt;0,"Verificat","Lipsa"))))</f>
        <v>De confirmat</v>
      </c>
      <c r="L14" s="106" t="str">
        <f t="shared" si="0"/>
        <v>Confirmati regulile documentelor</v>
      </c>
      <c r="M14" s="106" t="str">
        <f t="shared" si="1"/>
        <v>REGULI DE CONFIRMAT</v>
      </c>
      <c r="N14" s="112" t="s">
        <v>1167</v>
      </c>
      <c r="O14" s="112" t="s">
        <v>52</v>
      </c>
      <c r="P14" s="112" t="s">
        <v>980</v>
      </c>
      <c r="Q14" s="109">
        <f>IF(LEN($O14)=0,"",IF($G14&lt;&gt;"Confirmata",0,IF(COUNTIFS(_TQM_SL_REGULI!$A$2:$A$9,$P14,_TQM_SL_REGULI!$D$2:$D$9,"Da")=1,1,0)))</f>
        <v>0</v>
      </c>
      <c r="R14" s="109">
        <f>IF(LEN($O14)=0,"",IF($G14&lt;&gt;"Confirmata",0,IF(COUNTIFS(_TQM_SL_REGULI!$A$2:$A$9,$P14,_TQM_SL_REGULI!$E$2:$E$9,"Da")=1,1,0)))</f>
        <v>0</v>
      </c>
      <c r="S14" s="109">
        <f>IF(LEN($O14)=0,"",IF($G14&lt;&gt;"Confirmata",0,IF(COUNTIFS(_TQM_SL_REGULI!$A$2:$A$9,$P14,_TQM_SL_REGULI!$F$2:$F$9,"Da")=1,1,0)))</f>
        <v>0</v>
      </c>
      <c r="T14" s="109">
        <f>IF(LEN($O14)=0,"",IF($G14&lt;&gt;"Confirmata",0,IF(COUNTIFS(_TQM_SL_REGULI!$A$2:$A$9,$P14,_TQM_SL_REGULI!$G$2:$G$9,"Da")=1,1,0)))</f>
        <v>0</v>
      </c>
      <c r="U14" s="109" t="str">
        <f t="shared" si="2"/>
        <v>n.a.</v>
      </c>
    </row>
    <row r="15" spans="1:21" ht="24" customHeight="1">
      <c r="A15" s="112">
        <v>3</v>
      </c>
      <c r="B15" s="112" t="s">
        <v>32</v>
      </c>
      <c r="C15" s="112" t="s">
        <v>33</v>
      </c>
      <c r="D15" s="112" t="s">
        <v>31</v>
      </c>
      <c r="E15" s="112" t="s">
        <v>29</v>
      </c>
      <c r="F15" s="112" t="s">
        <v>22</v>
      </c>
      <c r="G15" s="106" t="str">
        <f>IF(LEN($O15)=0,"",IF(COUNTIFS(_TQM_SL_REGULI!$A$2:$A$9,$P15)&lt;&gt;1,"REGULA NECONFIGURATA",IF(COUNTIFS(_TQM_SL_REGULI!$A$2:$A$9,$P15,_TQM_SL_REGULI!$H$2:$H$9,"Confirmata")=1,"Confirmata","De confirmat")))</f>
        <v>De confirmat</v>
      </c>
      <c r="H15" s="106" t="str">
        <f>IF(LEN($O15)=0,"",IF($G15&lt;&gt;"Confirmata","De confirmat",IF($Q15=0,"N/A",IF(COUNTIFS(_TQM_DOC_LEG!$C$13,"Dosar",_TQM_DOC_LEG!$D$13,$O15,_TQM_DOC_LEG!$E$13,"Aviz",_TQM_DOC_LEG!$P$13,1)&gt;0,"Verificat","Lipsa"))))</f>
        <v>De confirmat</v>
      </c>
      <c r="I15" s="106" t="str">
        <f>IF(LEN($O15)=0,"",IF($G15&lt;&gt;"Confirmata","De confirmat",IF($R15=0,"N/A",IF(COUNTIFS(_TQM_DOC_LEG!$C$13,"Dosar",_TQM_DOC_LEG!$D$13,$O15,_TQM_DOC_LEG!$E$13,"Declaratie conformitate",_TQM_DOC_LEG!$P$13,1)&gt;0,"Verificat","Lipsa"))))</f>
        <v>De confirmat</v>
      </c>
      <c r="J15" s="106" t="str">
        <f>IF(LEN($O15)=0,"",IF($G15&lt;&gt;"Confirmata","De confirmat",IF($S15=0,"N/A",IF(COUNTIFS(_TQM_DOC_LEG!$C$13,"Dosar",_TQM_DOC_LEG!$D$13,$O15,_TQM_DOC_LEG!$E$13,"Declaratie producator",_TQM_DOC_LEG!$P$13,1)&gt;0,"Verificat","Lipsa"))))</f>
        <v>De confirmat</v>
      </c>
      <c r="K15" s="106" t="str">
        <f>IF(LEN($O15)=0,"",IF($G15&lt;&gt;"Confirmata","De confirmat",IF($T15=0,"N/A",IF(COUNTIFS(_TQM_DOC_LEG!$C$13,"Dosar",_TQM_DOC_LEG!$D$13,$O15,_TQM_DOC_LEG!$E$13,"Fise tehnice",_TQM_DOC_LEG!$P$13,1)&gt;0,"Verificat","Lipsa"))))</f>
        <v>De confirmat</v>
      </c>
      <c r="L15" s="106" t="str">
        <f t="shared" si="0"/>
        <v>Confirmati regulile documentelor</v>
      </c>
      <c r="M15" s="106" t="str">
        <f t="shared" si="1"/>
        <v>REGULI DE CONFIRMAT</v>
      </c>
      <c r="N15" s="112" t="s">
        <v>1167</v>
      </c>
      <c r="O15" s="112" t="s">
        <v>53</v>
      </c>
      <c r="P15" s="112" t="s">
        <v>983</v>
      </c>
      <c r="Q15" s="109">
        <f>IF(LEN($O15)=0,"",IF($G15&lt;&gt;"Confirmata",0,IF(COUNTIFS(_TQM_SL_REGULI!$A$2:$A$9,$P15,_TQM_SL_REGULI!$D$2:$D$9,"Da")=1,1,0)))</f>
        <v>0</v>
      </c>
      <c r="R15" s="109">
        <f>IF(LEN($O15)=0,"",IF($G15&lt;&gt;"Confirmata",0,IF(COUNTIFS(_TQM_SL_REGULI!$A$2:$A$9,$P15,_TQM_SL_REGULI!$E$2:$E$9,"Da")=1,1,0)))</f>
        <v>0</v>
      </c>
      <c r="S15" s="109">
        <f>IF(LEN($O15)=0,"",IF($G15&lt;&gt;"Confirmata",0,IF(COUNTIFS(_TQM_SL_REGULI!$A$2:$A$9,$P15,_TQM_SL_REGULI!$F$2:$F$9,"Da")=1,1,0)))</f>
        <v>0</v>
      </c>
      <c r="T15" s="109">
        <f>IF(LEN($O15)=0,"",IF($G15&lt;&gt;"Confirmata",0,IF(COUNTIFS(_TQM_SL_REGULI!$A$2:$A$9,$P15,_TQM_SL_REGULI!$G$2:$G$9,"Da")=1,1,0)))</f>
        <v>0</v>
      </c>
      <c r="U15" s="109" t="str">
        <f t="shared" si="2"/>
        <v>n.a.</v>
      </c>
    </row>
    <row r="16" spans="1:21">
      <c r="A16" s="121">
        <v>4</v>
      </c>
      <c r="B16" s="121"/>
      <c r="C16" s="121"/>
      <c r="D16" s="121" t="s">
        <v>1290</v>
      </c>
      <c r="E16" s="121" t="s">
        <v>21</v>
      </c>
      <c r="F16" s="121" t="s">
        <v>22</v>
      </c>
      <c r="G16" s="122" t="str">
        <f>IF(LEN($O16)=0,"",IF(COUNTIFS(_TQM_SL_REGULI!$A$2:$A$9,$P16)&lt;&gt;1,"REGULA NECONFIGURATA",IF(COUNTIFS(_TQM_SL_REGULI!$A$2:$A$9,$P16,_TQM_SL_REGULI!$H$2:$H$9,"Confirmata")=1,"Confirmata","De confirmat")))</f>
        <v>De confirmat</v>
      </c>
      <c r="H16" s="122" t="str">
        <f>IF(LEN($O16)=0,"",IF($G16&lt;&gt;"Confirmata","De confirmat",IF($Q16=0,"N/A",IF(COUNTIFS(_TQM_DOC_LEG!$C$13,"Dosar",_TQM_DOC_LEG!$D$13,$O16,_TQM_DOC_LEG!$E$13,"Aviz",_TQM_DOC_LEG!$P$13,1)&gt;0,"Verificat","Lipsa"))))</f>
        <v>De confirmat</v>
      </c>
      <c r="I16" s="122" t="str">
        <f>IF(LEN($O16)=0,"",IF($G16&lt;&gt;"Confirmata","De confirmat",IF($R16=0,"N/A",IF(COUNTIFS(_TQM_DOC_LEG!$C$13,"Dosar",_TQM_DOC_LEG!$D$13,$O16,_TQM_DOC_LEG!$E$13,"Declaratie conformitate",_TQM_DOC_LEG!$P$13,1)&gt;0,"Verificat","Lipsa"))))</f>
        <v>De confirmat</v>
      </c>
      <c r="J16" s="122" t="str">
        <f>IF(LEN($O16)=0,"",IF($G16&lt;&gt;"Confirmata","De confirmat",IF($S16=0,"N/A",IF(COUNTIFS(_TQM_DOC_LEG!$C$13,"Dosar",_TQM_DOC_LEG!$D$13,$O16,_TQM_DOC_LEG!$E$13,"Declaratie producator",_TQM_DOC_LEG!$P$13,1)&gt;0,"Verificat","Lipsa"))))</f>
        <v>De confirmat</v>
      </c>
      <c r="K16" s="122" t="str">
        <f>IF(LEN($O16)=0,"",IF($G16&lt;&gt;"Confirmata","De confirmat",IF($T16=0,"N/A",IF(COUNTIFS(_TQM_DOC_LEG!$C$13,"Dosar",_TQM_DOC_LEG!$D$13,$O16,_TQM_DOC_LEG!$E$13,"Fise tehnice",_TQM_DOC_LEG!$P$13,1)&gt;0,"Verificat","Lipsa"))))</f>
        <v>De confirmat</v>
      </c>
      <c r="L16" s="122" t="str">
        <f t="shared" si="0"/>
        <v>Confirmati regulile documentelor</v>
      </c>
      <c r="M16" s="122" t="str">
        <f t="shared" si="1"/>
        <v>REGULI DE CONFIRMAT</v>
      </c>
      <c r="N16" s="121" t="s">
        <v>1167</v>
      </c>
      <c r="O16" s="121" t="s">
        <v>1291</v>
      </c>
      <c r="P16" s="121" t="s">
        <v>977</v>
      </c>
      <c r="Q16" s="123">
        <f>IF(LEN($O16)=0,"",IF($G16&lt;&gt;"Confirmata",0,IF(COUNTIFS(_TQM_SL_REGULI!$A$2:$A$9,$P16,_TQM_SL_REGULI!$D$2:$D$9,"Da")=1,1,0)))</f>
        <v>0</v>
      </c>
      <c r="R16" s="123">
        <f>IF(LEN($O16)=0,"",IF($G16&lt;&gt;"Confirmata",0,IF(COUNTIFS(_TQM_SL_REGULI!$A$2:$A$9,$P16,_TQM_SL_REGULI!$E$2:$E$9,"Da")=1,1,0)))</f>
        <v>0</v>
      </c>
      <c r="S16" s="123">
        <f>IF(LEN($O16)=0,"",IF($G16&lt;&gt;"Confirmata",0,IF(COUNTIFS(_TQM_SL_REGULI!$A$2:$A$9,$P16,_TQM_SL_REGULI!$F$2:$F$9,"Da")=1,1,0)))</f>
        <v>0</v>
      </c>
      <c r="T16" s="123">
        <f>IF(LEN($O16)=0,"",IF($G16&lt;&gt;"Confirmata",0,IF(COUNTIFS(_TQM_SL_REGULI!$A$2:$A$9,$P16,_TQM_SL_REGULI!$G$2:$G$9,"Da")=1,1,0)))</f>
        <v>0</v>
      </c>
      <c r="U16" s="123" t="str">
        <f t="shared" si="2"/>
        <v>n.a.</v>
      </c>
    </row>
  </sheetData>
  <sheetProtection sheet="1" objects="1" scenarios="1" autoFilter="0"/>
  <conditionalFormatting sqref="M13:M1012">
    <cfRule type="expression" dxfId="36" priority="1">
      <formula>$M13="REGULI DE CONFIRMAT"</formula>
    </cfRule>
    <cfRule type="expression" dxfId="35" priority="2">
      <formula>$M13="ARHIVA INCOMPLETA"</formula>
    </cfRule>
    <cfRule type="expression" dxfId="34" priority="3">
      <formula>$M13="ARHIVA COMPLETA"</formula>
    </cfRule>
  </conditionalFormatting>
  <pageMargins left="0.7" right="0.7" top="0.75" bottom="0.75" header="0.3" footer="0.3"/>
  <tableParts count="1">
    <tablePart r:id="rId1"/>
  </tablePart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37"/>
  <dimension ref="A12:I13"/>
  <sheetViews>
    <sheetView showGridLines="0" zoomScale="85" workbookViewId="0"/>
  </sheetViews>
  <sheetFormatPr defaultRowHeight="14.4"/>
  <cols>
    <col min="1" max="1" width="43" customWidth="1"/>
    <col min="2" max="2" width="23" customWidth="1"/>
    <col min="3" max="3" width="25" customWidth="1"/>
    <col min="4" max="4" width="20" customWidth="1"/>
    <col min="5" max="5" width="43" customWidth="1"/>
    <col min="6" max="6" width="28" customWidth="1"/>
    <col min="7" max="7" width="27" customWidth="1"/>
    <col min="8" max="9" width="55" customWidth="1"/>
  </cols>
  <sheetData>
    <row r="12" spans="1:9" ht="42" customHeight="1">
      <c r="A12" s="111" t="s">
        <v>816</v>
      </c>
      <c r="B12" s="111" t="s">
        <v>5</v>
      </c>
      <c r="C12" s="111" t="s">
        <v>817</v>
      </c>
      <c r="D12" s="111" t="s">
        <v>995</v>
      </c>
      <c r="E12" s="111" t="s">
        <v>996</v>
      </c>
      <c r="F12" s="111" t="s">
        <v>40</v>
      </c>
      <c r="G12" s="111" t="s">
        <v>820</v>
      </c>
      <c r="H12" s="111" t="s">
        <v>821</v>
      </c>
      <c r="I12" s="111" t="s">
        <v>822</v>
      </c>
    </row>
    <row r="13" spans="1:9" ht="24" customHeight="1">
      <c r="A13" s="106"/>
      <c r="B13" s="106"/>
      <c r="C13" s="106"/>
      <c r="D13" s="106"/>
      <c r="E13" s="106"/>
      <c r="F13" s="106"/>
      <c r="G13" s="106"/>
      <c r="H13" s="106"/>
      <c r="I13" s="106"/>
    </row>
  </sheetData>
  <sheetProtection sheet="1" objects="1" scenarios="1" autoFilter="0"/>
  <pageMargins left="0.7" right="0.7" top="0.75" bottom="0.75" header="0.3" footer="0.3"/>
  <tableParts count="1">
    <tablePart r:id="rId1"/>
  </tablePart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2FC71-0F2F-485E-BE3D-8854299BF879}">
  <dimension ref="A1:X11"/>
  <sheetViews>
    <sheetView workbookViewId="0"/>
  </sheetViews>
  <sheetFormatPr defaultRowHeight="14.4"/>
  <sheetData>
    <row r="1" spans="1:24">
      <c r="A1" t="s">
        <v>1239</v>
      </c>
    </row>
    <row r="2" spans="1:24">
      <c r="A2" s="87" t="s">
        <v>1234</v>
      </c>
      <c r="B2" s="87" t="s">
        <v>997</v>
      </c>
      <c r="C2" s="87" t="s">
        <v>997</v>
      </c>
      <c r="D2" s="87" t="s">
        <v>997</v>
      </c>
      <c r="E2" s="87" t="s">
        <v>997</v>
      </c>
      <c r="F2" s="87" t="s">
        <v>997</v>
      </c>
      <c r="G2" s="87" t="s">
        <v>997</v>
      </c>
      <c r="H2" s="87" t="s">
        <v>997</v>
      </c>
      <c r="I2" s="87" t="s">
        <v>997</v>
      </c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</row>
    <row r="3" spans="1:24">
      <c r="A3" s="88" t="s">
        <v>1235</v>
      </c>
      <c r="B3" s="88" t="s">
        <v>998</v>
      </c>
      <c r="C3" s="88" t="s">
        <v>998</v>
      </c>
      <c r="D3" s="88" t="s">
        <v>998</v>
      </c>
      <c r="E3" s="88" t="s">
        <v>998</v>
      </c>
      <c r="F3" s="88" t="s">
        <v>998</v>
      </c>
      <c r="G3" s="88" t="s">
        <v>998</v>
      </c>
      <c r="H3" s="88" t="s">
        <v>998</v>
      </c>
      <c r="I3" s="88" t="s">
        <v>998</v>
      </c>
      <c r="J3" s="37"/>
      <c r="K3" s="37"/>
      <c r="L3" s="37"/>
      <c r="M3" s="37"/>
      <c r="N3" s="37"/>
      <c r="O3" s="37"/>
      <c r="P3" s="37"/>
      <c r="Q3" s="37"/>
      <c r="R3" s="37"/>
      <c r="S3" s="37"/>
      <c r="T3" s="37"/>
      <c r="U3" s="37"/>
      <c r="V3" s="37"/>
      <c r="W3" s="37"/>
      <c r="X3" s="37"/>
    </row>
    <row r="4" spans="1:24" ht="151.80000000000001">
      <c r="A4" s="89" t="s">
        <v>1237</v>
      </c>
      <c r="B4" s="90" t="s">
        <v>999</v>
      </c>
      <c r="C4" s="90" t="s">
        <v>999</v>
      </c>
      <c r="D4" s="90" t="s">
        <v>999</v>
      </c>
      <c r="E4" s="90" t="s">
        <v>999</v>
      </c>
      <c r="F4" s="90" t="s">
        <v>999</v>
      </c>
      <c r="G4" s="90" t="s">
        <v>999</v>
      </c>
      <c r="H4" s="90" t="s">
        <v>999</v>
      </c>
      <c r="I4" s="90" t="s">
        <v>999</v>
      </c>
      <c r="J4" s="37"/>
      <c r="K4" s="37"/>
      <c r="L4" s="37"/>
      <c r="M4" s="37"/>
      <c r="N4" s="37"/>
      <c r="O4" s="37"/>
      <c r="P4" s="37"/>
      <c r="Q4" s="37"/>
      <c r="R4" s="37"/>
      <c r="S4" s="37"/>
      <c r="T4" s="37"/>
      <c r="U4" s="37"/>
      <c r="V4" s="37"/>
      <c r="W4" s="37"/>
      <c r="X4" s="37"/>
    </row>
    <row r="5" spans="1:24">
      <c r="A5" s="222" t="s">
        <v>55</v>
      </c>
      <c r="B5" s="222" t="s">
        <v>55</v>
      </c>
      <c r="C5" s="222" t="s">
        <v>1000</v>
      </c>
      <c r="D5" s="222" t="s">
        <v>1000</v>
      </c>
      <c r="E5" s="222" t="s">
        <v>1001</v>
      </c>
      <c r="F5" s="222" t="s">
        <v>1001</v>
      </c>
      <c r="G5" s="222" t="s">
        <v>1002</v>
      </c>
      <c r="H5" s="222" t="s">
        <v>1002</v>
      </c>
      <c r="I5" s="222" t="s">
        <v>1002</v>
      </c>
      <c r="J5" s="37"/>
      <c r="K5" s="37"/>
      <c r="L5" s="37"/>
      <c r="M5" s="37"/>
      <c r="N5" s="37"/>
      <c r="O5" s="37"/>
      <c r="P5" s="37"/>
      <c r="Q5" s="37"/>
      <c r="R5" s="37"/>
      <c r="S5" s="37"/>
      <c r="T5" s="37"/>
      <c r="U5" s="37"/>
      <c r="V5" s="37"/>
      <c r="W5" s="37"/>
      <c r="X5" s="37"/>
    </row>
    <row r="6" spans="1:24">
      <c r="A6" s="222" t="s">
        <v>1003</v>
      </c>
      <c r="B6" s="222" t="s">
        <v>1003</v>
      </c>
      <c r="C6" s="222" t="s">
        <v>1004</v>
      </c>
      <c r="D6" s="222" t="s">
        <v>1004</v>
      </c>
      <c r="E6" s="222" t="s">
        <v>1005</v>
      </c>
      <c r="F6" s="222" t="s">
        <v>1005</v>
      </c>
      <c r="G6" s="222" t="s">
        <v>1006</v>
      </c>
      <c r="H6" s="222" t="s">
        <v>1006</v>
      </c>
      <c r="I6" s="222" t="s">
        <v>1006</v>
      </c>
      <c r="J6" s="37"/>
      <c r="K6" s="37"/>
      <c r="L6" s="37"/>
      <c r="M6" s="37"/>
      <c r="N6" s="37"/>
      <c r="O6" s="37"/>
      <c r="P6" s="37"/>
      <c r="Q6" s="37"/>
      <c r="R6" s="37"/>
      <c r="S6" s="37"/>
      <c r="T6" s="37"/>
      <c r="U6" s="37"/>
      <c r="V6" s="37"/>
      <c r="W6" s="37"/>
      <c r="X6" s="37"/>
    </row>
    <row r="7" spans="1:24">
      <c r="A7" s="37"/>
      <c r="B7" s="37"/>
      <c r="C7" s="37"/>
      <c r="D7" s="37"/>
      <c r="E7" s="37"/>
      <c r="F7" s="37"/>
      <c r="G7" s="37"/>
      <c r="H7" s="37"/>
      <c r="I7" s="37"/>
      <c r="J7" s="37"/>
      <c r="K7" s="37"/>
      <c r="L7" s="37"/>
      <c r="M7" s="37"/>
      <c r="N7" s="37"/>
      <c r="O7" s="37"/>
      <c r="P7" s="37"/>
      <c r="Q7" s="37"/>
      <c r="R7" s="37"/>
      <c r="S7" s="37"/>
      <c r="T7" s="37"/>
      <c r="U7" s="37"/>
      <c r="V7" s="37"/>
      <c r="W7" s="37"/>
      <c r="X7" s="37"/>
    </row>
    <row r="8" spans="1:24" ht="55.2">
      <c r="A8" s="91" t="s">
        <v>1007</v>
      </c>
      <c r="B8" s="91" t="s">
        <v>1007</v>
      </c>
      <c r="C8" s="91" t="s">
        <v>1008</v>
      </c>
      <c r="D8" s="91" t="s">
        <v>1008</v>
      </c>
      <c r="E8" s="91" t="s">
        <v>1009</v>
      </c>
      <c r="F8" s="91" t="s">
        <v>1009</v>
      </c>
      <c r="G8" s="91" t="s">
        <v>1010</v>
      </c>
      <c r="H8" s="91" t="s">
        <v>1010</v>
      </c>
      <c r="I8" s="91" t="s">
        <v>1010</v>
      </c>
      <c r="J8" s="37"/>
      <c r="K8" s="37"/>
      <c r="L8" s="37"/>
      <c r="M8" s="37"/>
      <c r="N8" s="37"/>
      <c r="O8" s="37"/>
      <c r="P8" s="37"/>
      <c r="Q8" s="37"/>
      <c r="R8" s="37"/>
      <c r="S8" s="37"/>
      <c r="T8" s="37"/>
      <c r="U8" s="37"/>
      <c r="V8" s="37"/>
      <c r="W8" s="37"/>
      <c r="X8" s="37"/>
    </row>
    <row r="9" spans="1:24">
      <c r="A9" s="92" t="str">
        <f>IF(COUNTIFS(tTQMPBBugete[Stare],"Aprobat")=0,"n.a.",SUM(tTQMProiecteBugete[Buget_aprobat_net_RON]))</f>
        <v>n.a.</v>
      </c>
      <c r="B9" s="92"/>
      <c r="C9" s="92">
        <f>SUM(tTQMProiecteBugete[Facturat_net_RON])</f>
        <v>0</v>
      </c>
      <c r="D9" s="92"/>
      <c r="E9" s="92">
        <f>IF(SUM(tTQMProiecteBugete[Nr_semnale_de_clarificat])&gt;0,"n.a.",SUM(tTQMProiecteBugete[Comenzi_nefacturate_net_RON]))</f>
        <v>0</v>
      </c>
      <c r="F9" s="92"/>
      <c r="G9" s="92">
        <f>SUM(tTQMProiecteBugete[Sold_cu_TVA_RON])</f>
        <v>0</v>
      </c>
      <c r="H9" s="92"/>
      <c r="I9" s="92"/>
      <c r="J9" s="37"/>
      <c r="K9" s="37"/>
      <c r="L9" s="37"/>
      <c r="M9" s="37"/>
      <c r="N9" s="37"/>
      <c r="O9" s="37"/>
      <c r="P9" s="37"/>
      <c r="Q9" s="37"/>
      <c r="R9" s="37"/>
      <c r="S9" s="37"/>
      <c r="T9" s="37"/>
      <c r="U9" s="37"/>
      <c r="V9" s="37"/>
      <c r="W9" s="37"/>
      <c r="X9" s="37"/>
    </row>
    <row r="10" spans="1:24">
      <c r="A10" s="37"/>
      <c r="B10" s="37"/>
      <c r="C10" s="37"/>
      <c r="D10" s="37"/>
      <c r="E10" s="37"/>
      <c r="F10" s="37"/>
      <c r="G10" s="37"/>
      <c r="H10" s="37"/>
      <c r="I10" s="37"/>
      <c r="J10" s="37"/>
      <c r="K10" s="37"/>
      <c r="L10" s="37"/>
      <c r="M10" s="37"/>
      <c r="N10" s="37"/>
      <c r="O10" s="37"/>
      <c r="P10" s="37"/>
      <c r="Q10" s="37"/>
      <c r="R10" s="37"/>
      <c r="S10" s="37"/>
      <c r="T10" s="37"/>
      <c r="U10" s="37"/>
      <c r="V10" s="37"/>
      <c r="W10" s="37"/>
      <c r="X10" s="37"/>
    </row>
    <row r="11" spans="1:24">
      <c r="A11" s="94" t="s">
        <v>1236</v>
      </c>
      <c r="B11" s="88" t="s">
        <v>1011</v>
      </c>
      <c r="C11" s="88" t="s">
        <v>1011</v>
      </c>
      <c r="D11" s="88" t="s">
        <v>1011</v>
      </c>
      <c r="E11" s="88" t="s">
        <v>1011</v>
      </c>
      <c r="F11" s="88" t="s">
        <v>1011</v>
      </c>
      <c r="G11" s="88" t="s">
        <v>1011</v>
      </c>
      <c r="H11" s="88" t="s">
        <v>1011</v>
      </c>
      <c r="I11" s="88" t="s">
        <v>1011</v>
      </c>
      <c r="J11" s="37"/>
      <c r="K11" s="37"/>
      <c r="L11" s="37"/>
      <c r="M11" s="37"/>
      <c r="N11" s="37"/>
      <c r="O11" s="37"/>
      <c r="P11" s="37"/>
      <c r="Q11" s="37"/>
      <c r="R11" s="37"/>
      <c r="S11" s="37"/>
      <c r="T11" s="37"/>
      <c r="U11" s="37"/>
      <c r="V11" s="37"/>
      <c r="W11" s="37"/>
      <c r="X11" s="37"/>
    </row>
  </sheetData>
  <mergeCells count="8">
    <mergeCell ref="A5:B5"/>
    <mergeCell ref="C5:D5"/>
    <mergeCell ref="E5:F5"/>
    <mergeCell ref="G5:I5"/>
    <mergeCell ref="A6:B6"/>
    <mergeCell ref="C6:D6"/>
    <mergeCell ref="E6:F6"/>
    <mergeCell ref="G6:I6"/>
  </mergeCells>
  <pageMargins left="0.7" right="0.7" top="0.75" bottom="0.75" header="0.3" footer="0.3"/>
  <pageSetup orientation="portrait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4DA2A5-13B3-4D27-9B0D-202820C74614}">
  <dimension ref="A1:W11"/>
  <sheetViews>
    <sheetView workbookViewId="0"/>
  </sheetViews>
  <sheetFormatPr defaultRowHeight="14.4"/>
  <sheetData>
    <row r="1" spans="1:23">
      <c r="A1" t="s">
        <v>1240</v>
      </c>
    </row>
    <row r="2" spans="1:23" ht="23.4">
      <c r="A2" s="224" t="s">
        <v>1062</v>
      </c>
      <c r="B2" s="224" t="s">
        <v>1062</v>
      </c>
      <c r="C2" s="224" t="s">
        <v>1062</v>
      </c>
      <c r="D2" s="224" t="s">
        <v>1062</v>
      </c>
      <c r="E2" s="224" t="s">
        <v>1062</v>
      </c>
      <c r="F2" s="224" t="s">
        <v>1062</v>
      </c>
      <c r="G2" s="224" t="s">
        <v>1062</v>
      </c>
      <c r="H2" s="224" t="s">
        <v>1062</v>
      </c>
      <c r="I2" s="224" t="s">
        <v>1062</v>
      </c>
      <c r="J2" s="224" t="s">
        <v>1062</v>
      </c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</row>
    <row r="3" spans="1:23">
      <c r="A3" s="207" t="s">
        <v>1063</v>
      </c>
      <c r="B3" s="207" t="s">
        <v>1063</v>
      </c>
      <c r="C3" s="207" t="s">
        <v>1063</v>
      </c>
      <c r="D3" s="207" t="s">
        <v>1063</v>
      </c>
      <c r="E3" s="207" t="s">
        <v>1063</v>
      </c>
      <c r="F3" s="207" t="s">
        <v>1063</v>
      </c>
      <c r="G3" s="207" t="s">
        <v>1063</v>
      </c>
      <c r="H3" s="207" t="s">
        <v>1063</v>
      </c>
      <c r="I3" s="207" t="s">
        <v>1063</v>
      </c>
      <c r="J3" s="207" t="s">
        <v>1063</v>
      </c>
      <c r="K3" s="27"/>
      <c r="L3" s="27"/>
      <c r="M3" s="27"/>
      <c r="N3" s="27"/>
      <c r="O3" s="27"/>
      <c r="P3" s="27"/>
      <c r="Q3" s="27"/>
      <c r="R3" s="27"/>
      <c r="S3" s="27"/>
      <c r="T3" s="27"/>
      <c r="U3" s="27"/>
      <c r="V3" s="27"/>
      <c r="W3" s="27"/>
    </row>
    <row r="4" spans="1:23">
      <c r="A4" s="225" t="s">
        <v>1238</v>
      </c>
      <c r="B4" s="207" t="s">
        <v>1064</v>
      </c>
      <c r="C4" s="207" t="s">
        <v>1064</v>
      </c>
      <c r="D4" s="207" t="s">
        <v>1064</v>
      </c>
      <c r="E4" s="207" t="s">
        <v>1064</v>
      </c>
      <c r="F4" s="207" t="s">
        <v>1064</v>
      </c>
      <c r="G4" s="207" t="s">
        <v>1064</v>
      </c>
      <c r="H4" s="207" t="s">
        <v>1064</v>
      </c>
      <c r="I4" s="207" t="s">
        <v>1064</v>
      </c>
      <c r="J4" s="207" t="s">
        <v>1064</v>
      </c>
      <c r="K4" s="27"/>
      <c r="L4" s="27"/>
      <c r="M4" s="27"/>
      <c r="N4" s="27"/>
      <c r="O4" s="27"/>
      <c r="P4" s="27"/>
      <c r="Q4" s="27"/>
      <c r="R4" s="27"/>
      <c r="S4" s="27"/>
      <c r="T4" s="27"/>
      <c r="U4" s="27"/>
      <c r="V4" s="27"/>
      <c r="W4" s="27"/>
    </row>
    <row r="5" spans="1:23">
      <c r="A5" s="226" t="s">
        <v>1065</v>
      </c>
      <c r="B5" s="226" t="s">
        <v>1065</v>
      </c>
      <c r="C5" s="226" t="s">
        <v>1066</v>
      </c>
      <c r="D5" s="226" t="s">
        <v>1066</v>
      </c>
      <c r="E5" s="226" t="s">
        <v>1067</v>
      </c>
      <c r="F5" s="226" t="s">
        <v>1067</v>
      </c>
      <c r="G5" s="226" t="s">
        <v>1068</v>
      </c>
      <c r="H5" s="226" t="s">
        <v>1068</v>
      </c>
      <c r="I5" s="226" t="s">
        <v>1069</v>
      </c>
      <c r="J5" s="226" t="s">
        <v>1069</v>
      </c>
      <c r="K5" s="27"/>
      <c r="L5" s="27"/>
      <c r="M5" s="27"/>
      <c r="N5" s="27"/>
      <c r="O5" s="27"/>
      <c r="P5" s="27"/>
      <c r="Q5" s="27"/>
      <c r="R5" s="27"/>
      <c r="S5" s="27"/>
      <c r="T5" s="27"/>
      <c r="U5" s="27"/>
      <c r="V5" s="27"/>
      <c r="W5" s="27"/>
    </row>
    <row r="6" spans="1:23">
      <c r="A6" s="226" t="s">
        <v>1070</v>
      </c>
      <c r="B6" s="226" t="s">
        <v>1070</v>
      </c>
      <c r="C6" s="226" t="s">
        <v>1071</v>
      </c>
      <c r="D6" s="226" t="s">
        <v>1071</v>
      </c>
      <c r="E6" s="226" t="s">
        <v>55</v>
      </c>
      <c r="F6" s="226" t="s">
        <v>55</v>
      </c>
      <c r="G6" s="226" t="s">
        <v>151</v>
      </c>
      <c r="H6" s="226" t="s">
        <v>151</v>
      </c>
      <c r="I6" s="226" t="s">
        <v>829</v>
      </c>
      <c r="J6" s="226" t="s">
        <v>829</v>
      </c>
      <c r="K6" s="27"/>
      <c r="L6" s="27"/>
      <c r="M6" s="27"/>
      <c r="N6" s="27"/>
      <c r="O6" s="27"/>
      <c r="P6" s="27"/>
      <c r="Q6" s="27"/>
      <c r="R6" s="27"/>
      <c r="S6" s="27"/>
      <c r="T6" s="27"/>
      <c r="U6" s="27"/>
      <c r="V6" s="27"/>
      <c r="W6" s="27"/>
    </row>
    <row r="7" spans="1:23">
      <c r="A7" s="27"/>
      <c r="B7" s="27"/>
      <c r="C7" s="27"/>
      <c r="D7" s="27"/>
      <c r="E7" s="27"/>
      <c r="F7" s="27"/>
      <c r="G7" s="27"/>
      <c r="H7" s="27"/>
      <c r="I7" s="27"/>
      <c r="J7" s="27"/>
      <c r="K7" s="27"/>
      <c r="L7" s="27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</row>
    <row r="8" spans="1:23">
      <c r="A8" s="223" t="s">
        <v>1072</v>
      </c>
      <c r="B8" s="223" t="s">
        <v>1072</v>
      </c>
      <c r="C8" s="223" t="s">
        <v>1073</v>
      </c>
      <c r="D8" s="223" t="s">
        <v>1073</v>
      </c>
      <c r="E8" s="223" t="s">
        <v>1073</v>
      </c>
      <c r="F8" s="223" t="s">
        <v>1074</v>
      </c>
      <c r="G8" s="223" t="s">
        <v>1074</v>
      </c>
      <c r="H8" s="223" t="s">
        <v>1075</v>
      </c>
      <c r="I8" s="223" t="s">
        <v>1075</v>
      </c>
      <c r="J8" s="223" t="s">
        <v>1075</v>
      </c>
      <c r="K8" s="27"/>
      <c r="L8" s="27"/>
      <c r="M8" s="27"/>
      <c r="N8" s="27"/>
      <c r="O8" s="27"/>
      <c r="P8" s="27"/>
      <c r="Q8" s="27"/>
      <c r="R8" s="27"/>
      <c r="S8" s="27"/>
      <c r="T8" s="27"/>
      <c r="U8" s="27"/>
      <c r="V8" s="27"/>
      <c r="W8" s="27"/>
    </row>
    <row r="9" spans="1:23" ht="23.4">
      <c r="A9" s="227">
        <f>COUNTIFS(tTQMDocumente[ID_document],"?*")</f>
        <v>0</v>
      </c>
      <c r="B9" s="227"/>
      <c r="C9" s="227">
        <f ca="1">COUNTIFS(tTQMDocumente[Actiune],"VERIFICATI DOCUMENTUL")+COUNTIFS(tTQMDocumente[Actiune],"ADAUGATI LINKUL")+COUNTIFS(tTQMDocumente[Actiune],"CORECTATI LINKUL")+COUNTIFS(tTQMDocumente[Actiune],"ASOCIATI OPERATIUNEA")+COUNTIFS(tTQMDocumente[Actiune],"DOCUMENT RESPINS")+COUNTIFS(tTQMDocumente[Actiune],"COMPLETATI VERIFICAREA")</f>
        <v>0</v>
      </c>
      <c r="D9" s="227"/>
      <c r="E9" s="227"/>
      <c r="F9" s="227">
        <f ca="1">COUNTIFS(tTQMDocumente[Actiune],"DOCUMENT EXPIRAT")</f>
        <v>0</v>
      </c>
      <c r="G9" s="227"/>
      <c r="H9" s="227">
        <f>COUNTIFS(tTQMDOCDosare[Status_arhiva],"ARHIVA INCOMPLETA")+COUNTIFS(tTQMDOCDosare[Status_arhiva],"REGULI DE CONFIRMAT")</f>
        <v>4</v>
      </c>
      <c r="I9" s="227"/>
      <c r="J9" s="227"/>
      <c r="K9" s="27"/>
      <c r="L9" s="27"/>
      <c r="M9" s="27"/>
      <c r="N9" s="27"/>
      <c r="O9" s="27"/>
      <c r="P9" s="27"/>
      <c r="Q9" s="27"/>
      <c r="R9" s="27"/>
      <c r="S9" s="27"/>
      <c r="T9" s="27"/>
      <c r="U9" s="27"/>
      <c r="V9" s="27"/>
      <c r="W9" s="27"/>
    </row>
    <row r="10" spans="1:23">
      <c r="A10" s="27"/>
      <c r="B10" s="27"/>
      <c r="C10" s="27"/>
      <c r="D10" s="27"/>
      <c r="E10" s="27"/>
      <c r="F10" s="27"/>
      <c r="G10" s="27"/>
      <c r="H10" s="27"/>
      <c r="I10" s="27"/>
      <c r="J10" s="27"/>
      <c r="K10" s="27"/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7"/>
      <c r="W10" s="27"/>
    </row>
    <row r="11" spans="1:23">
      <c r="A11" s="228" t="s">
        <v>1076</v>
      </c>
      <c r="B11" s="207" t="s">
        <v>1076</v>
      </c>
      <c r="C11" s="207" t="s">
        <v>1076</v>
      </c>
      <c r="D11" s="207" t="s">
        <v>1076</v>
      </c>
      <c r="E11" s="207" t="s">
        <v>1076</v>
      </c>
      <c r="F11" s="207" t="s">
        <v>1076</v>
      </c>
      <c r="G11" s="207" t="s">
        <v>1076</v>
      </c>
      <c r="H11" s="207" t="s">
        <v>1076</v>
      </c>
      <c r="I11" s="207" t="s">
        <v>1076</v>
      </c>
      <c r="J11" s="207" t="s">
        <v>1076</v>
      </c>
      <c r="K11" s="27"/>
      <c r="L11" s="27"/>
      <c r="M11" s="27"/>
      <c r="N11" s="27"/>
      <c r="O11" s="27"/>
      <c r="P11" s="27"/>
      <c r="Q11" s="27"/>
      <c r="R11" s="27"/>
      <c r="S11" s="27"/>
      <c r="T11" s="27"/>
      <c r="U11" s="27"/>
      <c r="V11" s="27"/>
      <c r="W11" s="27"/>
    </row>
  </sheetData>
  <mergeCells count="22">
    <mergeCell ref="A11:J11"/>
    <mergeCell ref="I6:J6"/>
    <mergeCell ref="A9:B9"/>
    <mergeCell ref="C9:E9"/>
    <mergeCell ref="F9:G9"/>
    <mergeCell ref="H9:J9"/>
    <mergeCell ref="A8:B8"/>
    <mergeCell ref="C8:E8"/>
    <mergeCell ref="F8:G8"/>
    <mergeCell ref="H8:J8"/>
    <mergeCell ref="A2:J2"/>
    <mergeCell ref="A3:J3"/>
    <mergeCell ref="A4:J4"/>
    <mergeCell ref="A5:B5"/>
    <mergeCell ref="C5:D5"/>
    <mergeCell ref="E5:F5"/>
    <mergeCell ref="G5:H5"/>
    <mergeCell ref="I5:J5"/>
    <mergeCell ref="A6:B6"/>
    <mergeCell ref="C6:D6"/>
    <mergeCell ref="E6:F6"/>
    <mergeCell ref="G6:H6"/>
  </mergeCells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>
  <dimension ref="A1:X2"/>
  <sheetViews>
    <sheetView workbookViewId="0" showGridLines="0"/>
  </sheetViews>
  <sheetFormatPr defaultRowHeight="24"/>
  <sheetData>
    <row r="1">
      <c r="A1" t="inlineStr">
        <is>
          <t>ID_RFQ</t>
        </is>
      </c>
      <c r="B1" t="inlineStr">
        <is>
          <t>Nr_RFQ</t>
        </is>
      </c>
      <c r="C1" t="inlineStr">
        <is>
          <t>Data</t>
        </is>
      </c>
      <c r="D1" t="inlineStr">
        <is>
          <t>Proiect</t>
        </is>
      </c>
      <c r="E1" t="inlineStr">
        <is>
          <t>Solicitant</t>
        </is>
      </c>
      <c r="F1" t="inlineStr">
        <is>
          <t>Termen_raspuns</t>
        </is>
      </c>
      <c r="G1" t="inlineStr">
        <is>
          <t>Observatii</t>
        </is>
      </c>
      <c r="H1" t="inlineStr">
        <is>
          <t>Stare</t>
        </is>
      </c>
      <c r="I1" t="inlineStr">
        <is>
          <t>Revizie</t>
        </is>
      </c>
      <c r="J1" t="inlineStr">
        <is>
          <t>Link_document</t>
        </is>
      </c>
      <c r="K1" t="inlineStr">
        <is>
          <t>Actualizat_la</t>
        </is>
      </c>
      <c r="X1" t="inlineStr">
        <is>
          <t>TQM_RFQ_V2_1</t>
        </is>
      </c>
    </row>
    <row r="2"/>
  </sheetData>
  <tableParts count="1">
    <tablePart r:id="rId1"/>
  </tableParts>
</worksheet>
</file>

<file path=xl/worksheets/sheet41.xml><?xml version="1.0" encoding="utf-8"?>
<worksheet xmlns="http://schemas.openxmlformats.org/spreadsheetml/2006/main" xmlns:r="http://schemas.openxmlformats.org/officeDocument/2006/relationships">
  <dimension ref="A1:E2"/>
  <sheetViews>
    <sheetView workbookViewId="0" showGridLines="0"/>
  </sheetViews>
  <sheetFormatPr defaultRowHeight="24"/>
  <sheetData>
    <row r="1">
      <c r="A1" t="inlineStr">
        <is>
          <t>ID_cerere</t>
        </is>
      </c>
      <c r="B1" t="inlineStr">
        <is>
          <t>ID_RFQ</t>
        </is>
      </c>
      <c r="C1" t="inlineStr">
        <is>
          <t>Nr_pozitie</t>
        </is>
      </c>
      <c r="D1" t="inlineStr">
        <is>
          <t>Cod_material</t>
        </is>
      </c>
      <c r="E1" t="inlineStr">
        <is>
          <t>Stare</t>
        </is>
      </c>
    </row>
    <row r="2"/>
  </sheetData>
  <tableParts count="1">
    <tablePart r:id="rId1"/>
  </tableParts>
</worksheet>
</file>

<file path=xl/worksheets/sheet42.xml><?xml version="1.0" encoding="utf-8"?>
<worksheet xmlns="http://schemas.openxmlformats.org/spreadsheetml/2006/main" xmlns:r="http://schemas.openxmlformats.org/officeDocument/2006/relationships">
  <dimension ref="A1:Q2"/>
  <sheetViews>
    <sheetView workbookViewId="0" showGridLines="0"/>
  </sheetViews>
  <sheetFormatPr defaultRowHeight="24"/>
  <sheetData>
    <row r="1">
      <c r="A1" t="inlineStr">
        <is>
          <t>ID_document</t>
        </is>
      </c>
      <c r="B1" t="inlineStr">
        <is>
          <t>ID_RFQ</t>
        </is>
      </c>
      <c r="C1" t="inlineStr">
        <is>
          <t>Furnizor</t>
        </is>
      </c>
      <c r="D1" t="inlineStr">
        <is>
          <t>Nr_oferta</t>
        </is>
      </c>
      <c r="E1" t="inlineStr">
        <is>
          <t>Data_oferta</t>
        </is>
      </c>
      <c r="F1" t="inlineStr">
        <is>
          <t>Valabila_pana</t>
        </is>
      </c>
      <c r="G1" t="inlineStr">
        <is>
          <t>Transport_RON</t>
        </is>
      </c>
      <c r="H1" t="inlineStr">
        <is>
          <t>Alte_costuri_RON</t>
        </is>
      </c>
      <c r="I1" t="inlineStr">
        <is>
          <t>Minim_comanda_RON</t>
        </is>
      </c>
      <c r="J1" t="inlineStr">
        <is>
          <t>Conditie_pachet</t>
        </is>
      </c>
      <c r="K1" t="inlineStr">
        <is>
          <t>Discount_pachet_RON</t>
        </is>
      </c>
      <c r="L1" t="inlineStr">
        <is>
          <t>Conditii_plata</t>
        </is>
      </c>
      <c r="M1" t="inlineStr">
        <is>
          <t>Link_oferta</t>
        </is>
      </c>
      <c r="N1" t="inlineStr">
        <is>
          <t>Observatii</t>
        </is>
      </c>
      <c r="O1" t="inlineStr">
        <is>
          <t>Revizie</t>
        </is>
      </c>
      <c r="P1" t="inlineStr">
        <is>
          <t>Stare</t>
        </is>
      </c>
      <c r="Q1" t="inlineStr">
        <is>
          <t>Actualizat_la</t>
        </is>
      </c>
    </row>
    <row r="2"/>
  </sheetData>
  <tableParts count="1">
    <tablePart r:id="rId1"/>
  </tableParts>
</worksheet>
</file>

<file path=xl/worksheets/sheet43.xml><?xml version="1.0" encoding="utf-8"?>
<worksheet xmlns="http://schemas.openxmlformats.org/spreadsheetml/2006/main" xmlns:r="http://schemas.openxmlformats.org/officeDocument/2006/relationships">
  <dimension ref="A1:D2"/>
  <sheetViews>
    <sheetView workbookViewId="0" showGridLines="0"/>
  </sheetViews>
  <sheetFormatPr defaultRowHeight="24"/>
  <sheetData>
    <row r="1">
      <c r="A1" t="inlineStr">
        <is>
          <t>ID_oferta</t>
        </is>
      </c>
      <c r="B1" t="inlineStr">
        <is>
          <t>ID_document</t>
        </is>
      </c>
      <c r="C1" t="inlineStr">
        <is>
          <t>Cant_minima</t>
        </is>
      </c>
      <c r="D1" t="inlineStr">
        <is>
          <t>Stare</t>
        </is>
      </c>
    </row>
    <row r="2"/>
  </sheetData>
  <tableParts count="1">
    <tablePart r:id="rId1"/>
  </tableParts>
</worksheet>
</file>

<file path=xl/worksheets/sheet44.xml><?xml version="1.0" encoding="utf-8"?>
<worksheet xmlns="http://schemas.openxmlformats.org/spreadsheetml/2006/main" xmlns:r="http://schemas.openxmlformats.org/officeDocument/2006/relationships">
  <dimension ref="A1:O2"/>
  <sheetViews>
    <sheetView workbookViewId="0" showGridLines="0"/>
  </sheetViews>
  <sheetFormatPr defaultRowHeight="24"/>
  <sheetData>
    <row r="1">
      <c r="A1" t="inlineStr">
        <is>
          <t>ID_atr</t>
        </is>
      </c>
      <c r="B1" t="inlineStr">
        <is>
          <t>ID_RFQ</t>
        </is>
      </c>
      <c r="C1" t="inlineStr">
        <is>
          <t>ID_cerere</t>
        </is>
      </c>
      <c r="D1" t="inlineStr">
        <is>
          <t>ID_oferta</t>
        </is>
      </c>
      <c r="E1" t="inlineStr">
        <is>
          <t>Cantitate</t>
        </is>
      </c>
      <c r="F1" t="inlineStr">
        <is>
          <t>Stare</t>
        </is>
      </c>
      <c r="G1" t="inlineStr">
        <is>
          <t>Aprobat_de</t>
        </is>
      </c>
      <c r="H1" t="inlineStr">
        <is>
          <t>Data</t>
        </is>
      </c>
      <c r="I1" t="inlineStr">
        <is>
          <t>Motiv</t>
        </is>
      </c>
      <c r="J1" t="inlineStr">
        <is>
          <t>Amprenta</t>
        </is>
      </c>
      <c r="K1" t="inlineStr">
        <is>
          <t>ID_pozitie_comanda</t>
        </is>
      </c>
      <c r="L1" t="inlineStr">
        <is>
          <t>Amprenta_comanda</t>
        </is>
      </c>
      <c r="M1" t="inlineStr">
        <is>
          <t>ID_comanda</t>
        </is>
      </c>
      <c r="N1" t="inlineStr">
        <is>
          <t>Transport_alocat</t>
        </is>
      </c>
      <c r="O1" t="inlineStr">
        <is>
          <t>Alte_costuri_alocate</t>
        </is>
      </c>
    </row>
    <row r="2"/>
  </sheetData>
  <tableParts count="1">
    <tablePart r:id="rId1"/>
  </tableParts>
</worksheet>
</file>

<file path=xl/worksheets/sheet45.xml><?xml version="1.0" encoding="utf-8"?>
<worksheet xmlns="http://schemas.openxmlformats.org/spreadsheetml/2006/main" xmlns:r="http://schemas.openxmlformats.org/officeDocument/2006/relationships">
  <dimension ref="A1:G2"/>
  <sheetViews>
    <sheetView workbookViewId="0" showGridLines="0"/>
  </sheetViews>
  <sheetFormatPr defaultRowHeight="24"/>
  <sheetData>
    <row r="1">
      <c r="A1" t="inlineStr">
        <is>
          <t>ID_invitat</t>
        </is>
      </c>
      <c r="B1" t="inlineStr">
        <is>
          <t>ID_RFQ</t>
        </is>
      </c>
      <c r="C1" t="inlineStr">
        <is>
          <t>Furnizor</t>
        </is>
      </c>
      <c r="D1" t="inlineStr">
        <is>
          <t>Stare</t>
        </is>
      </c>
      <c r="E1" t="inlineStr">
        <is>
          <t>Data_trimiterii</t>
        </is>
      </c>
      <c r="F1" t="inlineStr">
        <is>
          <t>Actualizat_la</t>
        </is>
      </c>
      <c r="G1" t="inlineStr">
        <is>
          <t>Observatii</t>
        </is>
      </c>
    </row>
    <row r="2"/>
  </sheetData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8</vt:i4>
      </vt:variant>
    </vt:vector>
  </HeadingPairs>
  <TitlesOfParts>
    <vt:vector size="27" baseType="lpstr">
      <vt:lpstr>00_DASHBOARD</vt:lpstr>
      <vt:lpstr>Control_Achizitii</vt:lpstr>
      <vt:lpstr>02_CERERI_SI_OFERTE</vt:lpstr>
      <vt:lpstr>03_COMENZI_FURNIZORI</vt:lpstr>
      <vt:lpstr>04_LIVRARI_SI_STOC</vt:lpstr>
      <vt:lpstr>05_FACTURI_SI_PLATI</vt:lpstr>
      <vt:lpstr>06_NOMENCLATOARE</vt:lpstr>
      <vt:lpstr>07_SETARI_LISTE</vt:lpstr>
      <vt:lpstr>08_PROIECTE_BUGETE</vt:lpstr>
      <vt:lpstr>09_DOCUMENTE</vt:lpstr>
      <vt:lpstr>CO_backup_20261013_121538</vt:lpstr>
      <vt:lpstr>PB_UI_20261013_170313</vt:lpstr>
      <vt:lpstr>DOC_UI_20261013_170340</vt:lpstr>
      <vt:lpstr>'00_DASHBOARD'!Print_Area</vt:lpstr>
      <vt:lpstr>'02_CERERI_SI_OFERTE'!Print_Area</vt:lpstr>
      <vt:lpstr>CO_backup_20261013_121538!Print_Area</vt:lpstr>
      <vt:lpstr>TQM_SL_CONFORM_TEHNIC</vt:lpstr>
      <vt:lpstr>TQM_SL_PRIORITATE</vt:lpstr>
      <vt:lpstr>TQM_SL_STATUT_DOCUMENT</vt:lpstr>
      <vt:lpstr>TQM_SL_TIP_INTRARE</vt:lpstr>
      <vt:lpstr>TQM_SL_TIP_PARTENER_CONTROL</vt:lpstr>
      <vt:lpstr>_TQM_RFQ</vt:lpstr>
      <vt:lpstr>_TQM_RFQ_POZ</vt:lpstr>
      <vt:lpstr>_TQM_RFQ_OF</vt:lpstr>
      <vt:lpstr>_TQM_RFQ_OFL</vt:lpstr>
      <vt:lpstr>_TQM_RFQ_ATR</vt:lpstr>
      <vt:lpstr>_TQM_RFQ_INV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Andrei Petcu</dc:creator>
  <cp:lastModifiedBy>Andrei Petcu</cp:lastModifiedBy>
  <cp:lastPrinted>2026-10-13T14:12:58Z</cp:lastPrinted>
  <dcterms:created xsi:type="dcterms:W3CDTF">2026-10-06T11:47:01Z</dcterms:created>
  <dcterms:modified xsi:type="dcterms:W3CDTF">2026-10-14T07:10:11Z</dcterms:modified>
</cp:coreProperties>
</file>